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E795A1D3-5AFC-46C1-A288-45A452DD88DC}" xr6:coauthVersionLast="47" xr6:coauthVersionMax="47" xr10:uidLastSave="{00000000-0000-0000-0000-000000000000}"/>
  <bookViews>
    <workbookView xWindow="-110" yWindow="-110" windowWidth="38620" windowHeight="21220" tabRatio="445" xr2:uid="{00000000-000D-0000-FFFF-FFFF00000000}"/>
  </bookViews>
  <sheets>
    <sheet name="表紙" sheetId="20" r:id="rId1"/>
    <sheet name="変更履歴" sheetId="21" r:id="rId2"/>
    <sheet name="XxxAction_クラス単体" sheetId="23" r:id="rId3"/>
    <sheet name="XXX_リクエスト単体" sheetId="24" r:id="rId4"/>
    <sheet name="取引単体" sheetId="25" r:id="rId5"/>
  </sheets>
  <definedNames>
    <definedName name="_xlnm._FilterDatabase" localSheetId="3" hidden="1">XXX_リクエスト単体!$A$10:$R$316</definedName>
    <definedName name="_xlnm._FilterDatabase" localSheetId="2" hidden="1">XxxAction_クラス単体!$A$10:$R$10</definedName>
    <definedName name="_xlnm.Print_Area" localSheetId="3">XXX_リクエスト単体!$A$1:$R$316</definedName>
    <definedName name="_xlnm.Print_Area" localSheetId="2">XxxAction_クラス単体!$A$1:$R$298</definedName>
    <definedName name="_xlnm.Print_Area" localSheetId="4">取引単体!$A$1:$P$21</definedName>
    <definedName name="_xlnm.Print_Area" localSheetId="0">表紙!$A$1:$S$39</definedName>
    <definedName name="_xlnm.Print_Area" localSheetId="1">変更履歴!$A$1:$AI$34</definedName>
    <definedName name="_xlnm.Print_Titles" localSheetId="3">XXX_リクエスト単体!$1:$9</definedName>
    <definedName name="_xlnm.Print_Titles" localSheetId="2">XxxAction_クラス単体!$1:$10</definedName>
    <definedName name="_xlnm.Print_Titles" localSheetId="4">取引単体!$1:$9</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21" l="1"/>
  <c r="AG1" i="21"/>
  <c r="AC1" i="21"/>
  <c r="A265" i="24" a="1"/>
  <c r="A71" i="23" a="1"/>
  <c r="A290" i="23" a="1"/>
  <c r="A210" i="23" a="1"/>
  <c r="A258" i="24" a="1"/>
  <c r="A34" i="24" a="1"/>
  <c r="A39" i="23" a="1"/>
  <c r="A205" i="23" a="1"/>
  <c r="A257" i="23" a="1"/>
  <c r="A102" i="24" a="1"/>
  <c r="A220" i="23" a="1"/>
  <c r="A172" i="24" a="1"/>
  <c r="A222" i="24" a="1"/>
  <c r="A260" i="23" a="1"/>
  <c r="A291" i="23" a="1"/>
  <c r="A11" i="23" a="1"/>
  <c r="A174" i="23" a="1"/>
  <c r="A303" i="24" a="1"/>
  <c r="A34" i="23" a="1"/>
  <c r="A306" i="24" a="1"/>
  <c r="A95" i="24" a="1"/>
  <c r="A199" i="24" a="1"/>
  <c r="A39" i="24" a="1"/>
  <c r="A252" i="24" a="1"/>
  <c r="A299" i="24" a="1"/>
  <c r="A215" i="24" a="1"/>
  <c r="A96" i="24" a="1"/>
  <c r="A197" i="24" a="1"/>
  <c r="A83" i="24" a="1"/>
  <c r="A186" i="23" a="1"/>
  <c r="A187" i="23" a="1"/>
  <c r="A235" i="24" a="1"/>
  <c r="A178" i="23" a="1"/>
  <c r="A85" i="24" a="1"/>
  <c r="A196" i="23" a="1"/>
  <c r="A315" i="24" a="1"/>
  <c r="A267" i="23" a="1"/>
  <c r="A283" i="24" a="1"/>
  <c r="A52" i="24" a="1"/>
  <c r="A29" i="24" a="1"/>
  <c r="A149" i="23" a="1"/>
  <c r="A37" i="23" a="1"/>
  <c r="A163" i="24" a="1"/>
  <c r="A256" i="23" a="1"/>
  <c r="A115" i="24" a="1"/>
  <c r="A84" i="23" a="1"/>
  <c r="A160" i="23" a="1"/>
  <c r="A65" i="24" a="1"/>
  <c r="A285" i="24" a="1"/>
  <c r="A14" i="24" a="1"/>
  <c r="A28" i="23" a="1"/>
  <c r="A181" i="24" a="1"/>
  <c r="A140" i="24" a="1"/>
  <c r="A122" i="24" a="1"/>
  <c r="A62" i="24" a="1"/>
  <c r="A101" i="23" a="1"/>
  <c r="A160" i="24" a="1"/>
  <c r="A221" i="23" a="1"/>
  <c r="A72" i="24" a="1"/>
  <c r="A287" i="23" a="1"/>
  <c r="A176" i="24" a="1"/>
  <c r="A200" i="23" a="1"/>
  <c r="A218" i="23" a="1"/>
  <c r="A261" i="23" a="1"/>
  <c r="A302" i="24" a="1"/>
  <c r="A100" i="24" a="1"/>
  <c r="A55" i="23" a="1"/>
  <c r="A203" i="23" a="1"/>
  <c r="A158" i="24" a="1"/>
  <c r="A75" i="23" a="1"/>
  <c r="A117" i="24" a="1"/>
  <c r="A86" i="23" a="1"/>
  <c r="A88" i="24" a="1"/>
  <c r="A86" i="24" a="1"/>
  <c r="A297" i="23" a="1"/>
  <c r="A103" i="24" a="1"/>
  <c r="A134" i="24" a="1"/>
  <c r="A314" i="24" a="1"/>
  <c r="A261" i="24" a="1"/>
  <c r="A171" i="24" a="1"/>
  <c r="A138" i="24" a="1"/>
  <c r="A114" i="24" a="1"/>
  <c r="A162" i="24" a="1"/>
  <c r="A58" i="23" a="1"/>
  <c r="A122" i="23" a="1"/>
  <c r="A118" i="24" a="1"/>
  <c r="A161" i="23" a="1"/>
  <c r="A212" i="24" a="1"/>
  <c r="A109" i="24" a="1"/>
  <c r="A153" i="23" a="1"/>
  <c r="A304" i="24" a="1"/>
  <c r="A189" i="24" a="1"/>
  <c r="A141" i="24" a="1"/>
  <c r="A245" i="23" a="1"/>
  <c r="A179" i="23" a="1"/>
  <c r="A106" i="24" a="1"/>
  <c r="A90" i="24" a="1"/>
  <c r="A226" i="24" a="1"/>
  <c r="A229" i="24" a="1"/>
  <c r="A73" i="24" a="1"/>
  <c r="A300" i="24" a="1"/>
  <c r="A220" i="24" a="1"/>
  <c r="A172" i="23" a="1"/>
  <c r="A23" i="24" a="1"/>
  <c r="A13" i="25" a="1"/>
  <c r="A167" i="23" a="1"/>
  <c r="A246" i="24" a="1"/>
  <c r="A221" i="24" a="1"/>
  <c r="A286" i="24" a="1"/>
  <c r="A45" i="24" a="1"/>
  <c r="A141" i="23" a="1"/>
  <c r="A67" i="23" a="1"/>
  <c r="A266" i="24" a="1"/>
  <c r="A213" i="24" a="1"/>
  <c r="A157" i="23" a="1"/>
  <c r="A42" i="23" a="1"/>
  <c r="A237" i="24" a="1"/>
  <c r="A63" i="23" a="1"/>
  <c r="A284" i="23" a="1"/>
  <c r="A298" i="23" a="1"/>
  <c r="A84" i="24" a="1"/>
  <c r="A66" i="23" a="1"/>
  <c r="A50" i="24" a="1"/>
  <c r="A194" i="23" a="1"/>
  <c r="A177" i="24" a="1"/>
  <c r="A96" i="23" a="1"/>
  <c r="A113" i="24" a="1"/>
  <c r="A199" i="23" a="1"/>
  <c r="A76" i="24" a="1"/>
  <c r="A49" i="23" a="1"/>
  <c r="A185" i="24" a="1"/>
  <c r="A117" i="23" a="1"/>
  <c r="A38" i="24" a="1"/>
  <c r="A219" i="24" a="1"/>
  <c r="A30" i="23" a="1"/>
  <c r="A244" i="23" a="1"/>
  <c r="A77" i="23" a="1"/>
  <c r="A121" i="23" a="1"/>
  <c r="A155" i="24" a="1"/>
  <c r="A265" i="23" a="1"/>
  <c r="A157" i="24" a="1"/>
  <c r="A109" i="23" a="1"/>
  <c r="A238" i="24" a="1"/>
  <c r="A147" i="23" a="1"/>
  <c r="A170" i="24" a="1"/>
  <c r="A182" i="23" a="1"/>
  <c r="A151" i="23" a="1"/>
  <c r="A12" i="24" a="1"/>
  <c r="A138" i="23" a="1"/>
  <c r="A49" i="24" a="1"/>
  <c r="A51" i="23" a="1"/>
  <c r="A294" i="24" a="1"/>
  <c r="A293" i="24" a="1"/>
  <c r="A189" i="23" a="1"/>
  <c r="A150" i="23" a="1"/>
  <c r="A42" i="24" a="1"/>
  <c r="A32" i="24" a="1"/>
  <c r="A146" i="24" a="1"/>
  <c r="A66" i="24" a="1"/>
  <c r="A228" i="23" a="1"/>
  <c r="A213" i="23" a="1"/>
  <c r="A298" i="24" a="1"/>
  <c r="A238" i="23" a="1"/>
  <c r="A79" i="23" a="1"/>
  <c r="A126" i="24" a="1"/>
  <c r="A227" i="23" a="1"/>
  <c r="A16" i="23" a="1"/>
  <c r="A169" i="23" a="1"/>
  <c r="A15" i="23" a="1"/>
  <c r="A145" i="24" a="1"/>
  <c r="A268" i="23" a="1"/>
  <c r="A94" i="23" a="1"/>
  <c r="A29" i="23" a="1"/>
  <c r="A20" i="23" a="1"/>
  <c r="A21" i="23" a="1"/>
  <c r="A102" i="23" a="1"/>
  <c r="A293" i="23" a="1"/>
  <c r="A166" i="23" a="1"/>
  <c r="A231" i="23" a="1"/>
  <c r="A233" i="23" a="1"/>
  <c r="A81" i="23" a="1"/>
  <c r="A106" i="23" a="1"/>
  <c r="A92" i="24" a="1"/>
  <c r="A70" i="24" a="1"/>
  <c r="A275" i="24" a="1"/>
  <c r="A192" i="24" a="1"/>
  <c r="A144" i="24" a="1"/>
  <c r="A217" i="23" a="1"/>
  <c r="A95" i="23" a="1"/>
  <c r="A281" i="24" a="1"/>
  <c r="A316" i="24" a="1"/>
  <c r="A104" i="24" a="1"/>
  <c r="A135" i="24" a="1"/>
  <c r="A78" i="23" a="1"/>
  <c r="A67" i="24" a="1"/>
  <c r="A111" i="24" a="1"/>
  <c r="A195" i="24" a="1"/>
  <c r="A148" i="24" a="1"/>
  <c r="A266" i="23" a="1"/>
  <c r="A104" i="23" a="1"/>
  <c r="A260" i="24" a="1"/>
  <c r="A74" i="23" a="1"/>
  <c r="A187" i="24" a="1"/>
  <c r="A127" i="24" a="1"/>
  <c r="A307" i="24" a="1"/>
  <c r="I25" i="20"/>
  <c r="A233" i="24" a="1"/>
  <c r="A87" i="24" a="1"/>
  <c r="A145" i="23" a="1"/>
  <c r="A74" i="24" a="1"/>
  <c r="A264" i="24" a="1"/>
  <c r="A275" i="23" a="1"/>
  <c r="A230" i="23" a="1"/>
  <c r="A26" i="24" a="1"/>
  <c r="A208" i="23" a="1"/>
  <c r="A40" i="23" a="1"/>
  <c r="A262" i="23" a="1"/>
  <c r="A26" i="23" a="1"/>
  <c r="A99" i="23" a="1"/>
  <c r="A21" i="24" a="1"/>
  <c r="A263" i="24" a="1"/>
  <c r="A13" i="24" a="1"/>
  <c r="A244" i="24" a="1"/>
  <c r="A165" i="24" a="1"/>
  <c r="A188" i="24" a="1"/>
  <c r="A99" i="24" a="1"/>
  <c r="A168" i="23" a="1"/>
  <c r="A162" i="23" a="1"/>
  <c r="A235" i="23" a="1"/>
  <c r="A267" i="24" a="1"/>
  <c r="A131" i="24" a="1"/>
  <c r="A242" i="23" a="1"/>
  <c r="A184" i="23" a="1"/>
  <c r="A285" i="23" a="1"/>
  <c r="A147" i="24" a="1"/>
  <c r="A156" i="23" a="1"/>
  <c r="A115" i="23" a="1"/>
  <c r="A278" i="24" a="1"/>
  <c r="A22" i="23" a="1"/>
  <c r="A43" i="24" a="1"/>
  <c r="A216" i="24" a="1"/>
  <c r="A211" i="24" a="1"/>
  <c r="A92" i="23" a="1"/>
  <c r="A254" i="23" a="1"/>
  <c r="A88" i="23" a="1"/>
  <c r="A116" i="24" a="1"/>
  <c r="A254" i="24" a="1"/>
  <c r="A32" i="23" a="1"/>
  <c r="A249" i="24" a="1"/>
  <c r="A190" i="24" a="1"/>
  <c r="A181" i="23" a="1"/>
  <c r="A196" i="24" a="1"/>
  <c r="A75" i="24" a="1"/>
  <c r="A123" i="23" a="1"/>
  <c r="A208" i="24" a="1"/>
  <c r="A158" i="23" a="1"/>
  <c r="A31" i="23" a="1"/>
  <c r="A236" i="24" a="1"/>
  <c r="A301" i="24" a="1"/>
  <c r="A296" i="24" a="1"/>
  <c r="A272" i="24" a="1"/>
  <c r="A97" i="23" a="1"/>
  <c r="A268" i="24" a="1"/>
  <c r="A41" i="24" a="1"/>
  <c r="A289" i="24" a="1"/>
  <c r="A125" i="23" a="1"/>
  <c r="A23" i="23" a="1"/>
  <c r="A272" i="23" a="1"/>
  <c r="A83" i="23" a="1"/>
  <c r="A159" i="24" a="1"/>
  <c r="A159" i="23" a="1"/>
  <c r="A242" i="24" a="1"/>
  <c r="A218" i="24" a="1"/>
  <c r="A76" i="23" a="1"/>
  <c r="A35" i="24" a="1"/>
  <c r="A110" i="23" a="1"/>
  <c r="A169" i="24" a="1"/>
  <c r="A165" i="23" a="1"/>
  <c r="A130" i="24" a="1"/>
  <c r="A38" i="23" a="1"/>
  <c r="A129" i="24" a="1"/>
  <c r="A36" i="24" a="1"/>
  <c r="A287" i="24" a="1"/>
  <c r="A60" i="24" a="1"/>
  <c r="A259" i="23" a="1"/>
  <c r="A180" i="23" a="1"/>
  <c r="A137" i="23" a="1"/>
  <c r="A121" i="24" a="1"/>
  <c r="A191" i="24" a="1"/>
  <c r="A97" i="24" a="1"/>
  <c r="A279" i="23" a="1"/>
  <c r="A192" i="23" a="1"/>
  <c r="A193" i="24" a="1"/>
  <c r="A93" i="23" a="1"/>
  <c r="A142" i="24" a="1"/>
  <c r="A124" i="24" a="1"/>
  <c r="A108" i="24" a="1"/>
  <c r="A183" i="23" a="1"/>
  <c r="A190" i="23" a="1"/>
  <c r="A36" i="23" a="1"/>
  <c r="A25" i="24" a="1"/>
  <c r="A46" i="23" a="1"/>
  <c r="A271" i="24" a="1"/>
  <c r="A51" i="24" a="1"/>
  <c r="A309" i="24" a="1"/>
  <c r="A283" i="23" a="1"/>
  <c r="A229" i="23" a="1"/>
  <c r="A214" i="23" a="1"/>
  <c r="A18" i="24" a="1"/>
  <c r="A273" i="23" a="1"/>
  <c r="A206" i="23" a="1"/>
  <c r="A35" i="23" a="1"/>
  <c r="A135" i="23" a="1"/>
  <c r="A105" i="24" a="1"/>
  <c r="A68" i="23" a="1"/>
  <c r="A264" i="23" a="1"/>
  <c r="A243" i="24" a="1"/>
  <c r="A70" i="23" a="1"/>
  <c r="A226" i="23" a="1"/>
  <c r="A205" i="24" a="1"/>
  <c r="A90" i="23" a="1"/>
  <c r="A17" i="23" a="1"/>
  <c r="A152" i="24" a="1"/>
  <c r="A198" i="23" a="1"/>
  <c r="A225" i="23" a="1"/>
  <c r="A269" i="24" a="1"/>
  <c r="A284" i="24" a="1"/>
  <c r="A200" i="24" a="1"/>
  <c r="A65" i="23" a="1"/>
  <c r="A212" i="23" a="1"/>
  <c r="A153" i="24" a="1"/>
  <c r="A80" i="23" a="1"/>
  <c r="A255" i="23" a="1"/>
  <c r="A178" i="24" a="1"/>
  <c r="A194" i="24" a="1"/>
  <c r="A240" i="24" a="1"/>
  <c r="A16" i="24" a="1"/>
  <c r="A276" i="23" a="1"/>
  <c r="A56" i="23" a="1"/>
  <c r="A236" i="23" a="1"/>
  <c r="A216" i="23" a="1"/>
  <c r="A19" i="24" a="1"/>
  <c r="A282" i="24" a="1"/>
  <c r="A43" i="23" a="1"/>
  <c r="A270" i="23" a="1"/>
  <c r="A12" i="23" a="1"/>
  <c r="A277" i="23" a="1"/>
  <c r="A224" i="24" a="1"/>
  <c r="A250" i="24" a="1"/>
  <c r="A72" i="23" a="1"/>
  <c r="A44" i="23" a="1"/>
  <c r="A68" i="24" a="1"/>
  <c r="A127" i="23" a="1"/>
  <c r="A195" i="23" a="1"/>
  <c r="A151" i="24" a="1"/>
  <c r="A120" i="24" a="1"/>
  <c r="A22" i="24" a="1"/>
  <c r="A110" i="24" a="1"/>
  <c r="A136" i="24" a="1"/>
  <c r="A167" i="24" a="1"/>
  <c r="A80" i="24" a="1"/>
  <c r="A111" i="23" a="1"/>
  <c r="A64" i="24" a="1"/>
  <c r="A137" i="24" a="1"/>
  <c r="A91" i="24" a="1"/>
  <c r="A277" i="24" a="1"/>
  <c r="A246" i="23" a="1"/>
  <c r="A54" i="23" a="1"/>
  <c r="A140" i="23" a="1"/>
  <c r="A262" i="24" a="1"/>
  <c r="A132" i="24" a="1"/>
  <c r="A183" i="24" a="1"/>
  <c r="A124" i="23" a="1"/>
  <c r="A144" i="23" a="1"/>
  <c r="A139" i="23" a="1"/>
  <c r="A251" i="24" a="1"/>
  <c r="A252" i="23" a="1"/>
  <c r="A174" i="24" a="1"/>
  <c r="A134" i="23" a="1"/>
  <c r="A155" i="23" a="1"/>
  <c r="A166" i="24" a="1"/>
  <c r="A18" i="23" a="1"/>
  <c r="A142" i="23" a="1"/>
  <c r="A310" i="24" a="1"/>
  <c r="A255" i="24" a="1"/>
  <c r="A146" i="23" a="1"/>
  <c r="A125" i="24" a="1"/>
  <c r="A61" i="24" a="1"/>
  <c r="A98" i="23" a="1"/>
  <c r="A204" i="23" a="1"/>
  <c r="A251" i="23" a="1"/>
  <c r="A152" i="23" a="1"/>
  <c r="A175" i="23" a="1"/>
  <c r="A274" i="24" a="1"/>
  <c r="A33" i="23" a="1"/>
  <c r="A281" i="23" a="1"/>
  <c r="A100" i="23" a="1"/>
  <c r="A276" i="24" a="1"/>
  <c r="A71" i="24" a="1"/>
  <c r="A143" i="23" a="1"/>
  <c r="A61" i="23" a="1"/>
  <c r="AC2" i="21"/>
  <c r="A173" i="23" a="1"/>
  <c r="A179" i="24" a="1"/>
  <c r="A175" i="24" a="1"/>
  <c r="A81" i="24" a="1"/>
  <c r="A247" i="23" a="1"/>
  <c r="A313" i="24" a="1"/>
  <c r="A177" i="23" a="1"/>
  <c r="A279" i="24" a="1"/>
  <c r="A296" i="23" a="1"/>
  <c r="A50" i="23" a="1"/>
  <c r="A223" i="23" a="1"/>
  <c r="A234" i="23" a="1"/>
  <c r="A215" i="23" a="1"/>
  <c r="A257" i="24" a="1"/>
  <c r="A33" i="24" a="1"/>
  <c r="A311" i="24" a="1"/>
  <c r="A91" i="23" a="1"/>
  <c r="A139" i="24" a="1"/>
  <c r="A237" i="23" a="1"/>
  <c r="A201" i="23" a="1"/>
  <c r="A273" i="24" a="1"/>
  <c r="A214" i="24" a="1"/>
  <c r="A271" i="23" a="1"/>
  <c r="A46" i="24" a="1"/>
  <c r="A48" i="23" a="1"/>
  <c r="A128" i="24" a="1"/>
  <c r="A132" i="23" a="1"/>
  <c r="A62" i="23" a="1"/>
  <c r="A193" i="23" a="1"/>
  <c r="A149" i="24" a="1"/>
  <c r="A89" i="24" a="1"/>
  <c r="A164" i="23" a="1"/>
  <c r="A47" i="23" a="1"/>
  <c r="A63" i="24" a="1"/>
  <c r="A292" i="23" a="1"/>
  <c r="A297" i="24" a="1"/>
  <c r="A41" i="23" a="1"/>
  <c r="A131" i="23" a="1"/>
  <c r="A25" i="23" a="1"/>
  <c r="A57" i="24" a="1"/>
  <c r="A112" i="24" a="1"/>
  <c r="A202" i="23" a="1"/>
  <c r="A129" i="23" a="1"/>
  <c r="A209" i="23" a="1"/>
  <c r="A280" i="24" a="1"/>
  <c r="A239" i="23" a="1"/>
  <c r="A24" i="24" a="1"/>
  <c r="A188" i="23" a="1"/>
  <c r="A107" i="24" a="1"/>
  <c r="A249" i="23" a="1"/>
  <c r="A258" i="23" a="1"/>
  <c r="A292" i="24" a="1"/>
  <c r="A245" i="24" a="1"/>
  <c r="A203" i="24" a="1"/>
  <c r="A250" i="23" a="1"/>
  <c r="A89" i="23" a="1"/>
  <c r="A114" i="23" a="1"/>
  <c r="A119" i="23" a="1"/>
  <c r="A126" i="23" a="1"/>
  <c r="A54" i="24" a="1"/>
  <c r="A225" i="24" a="1"/>
  <c r="A107" i="23" a="1"/>
  <c r="A207" i="24" a="1"/>
  <c r="A184" i="24" a="1"/>
  <c r="A168" i="24" a="1"/>
  <c r="A24" i="23" a="1"/>
  <c r="A240" i="23" a="1"/>
  <c r="A150" i="24" a="1"/>
  <c r="A103" i="23" a="1"/>
  <c r="A11" i="24" a="1"/>
  <c r="A77" i="24" a="1"/>
  <c r="A289" i="23" a="1"/>
  <c r="A154" i="23" a="1"/>
  <c r="A128" i="23" a="1"/>
  <c r="A73" i="23" a="1"/>
  <c r="A282" i="23" a="1"/>
  <c r="A58" i="24" a="1"/>
  <c r="A161" i="24" a="1"/>
  <c r="A182" i="24" a="1"/>
  <c r="A288" i="23" a="1"/>
  <c r="A204" i="24" a="1"/>
  <c r="A113" i="23" a="1"/>
  <c r="A87" i="23" a="1"/>
  <c r="A93" i="24" a="1"/>
  <c r="A53" i="23" a="1"/>
  <c r="A85" i="23" a="1"/>
  <c r="A206" i="24" a="1"/>
  <c r="A154" i="24" a="1"/>
  <c r="A227" i="24" a="1"/>
  <c r="A27" i="23" a="1"/>
  <c r="A47" i="24" a="1"/>
  <c r="A295" i="24" a="1"/>
  <c r="A45" i="23" a="1"/>
  <c r="A78" i="24" a="1"/>
  <c r="A247" i="24" a="1"/>
  <c r="A53" i="24" a="1"/>
  <c r="A294" i="23" a="1"/>
  <c r="A280" i="23" a="1"/>
  <c r="A163" i="23" a="1"/>
  <c r="A223" i="24" a="1"/>
  <c r="A312" i="24" a="1"/>
  <c r="A248" i="23" a="1"/>
  <c r="A270" i="24" a="1"/>
  <c r="A259" i="24" a="1"/>
  <c r="A48" i="24" a="1"/>
  <c r="A232" i="24" a="1"/>
  <c r="A253" i="23" a="1"/>
  <c r="A136" i="23" a="1"/>
  <c r="A82" i="23" a="1"/>
  <c r="A234" i="24" a="1"/>
  <c r="A211" i="23" a="1"/>
  <c r="A198" i="24" a="1"/>
  <c r="A217" i="24" a="1"/>
  <c r="A59" i="24" a="1"/>
  <c r="A241" i="23" a="1"/>
  <c r="A207" i="23" a="1"/>
  <c r="A269" i="23" a="1"/>
  <c r="A290" i="24" a="1"/>
  <c r="A30" i="24" a="1"/>
  <c r="A295" i="23" a="1"/>
  <c r="A55" i="24" a="1"/>
  <c r="A232" i="23" a="1"/>
  <c r="A241" i="24" a="1"/>
  <c r="A27" i="24" a="1"/>
  <c r="A101" i="24" a="1"/>
  <c r="A13" i="23" a="1"/>
  <c r="A224" i="23" a="1"/>
  <c r="A64" i="23" a="1"/>
  <c r="A14" i="23" a="1"/>
  <c r="A219" i="23" a="1"/>
  <c r="A180" i="24" a="1"/>
  <c r="A31" i="24" a="1"/>
  <c r="A120" i="23" a="1"/>
  <c r="A288" i="24" a="1"/>
  <c r="A123" i="24" a="1"/>
  <c r="A60" i="23" a="1"/>
  <c r="A118" i="23" a="1"/>
  <c r="A12" i="25" a="1"/>
  <c r="A69" i="23" a="1"/>
  <c r="A130" i="23" a="1"/>
  <c r="A278" i="23" a="1"/>
  <c r="A156" i="24" a="1"/>
  <c r="A108" i="23" a="1"/>
  <c r="A37" i="24" a="1"/>
  <c r="A59" i="23" a="1"/>
  <c r="A256" i="24" a="1"/>
  <c r="A305" i="24" a="1"/>
  <c r="A210" i="24" a="1"/>
  <c r="A222" i="23" a="1"/>
  <c r="A263" i="23" a="1"/>
  <c r="A173" i="24" a="1"/>
  <c r="A239" i="24" a="1"/>
  <c r="A201" i="24" a="1"/>
  <c r="A112" i="23" a="1"/>
  <c r="A186" i="24" a="1"/>
  <c r="A164" i="24" a="1"/>
  <c r="A105" i="23" a="1"/>
  <c r="A119" i="24" a="1"/>
  <c r="A176" i="23" a="1"/>
  <c r="A79" i="24" a="1"/>
  <c r="A170" i="23" a="1"/>
  <c r="A197" i="23" a="1"/>
  <c r="A17" i="24" a="1"/>
  <c r="A230" i="24" a="1"/>
  <c r="A231" i="24" a="1"/>
  <c r="A116" i="23" a="1"/>
  <c r="A133" i="23" a="1"/>
  <c r="A52" i="23" a="1"/>
  <c r="A11" i="25" a="1"/>
  <c r="A148" i="23" a="1"/>
  <c r="A253" i="24" a="1"/>
  <c r="A20" i="24" a="1"/>
  <c r="A248" i="24" a="1"/>
  <c r="A40" i="24" a="1"/>
  <c r="A228" i="24" a="1"/>
  <c r="A274" i="23" a="1"/>
  <c r="A44" i="24" a="1"/>
  <c r="A133" i="24" a="1"/>
  <c r="A69" i="24" a="1"/>
  <c r="A143" i="24" a="1"/>
  <c r="A202" i="24" a="1"/>
  <c r="A209" i="24" a="1"/>
  <c r="A57" i="23" a="1"/>
  <c r="A15" i="24" a="1"/>
  <c r="A191" i="23" a="1"/>
  <c r="A185" i="23" a="1"/>
  <c r="A19" i="23" a="1"/>
  <c r="A56" i="24" a="1"/>
  <c r="A171" i="23" a="1"/>
  <c r="A243" i="23" a="1"/>
  <c r="A82" i="24" a="1"/>
  <c r="A286" i="23" a="1"/>
  <c r="A98" i="24" a="1"/>
  <c r="A308" i="24" a="1"/>
  <c r="A291" i="24" a="1"/>
  <c r="A94" i="24" a="1"/>
  <c r="A28" i="24" a="1"/>
  <c r="A13" i="25" l="1"/>
  <c r="A12" i="25"/>
  <c r="A11" i="25"/>
  <c r="A242" i="24"/>
  <c r="A306" i="24"/>
  <c r="A301" i="24"/>
  <c r="A185" i="23"/>
  <c r="A22" i="23"/>
  <c r="A214" i="23"/>
  <c r="A270" i="23"/>
  <c r="A111" i="23"/>
  <c r="A130" i="23"/>
  <c r="A27" i="23"/>
  <c r="A153" i="23"/>
  <c r="A217" i="23"/>
  <c r="A43" i="24"/>
  <c r="A31" i="23"/>
  <c r="A117" i="23"/>
  <c r="A181" i="23"/>
  <c r="A245" i="23"/>
  <c r="A56" i="23"/>
  <c r="A121" i="24"/>
  <c r="A259" i="23"/>
  <c r="A118" i="23"/>
  <c r="A182" i="23"/>
  <c r="A246" i="23"/>
  <c r="A73" i="23"/>
  <c r="A57" i="23"/>
  <c r="A123" i="23"/>
  <c r="A187" i="23"/>
  <c r="A251" i="23"/>
  <c r="A32" i="23"/>
  <c r="A37" i="23"/>
  <c r="A110" i="23"/>
  <c r="A174" i="23"/>
  <c r="A238" i="23"/>
  <c r="A138" i="24"/>
  <c r="A54" i="23"/>
  <c r="A138" i="23"/>
  <c r="A202" i="23"/>
  <c r="A266" i="23"/>
  <c r="A145" i="23"/>
  <c r="A77" i="23"/>
  <c r="A143" i="23"/>
  <c r="A207" i="23"/>
  <c r="A271" i="23"/>
  <c r="A35" i="24"/>
  <c r="A95" i="24"/>
  <c r="A152" i="24"/>
  <c r="A216" i="24"/>
  <c r="A281" i="24"/>
  <c r="A17" i="24"/>
  <c r="A80" i="24"/>
  <c r="A145" i="24"/>
  <c r="A209" i="24"/>
  <c r="A274" i="24"/>
  <c r="A178" i="24"/>
  <c r="A243" i="24"/>
  <c r="A309" i="24"/>
  <c r="A58" i="24"/>
  <c r="A122" i="24"/>
  <c r="A187" i="24"/>
  <c r="A252" i="24"/>
  <c r="A282" i="23"/>
  <c r="A59" i="24"/>
  <c r="A123" i="24"/>
  <c r="A188" i="24"/>
  <c r="A253" i="24"/>
  <c r="A277" i="23"/>
  <c r="A52" i="24"/>
  <c r="A116" i="24"/>
  <c r="A181" i="24"/>
  <c r="A246" i="24"/>
  <c r="A312" i="24"/>
  <c r="A61" i="24"/>
  <c r="A125" i="24"/>
  <c r="A190" i="24"/>
  <c r="A255" i="24"/>
  <c r="A284" i="23"/>
  <c r="A62" i="24"/>
  <c r="A126" i="24"/>
  <c r="A191" i="24"/>
  <c r="A256" i="24"/>
  <c r="A121" i="23"/>
  <c r="A85" i="23"/>
  <c r="A150" i="23"/>
  <c r="A11" i="24"/>
  <c r="A25" i="23"/>
  <c r="A206" i="23"/>
  <c r="A175" i="23"/>
  <c r="A39" i="23"/>
  <c r="A190" i="23"/>
  <c r="A69" i="23"/>
  <c r="A127" i="23"/>
  <c r="A191" i="23"/>
  <c r="A255" i="23"/>
  <c r="A172" i="23"/>
  <c r="A61" i="23"/>
  <c r="A132" i="23"/>
  <c r="A196" i="23"/>
  <c r="A260" i="23"/>
  <c r="A60" i="23"/>
  <c r="A45" i="23"/>
  <c r="A119" i="23"/>
  <c r="A183" i="23"/>
  <c r="A247" i="23"/>
  <c r="A16" i="23"/>
  <c r="A66" i="23"/>
  <c r="A147" i="23"/>
  <c r="A211" i="23"/>
  <c r="A275" i="23"/>
  <c r="A195" i="23"/>
  <c r="A88" i="23"/>
  <c r="A152" i="23"/>
  <c r="A216" i="23"/>
  <c r="A285" i="23"/>
  <c r="A42" i="24"/>
  <c r="A103" i="24"/>
  <c r="A160" i="24"/>
  <c r="A224" i="24"/>
  <c r="A289" i="24"/>
  <c r="A23" i="24"/>
  <c r="A88" i="24"/>
  <c r="A153" i="24"/>
  <c r="A217" i="24"/>
  <c r="A282" i="24"/>
  <c r="A186" i="24"/>
  <c r="A251" i="24"/>
  <c r="A287" i="23"/>
  <c r="A66" i="24"/>
  <c r="A131" i="24"/>
  <c r="A195" i="24"/>
  <c r="A260" i="24"/>
  <c r="A288" i="23"/>
  <c r="A67" i="24"/>
  <c r="A132" i="24"/>
  <c r="A196" i="24"/>
  <c r="A261" i="24"/>
  <c r="A289" i="23"/>
  <c r="A60" i="24"/>
  <c r="A124" i="24"/>
  <c r="A189" i="24"/>
  <c r="A254" i="24"/>
  <c r="A290" i="23"/>
  <c r="A69" i="24"/>
  <c r="A134" i="24"/>
  <c r="A198" i="24"/>
  <c r="A263" i="24"/>
  <c r="A297" i="23"/>
  <c r="A70" i="24"/>
  <c r="A135" i="24"/>
  <c r="A199" i="24"/>
  <c r="A264" i="24"/>
  <c r="A90" i="23"/>
  <c r="A273" i="23"/>
  <c r="A219" i="23"/>
  <c r="A76" i="23"/>
  <c r="A106" i="23"/>
  <c r="A140" i="23"/>
  <c r="A19" i="23"/>
  <c r="A63" i="23"/>
  <c r="A72" i="23"/>
  <c r="A89" i="23"/>
  <c r="A98" i="23"/>
  <c r="A162" i="23"/>
  <c r="A105" i="24"/>
  <c r="A126" i="23"/>
  <c r="A108" i="23"/>
  <c r="A20" i="23"/>
  <c r="A107" i="23"/>
  <c r="A171" i="23"/>
  <c r="A131" i="23"/>
  <c r="A68" i="23"/>
  <c r="A135" i="23"/>
  <c r="A199" i="23"/>
  <c r="A263" i="23"/>
  <c r="A177" i="23"/>
  <c r="A36" i="23"/>
  <c r="A74" i="23"/>
  <c r="A136" i="23"/>
  <c r="A200" i="23"/>
  <c r="A264" i="23"/>
  <c r="A236" i="23"/>
  <c r="A65" i="23"/>
  <c r="A137" i="23"/>
  <c r="A201" i="23"/>
  <c r="A265" i="23"/>
  <c r="A113" i="23"/>
  <c r="A53" i="23"/>
  <c r="A128" i="23"/>
  <c r="A192" i="23"/>
  <c r="A256" i="23"/>
  <c r="A48" i="23"/>
  <c r="A92" i="23"/>
  <c r="A156" i="23"/>
  <c r="A220" i="23"/>
  <c r="A283" i="23"/>
  <c r="A14" i="23"/>
  <c r="A93" i="23"/>
  <c r="A157" i="23"/>
  <c r="A221" i="23"/>
  <c r="A37" i="24"/>
  <c r="A48" i="24"/>
  <c r="A111" i="24"/>
  <c r="A168" i="24"/>
  <c r="A232" i="24"/>
  <c r="A297" i="24"/>
  <c r="A30" i="24"/>
  <c r="A96" i="24"/>
  <c r="A161" i="24"/>
  <c r="A225" i="24"/>
  <c r="A290" i="24"/>
  <c r="A194" i="24"/>
  <c r="A259" i="24"/>
  <c r="A294" i="23"/>
  <c r="A74" i="24"/>
  <c r="A139" i="24"/>
  <c r="A203" i="24"/>
  <c r="A268" i="24"/>
  <c r="A13" i="24"/>
  <c r="A75" i="24"/>
  <c r="A140" i="24"/>
  <c r="A204" i="24"/>
  <c r="A269" i="24"/>
  <c r="A295" i="23"/>
  <c r="A68" i="24"/>
  <c r="A133" i="24"/>
  <c r="A197" i="24"/>
  <c r="A262" i="24"/>
  <c r="A296" i="23"/>
  <c r="A77" i="24"/>
  <c r="A142" i="24"/>
  <c r="A206" i="24"/>
  <c r="A271" i="24"/>
  <c r="A15" i="24"/>
  <c r="A78" i="24"/>
  <c r="A143" i="24"/>
  <c r="A207" i="24"/>
  <c r="A272" i="24"/>
  <c r="A11" i="23"/>
  <c r="A213" i="23"/>
  <c r="A86" i="23"/>
  <c r="A227" i="23"/>
  <c r="A170" i="23"/>
  <c r="A38" i="23"/>
  <c r="A194" i="23"/>
  <c r="A34" i="23"/>
  <c r="A43" i="23"/>
  <c r="A46" i="23"/>
  <c r="A47" i="23"/>
  <c r="A226" i="23"/>
  <c r="A254" i="23"/>
  <c r="A58" i="23"/>
  <c r="A51" i="23"/>
  <c r="A235" i="23"/>
  <c r="A40" i="23"/>
  <c r="A67" i="23"/>
  <c r="A55" i="23"/>
  <c r="A116" i="23"/>
  <c r="A180" i="23"/>
  <c r="A244" i="23"/>
  <c r="A204" i="23"/>
  <c r="A78" i="23"/>
  <c r="A144" i="23"/>
  <c r="A208" i="23"/>
  <c r="A272" i="23"/>
  <c r="A268" i="23"/>
  <c r="A64" i="23"/>
  <c r="A75" i="23"/>
  <c r="A141" i="23"/>
  <c r="A205" i="23"/>
  <c r="A269" i="23"/>
  <c r="A17" i="23"/>
  <c r="A82" i="23"/>
  <c r="A146" i="23"/>
  <c r="A210" i="23"/>
  <c r="A274" i="23"/>
  <c r="A163" i="23"/>
  <c r="A70" i="23"/>
  <c r="A133" i="23"/>
  <c r="A197" i="23"/>
  <c r="A261" i="23"/>
  <c r="A79" i="23"/>
  <c r="A97" i="23"/>
  <c r="A161" i="23"/>
  <c r="A225" i="23"/>
  <c r="A89" i="24"/>
  <c r="A26" i="23"/>
  <c r="A102" i="23"/>
  <c r="A166" i="23"/>
  <c r="A230" i="23"/>
  <c r="A97" i="24"/>
  <c r="A55" i="24"/>
  <c r="A119" i="24"/>
  <c r="A176" i="24"/>
  <c r="A240" i="24"/>
  <c r="A307" i="24"/>
  <c r="A36" i="24"/>
  <c r="A104" i="24"/>
  <c r="A169" i="24"/>
  <c r="A233" i="24"/>
  <c r="A298" i="24"/>
  <c r="A202" i="24"/>
  <c r="A267" i="24"/>
  <c r="A12" i="24"/>
  <c r="A82" i="24"/>
  <c r="A147" i="24"/>
  <c r="A211" i="24"/>
  <c r="A276" i="24"/>
  <c r="A19" i="24"/>
  <c r="A83" i="24"/>
  <c r="A148" i="24"/>
  <c r="A212" i="24"/>
  <c r="A277" i="24"/>
  <c r="A14" i="24"/>
  <c r="A76" i="24"/>
  <c r="A141" i="24"/>
  <c r="A205" i="24"/>
  <c r="A270" i="24"/>
  <c r="A21" i="24"/>
  <c r="A85" i="24"/>
  <c r="A150" i="24"/>
  <c r="A214" i="24"/>
  <c r="A279" i="24"/>
  <c r="A22" i="24"/>
  <c r="A86" i="24"/>
  <c r="A151" i="24"/>
  <c r="A215" i="24"/>
  <c r="A280" i="24"/>
  <c r="A59" i="23"/>
  <c r="A149" i="23"/>
  <c r="A280" i="23"/>
  <c r="A234" i="23"/>
  <c r="A239" i="23"/>
  <c r="A154" i="24"/>
  <c r="A63" i="24"/>
  <c r="A127" i="24"/>
  <c r="A184" i="24"/>
  <c r="A249" i="24"/>
  <c r="A315" i="24"/>
  <c r="A49" i="24"/>
  <c r="A112" i="24"/>
  <c r="A177" i="24"/>
  <c r="A241" i="24"/>
  <c r="A308" i="24"/>
  <c r="A210" i="24"/>
  <c r="A275" i="24"/>
  <c r="A25" i="24"/>
  <c r="A90" i="24"/>
  <c r="A155" i="24"/>
  <c r="A219" i="24"/>
  <c r="A284" i="24"/>
  <c r="A26" i="24"/>
  <c r="A91" i="24"/>
  <c r="A156" i="24"/>
  <c r="A220" i="24"/>
  <c r="A285" i="24"/>
  <c r="A20" i="24"/>
  <c r="A84" i="24"/>
  <c r="A149" i="24"/>
  <c r="A213" i="24"/>
  <c r="A278" i="24"/>
  <c r="A27" i="24"/>
  <c r="A93" i="24"/>
  <c r="A158" i="24"/>
  <c r="A222" i="24"/>
  <c r="A287" i="24"/>
  <c r="A28" i="24"/>
  <c r="A94" i="24"/>
  <c r="A159" i="24"/>
  <c r="A223" i="24"/>
  <c r="A288" i="24"/>
  <c r="A291" i="23"/>
  <c r="A155" i="23"/>
  <c r="A154" i="23"/>
  <c r="A258" i="23"/>
  <c r="A71" i="23"/>
  <c r="A94" i="23"/>
  <c r="A158" i="23"/>
  <c r="A222" i="23"/>
  <c r="A50" i="24"/>
  <c r="A278" i="23"/>
  <c r="A186" i="23"/>
  <c r="A95" i="23"/>
  <c r="A159" i="23"/>
  <c r="A223" i="23"/>
  <c r="A65" i="24"/>
  <c r="A33" i="23"/>
  <c r="A100" i="23"/>
  <c r="A164" i="23"/>
  <c r="A228" i="23"/>
  <c r="A18" i="24"/>
  <c r="A13" i="23"/>
  <c r="A87" i="23"/>
  <c r="A151" i="23"/>
  <c r="A215" i="23"/>
  <c r="A281" i="23"/>
  <c r="A209" i="23"/>
  <c r="A115" i="23"/>
  <c r="A179" i="23"/>
  <c r="A243" i="23"/>
  <c r="A12" i="23"/>
  <c r="A50" i="23"/>
  <c r="A120" i="23"/>
  <c r="A184" i="23"/>
  <c r="A248" i="23"/>
  <c r="A298" i="23"/>
  <c r="A71" i="24"/>
  <c r="A128" i="24"/>
  <c r="A192" i="24"/>
  <c r="A257" i="24"/>
  <c r="A279" i="23"/>
  <c r="A56" i="24"/>
  <c r="A120" i="24"/>
  <c r="A185" i="24"/>
  <c r="A250" i="24"/>
  <c r="A316" i="24"/>
  <c r="A218" i="24"/>
  <c r="A283" i="24"/>
  <c r="A31" i="24"/>
  <c r="A98" i="24"/>
  <c r="A163" i="24"/>
  <c r="A227" i="24"/>
  <c r="A292" i="24"/>
  <c r="A32" i="24"/>
  <c r="A99" i="24"/>
  <c r="A164" i="24"/>
  <c r="A228" i="24"/>
  <c r="A293" i="24"/>
  <c r="A33" i="24"/>
  <c r="A92" i="24"/>
  <c r="A157" i="24"/>
  <c r="A221" i="24"/>
  <c r="A286" i="24"/>
  <c r="A34" i="24"/>
  <c r="A101" i="24"/>
  <c r="A166" i="24"/>
  <c r="A230" i="24"/>
  <c r="A295" i="24"/>
  <c r="A41" i="24"/>
  <c r="A102" i="24"/>
  <c r="A167" i="24"/>
  <c r="A231" i="24"/>
  <c r="A296" i="24"/>
  <c r="A139" i="23"/>
  <c r="A203" i="23"/>
  <c r="A267" i="23"/>
  <c r="A15" i="23"/>
  <c r="A103" i="23"/>
  <c r="A167" i="23"/>
  <c r="A231" i="23"/>
  <c r="A113" i="24"/>
  <c r="A293" i="23"/>
  <c r="A241" i="23"/>
  <c r="A104" i="23"/>
  <c r="A168" i="23"/>
  <c r="A232" i="23"/>
  <c r="A24" i="23"/>
  <c r="A41" i="23"/>
  <c r="A105" i="23"/>
  <c r="A169" i="23"/>
  <c r="A233" i="23"/>
  <c r="A73" i="24"/>
  <c r="A21" i="23"/>
  <c r="A96" i="23"/>
  <c r="A160" i="23"/>
  <c r="A224" i="23"/>
  <c r="A24" i="24"/>
  <c r="A30" i="23"/>
  <c r="A124" i="23"/>
  <c r="A188" i="23"/>
  <c r="A252" i="23"/>
  <c r="A44" i="23"/>
  <c r="A62" i="23"/>
  <c r="A125" i="23"/>
  <c r="A189" i="23"/>
  <c r="A253" i="23"/>
  <c r="A16" i="24"/>
  <c r="A79" i="24"/>
  <c r="A136" i="24"/>
  <c r="A200" i="24"/>
  <c r="A265" i="24"/>
  <c r="A286" i="23"/>
  <c r="A64" i="24"/>
  <c r="A129" i="24"/>
  <c r="A193" i="24"/>
  <c r="A258" i="24"/>
  <c r="A162" i="24"/>
  <c r="A226" i="24"/>
  <c r="A291" i="24"/>
  <c r="A38" i="24"/>
  <c r="A106" i="24"/>
  <c r="A171" i="24"/>
  <c r="A235" i="24"/>
  <c r="A300" i="24"/>
  <c r="A45" i="24"/>
  <c r="A107" i="24"/>
  <c r="A172" i="24"/>
  <c r="A236" i="24"/>
  <c r="A302" i="24"/>
  <c r="A39" i="24"/>
  <c r="A100" i="24"/>
  <c r="A165" i="24"/>
  <c r="A229" i="24"/>
  <c r="A294" i="24"/>
  <c r="A40" i="24"/>
  <c r="A109" i="24"/>
  <c r="A174" i="24"/>
  <c r="A238" i="24"/>
  <c r="A304" i="24"/>
  <c r="A47" i="24"/>
  <c r="A110" i="24"/>
  <c r="A175" i="24"/>
  <c r="A239" i="24"/>
  <c r="A305" i="24"/>
  <c r="A249" i="23"/>
  <c r="A122" i="23"/>
  <c r="A91" i="23"/>
  <c r="A142" i="23"/>
  <c r="A146" i="24"/>
  <c r="A218" i="23"/>
  <c r="A18" i="23"/>
  <c r="A35" i="23"/>
  <c r="A84" i="23"/>
  <c r="A148" i="23"/>
  <c r="A212" i="23"/>
  <c r="A276" i="23"/>
  <c r="A23" i="23"/>
  <c r="A112" i="23"/>
  <c r="A176" i="23"/>
  <c r="A240" i="23"/>
  <c r="A28" i="23"/>
  <c r="A57" i="24"/>
  <c r="A250" i="23"/>
  <c r="A109" i="23"/>
  <c r="A173" i="23"/>
  <c r="A237" i="23"/>
  <c r="A52" i="23"/>
  <c r="A49" i="23"/>
  <c r="A114" i="23"/>
  <c r="A178" i="23"/>
  <c r="A242" i="23"/>
  <c r="A130" i="24"/>
  <c r="A29" i="23"/>
  <c r="A101" i="23"/>
  <c r="A165" i="23"/>
  <c r="A229" i="23"/>
  <c r="A81" i="24"/>
  <c r="A42" i="23"/>
  <c r="A129" i="23"/>
  <c r="A193" i="23"/>
  <c r="A257" i="23"/>
  <c r="A99" i="23"/>
  <c r="A83" i="23"/>
  <c r="A134" i="23"/>
  <c r="A198" i="23"/>
  <c r="A262" i="23"/>
  <c r="A29" i="24"/>
  <c r="A87" i="24"/>
  <c r="A144" i="24"/>
  <c r="A208" i="24"/>
  <c r="A273" i="24"/>
  <c r="A292" i="23"/>
  <c r="A72" i="24"/>
  <c r="A137" i="24"/>
  <c r="A201" i="24"/>
  <c r="A266" i="24"/>
  <c r="A170" i="24"/>
  <c r="A234" i="24"/>
  <c r="A299" i="24"/>
  <c r="A44" i="24"/>
  <c r="A114" i="24"/>
  <c r="A179" i="24"/>
  <c r="A244" i="24"/>
  <c r="A310" i="24"/>
  <c r="A51" i="24"/>
  <c r="A115" i="24"/>
  <c r="A180" i="24"/>
  <c r="A245" i="24"/>
  <c r="A311" i="24"/>
  <c r="A46" i="24"/>
  <c r="A108" i="24"/>
  <c r="A173" i="24"/>
  <c r="A237" i="24"/>
  <c r="A303" i="24"/>
  <c r="A53" i="24"/>
  <c r="A117" i="24"/>
  <c r="A182" i="24"/>
  <c r="A247" i="24"/>
  <c r="A313" i="24"/>
  <c r="A54" i="24"/>
  <c r="A118" i="24"/>
  <c r="A183" i="24"/>
  <c r="A248" i="24"/>
  <c r="A314" i="24"/>
  <c r="A80" i="23"/>
  <c r="A81" i="2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<sst xmlns="http://schemas.openxmlformats.org/spreadsheetml/2006/main" count="1772" uniqueCount="574">
  <si>
    <t>システム機能設計書</t>
    <rPh sb="4" eb="6">
      <t>キノウ</t>
    </rPh>
    <rPh sb="6" eb="9">
      <t>セッケイショ</t>
    </rPh>
    <phoneticPr fontId="5"/>
  </si>
  <si>
    <t>テストデータシート名</t>
    <rPh sb="9" eb="10">
      <t>メイ</t>
    </rPh>
    <phoneticPr fontId="2"/>
  </si>
  <si>
    <t>テスト内容</t>
    <rPh sb="3" eb="5">
      <t>ナイヨウ</t>
    </rPh>
    <phoneticPr fontId="2"/>
  </si>
  <si>
    <t>想定結果</t>
    <rPh sb="0" eb="2">
      <t>ソウテイ</t>
    </rPh>
    <rPh sb="2" eb="4">
      <t>ケッカ</t>
    </rPh>
    <phoneticPr fontId="2"/>
  </si>
  <si>
    <t>単体テスト仕様書(リクエスト単体テスト)</t>
    <rPh sb="0" eb="2">
      <t>タンタイ</t>
    </rPh>
    <rPh sb="5" eb="7">
      <t>シヨウ</t>
    </rPh>
    <rPh sb="7" eb="8">
      <t>ショ</t>
    </rPh>
    <rPh sb="14" eb="16">
      <t>タンタイ</t>
    </rPh>
    <phoneticPr fontId="2"/>
  </si>
  <si>
    <t>実施者</t>
    <rPh sb="0" eb="2">
      <t>ジッシ</t>
    </rPh>
    <rPh sb="2" eb="3">
      <t>シャ</t>
    </rPh>
    <phoneticPr fontId="2"/>
  </si>
  <si>
    <t>実施結果</t>
    <rPh sb="0" eb="2">
      <t>ジッシ</t>
    </rPh>
    <rPh sb="2" eb="4">
      <t>ケッカ</t>
    </rPh>
    <phoneticPr fontId="2"/>
  </si>
  <si>
    <t>確認者</t>
    <rPh sb="0" eb="2">
      <t>カクニン</t>
    </rPh>
    <rPh sb="2" eb="3">
      <t>シャ</t>
    </rPh>
    <phoneticPr fontId="2"/>
  </si>
  <si>
    <t>確認日</t>
    <rPh sb="0" eb="2">
      <t>カクニン</t>
    </rPh>
    <rPh sb="2" eb="3">
      <t>ビ</t>
    </rPh>
    <phoneticPr fontId="2"/>
  </si>
  <si>
    <t>区分</t>
    <rPh sb="0" eb="2">
      <t>クブン</t>
    </rPh>
    <phoneticPr fontId="4"/>
  </si>
  <si>
    <t>確認観点1</t>
    <rPh sb="0" eb="2">
      <t>カクニン</t>
    </rPh>
    <rPh sb="2" eb="4">
      <t>カンテン</t>
    </rPh>
    <phoneticPr fontId="4"/>
  </si>
  <si>
    <t>確認観点2</t>
    <rPh sb="0" eb="2">
      <t>カクニン</t>
    </rPh>
    <rPh sb="2" eb="4">
      <t>カンテン</t>
    </rPh>
    <phoneticPr fontId="4"/>
  </si>
  <si>
    <t>対応設計書</t>
    <rPh sb="0" eb="2">
      <t>タイオウ</t>
    </rPh>
    <rPh sb="2" eb="4">
      <t>セッケイ</t>
    </rPh>
    <rPh sb="4" eb="5">
      <t>ショ</t>
    </rPh>
    <phoneticPr fontId="4"/>
  </si>
  <si>
    <t>対応箇所</t>
    <rPh sb="0" eb="2">
      <t>タイオウ</t>
    </rPh>
    <rPh sb="2" eb="4">
      <t>カショ</t>
    </rPh>
    <phoneticPr fontId="4"/>
  </si>
  <si>
    <t>データNo</t>
    <phoneticPr fontId="2"/>
  </si>
  <si>
    <t>実施日</t>
    <rPh sb="0" eb="3">
      <t>ジッシビ</t>
    </rPh>
    <phoneticPr fontId="2"/>
  </si>
  <si>
    <t>実施日</t>
    <rPh sb="0" eb="2">
      <t>ジッシ</t>
    </rPh>
    <rPh sb="2" eb="3">
      <t>ヒ</t>
    </rPh>
    <phoneticPr fontId="2"/>
  </si>
  <si>
    <t>単体テスト仕様書(取引単体テスト)</t>
    <rPh sb="0" eb="2">
      <t>タンタイ</t>
    </rPh>
    <rPh sb="5" eb="7">
      <t>シヨウ</t>
    </rPh>
    <rPh sb="7" eb="8">
      <t>ショ</t>
    </rPh>
    <rPh sb="9" eb="11">
      <t>トリヒキ</t>
    </rPh>
    <rPh sb="11" eb="13">
      <t>タンタイ</t>
    </rPh>
    <phoneticPr fontId="2"/>
  </si>
  <si>
    <t>正常取引</t>
    <rPh sb="0" eb="2">
      <t>セイジョウ</t>
    </rPh>
    <rPh sb="2" eb="4">
      <t>トリヒキ</t>
    </rPh>
    <phoneticPr fontId="5"/>
  </si>
  <si>
    <t>別紙</t>
    <rPh sb="0" eb="2">
      <t>ベッシ</t>
    </rPh>
    <phoneticPr fontId="5"/>
  </si>
  <si>
    <t>作成者：</t>
    <rPh sb="0" eb="3">
      <t>サクセイシャ</t>
    </rPh>
    <phoneticPr fontId="2"/>
  </si>
  <si>
    <t>作成日：</t>
    <rPh sb="0" eb="3">
      <t>サクセイビ</t>
    </rPh>
    <phoneticPr fontId="2"/>
  </si>
  <si>
    <t>更新者：</t>
    <rPh sb="0" eb="3">
      <t>コウシンシャ</t>
    </rPh>
    <phoneticPr fontId="2"/>
  </si>
  <si>
    <t>更新日：</t>
    <rPh sb="0" eb="3">
      <t>コウシンビ</t>
    </rPh>
    <phoneticPr fontId="2"/>
  </si>
  <si>
    <t>データバリエーション</t>
    <phoneticPr fontId="5"/>
  </si>
  <si>
    <t>単体テスト仕様書(クラス単体テスト)</t>
    <rPh sb="0" eb="2">
      <t>タンタイ</t>
    </rPh>
    <rPh sb="5" eb="7">
      <t>シヨウ</t>
    </rPh>
    <rPh sb="7" eb="8">
      <t>ショ</t>
    </rPh>
    <rPh sb="12" eb="14">
      <t>タンタイ</t>
    </rPh>
    <phoneticPr fontId="2"/>
  </si>
  <si>
    <t>取引実行確認</t>
    <phoneticPr fontId="5"/>
  </si>
  <si>
    <t>システム機能設計書</t>
    <rPh sb="4" eb="9">
      <t>キノウセッケイショ</t>
    </rPh>
    <phoneticPr fontId="5"/>
  </si>
  <si>
    <t>・ユーザ情報照会応答電文の処理結果が"00"、エラーコードが"0000"で出力される。
・障害通知ログ、障害解析ログが出力されない。</t>
    <rPh sb="13" eb="15">
      <t>ショリ</t>
    </rPh>
    <rPh sb="15" eb="17">
      <t>ケッカ</t>
    </rPh>
    <rPh sb="37" eb="39">
      <t>シュツリョク</t>
    </rPh>
    <rPh sb="45" eb="47">
      <t>ショウガイ</t>
    </rPh>
    <rPh sb="47" eb="49">
      <t>ツウチ</t>
    </rPh>
    <rPh sb="52" eb="54">
      <t>ショウガイ</t>
    </rPh>
    <rPh sb="54" eb="56">
      <t>カイセキ</t>
    </rPh>
    <rPh sb="59" eb="61">
      <t>シュツリョク</t>
    </rPh>
    <phoneticPr fontId="2"/>
  </si>
  <si>
    <t>ユーザ情報照会応答電文のレコード構成が正しいことを確認する。</t>
    <rPh sb="16" eb="18">
      <t>コウセイ</t>
    </rPh>
    <rPh sb="19" eb="20">
      <t>タダ</t>
    </rPh>
    <rPh sb="25" eb="27">
      <t>カクニン</t>
    </rPh>
    <phoneticPr fontId="2"/>
  </si>
  <si>
    <t>本人電話番号2にALLゼロが設定される。</t>
    <rPh sb="0" eb="2">
      <t>ホンニン</t>
    </rPh>
    <rPh sb="2" eb="6">
      <t>デンワバンゴウ</t>
    </rPh>
    <rPh sb="14" eb="16">
      <t>セッテイ</t>
    </rPh>
    <phoneticPr fontId="2"/>
  </si>
  <si>
    <t>・ユーザ情報照会応答電文の処理結果に"11"、エラーコードに共通コンポーネントの戻り値のエラーコードが設定される。</t>
    <rPh sb="13" eb="15">
      <t>ショリ</t>
    </rPh>
    <rPh sb="15" eb="17">
      <t>ケッカ</t>
    </rPh>
    <rPh sb="30" eb="32">
      <t>キョウツウ</t>
    </rPh>
    <rPh sb="40" eb="41">
      <t>モド</t>
    </rPh>
    <rPh sb="42" eb="43">
      <t>チ</t>
    </rPh>
    <rPh sb="51" eb="53">
      <t>セッテイ</t>
    </rPh>
    <phoneticPr fontId="2"/>
  </si>
  <si>
    <t>testAbnormalEnd</t>
    <phoneticPr fontId="2"/>
  </si>
  <si>
    <t>1</t>
    <phoneticPr fontId="2"/>
  </si>
  <si>
    <t>3</t>
    <phoneticPr fontId="2"/>
  </si>
  <si>
    <t>・取引内のすべての処理が正常終了する。
・障害通知ログ、障害解析ログが出力されない。</t>
    <rPh sb="1" eb="3">
      <t>トリヒキ</t>
    </rPh>
    <rPh sb="3" eb="4">
      <t>ナイ</t>
    </rPh>
    <rPh sb="9" eb="11">
      <t>ショリ</t>
    </rPh>
    <rPh sb="12" eb="14">
      <t>セイジョウ</t>
    </rPh>
    <rPh sb="14" eb="16">
      <t>シュウリョウ</t>
    </rPh>
    <rPh sb="21" eb="23">
      <t>ショウガイ</t>
    </rPh>
    <rPh sb="23" eb="25">
      <t>ツウチ</t>
    </rPh>
    <rPh sb="28" eb="30">
      <t>ショウガイ</t>
    </rPh>
    <rPh sb="30" eb="32">
      <t>カイセキ</t>
    </rPh>
    <rPh sb="35" eb="37">
      <t>シュツリョク</t>
    </rPh>
    <phoneticPr fontId="2"/>
  </si>
  <si>
    <t>ユーザ情報が取得できる場合
＜入力データの条件＞
ユーザ情報更新要求電文のユーザIDにひもづくデータがユーザ管理テーブルに存在する。</t>
    <rPh sb="3" eb="5">
      <t>ジョウホウ</t>
    </rPh>
    <rPh sb="6" eb="8">
      <t>シュトク</t>
    </rPh>
    <rPh sb="11" eb="13">
      <t>バアイ</t>
    </rPh>
    <rPh sb="15" eb="17">
      <t>ニュウリョク</t>
    </rPh>
    <rPh sb="21" eb="23">
      <t>ジョウケン</t>
    </rPh>
    <rPh sb="32" eb="34">
      <t>ヨウキュウ</t>
    </rPh>
    <rPh sb="54" eb="56">
      <t>カンリ</t>
    </rPh>
    <rPh sb="61" eb="63">
      <t>ソンザイ</t>
    </rPh>
    <phoneticPr fontId="2"/>
  </si>
  <si>
    <t>ユーザ情報が取得できない場合
＜入力データの条件＞
ユーザ情報更新要求電文のユーザIDにひもづくデータがユーザ管理テーブルに存在しない。</t>
    <rPh sb="3" eb="5">
      <t>ジョウホウ</t>
    </rPh>
    <rPh sb="6" eb="8">
      <t>シュトク</t>
    </rPh>
    <rPh sb="12" eb="14">
      <t>バアイ</t>
    </rPh>
    <rPh sb="16" eb="18">
      <t>ニュウリョク</t>
    </rPh>
    <rPh sb="22" eb="24">
      <t>ジョウケン</t>
    </rPh>
    <rPh sb="33" eb="35">
      <t>ヨウキュウ</t>
    </rPh>
    <rPh sb="55" eb="57">
      <t>カンリ</t>
    </rPh>
    <rPh sb="62" eb="64">
      <t>ソンザイ</t>
    </rPh>
    <phoneticPr fontId="2"/>
  </si>
  <si>
    <t>4</t>
    <phoneticPr fontId="2"/>
  </si>
  <si>
    <t>PJ名</t>
  </si>
  <si>
    <t>成果物名</t>
  </si>
  <si>
    <t>作成</t>
  </si>
  <si>
    <t>システム名</t>
  </si>
  <si>
    <t>変更</t>
  </si>
  <si>
    <t>サブシステム名</t>
  </si>
  <si>
    <t>変更履歴（ 1　/ 1 ）</t>
  </si>
  <si>
    <t>No.</t>
    <phoneticPr fontId="4"/>
  </si>
  <si>
    <t>版数</t>
    <rPh sb="0" eb="2">
      <t>ハンスウ</t>
    </rPh>
    <phoneticPr fontId="4"/>
  </si>
  <si>
    <t>変更日</t>
    <rPh sb="0" eb="3">
      <t>ヘンコウビ</t>
    </rPh>
    <phoneticPr fontId="4"/>
  </si>
  <si>
    <t>変更箇所（項番等）</t>
    <rPh sb="0" eb="2">
      <t>ヘンコウ</t>
    </rPh>
    <rPh sb="2" eb="4">
      <t>カショ</t>
    </rPh>
    <rPh sb="5" eb="8">
      <t>コウバンナド</t>
    </rPh>
    <phoneticPr fontId="4"/>
  </si>
  <si>
    <t>変更内容</t>
    <rPh sb="0" eb="2">
      <t>ヘンコウ</t>
    </rPh>
    <rPh sb="2" eb="4">
      <t>ナイヨウ</t>
    </rPh>
    <phoneticPr fontId="4"/>
  </si>
  <si>
    <t>担当者</t>
    <rPh sb="0" eb="3">
      <t>タントウシャ</t>
    </rPh>
    <phoneticPr fontId="4"/>
  </si>
  <si>
    <t>サンプルプロジェクト</t>
    <phoneticPr fontId="2"/>
  </si>
  <si>
    <t>サンプルシステム</t>
    <phoneticPr fontId="2"/>
  </si>
  <si>
    <t>サンプルサブシステム</t>
    <phoneticPr fontId="2"/>
  </si>
  <si>
    <t>機能名：サンプル機能</t>
    <rPh sb="0" eb="3">
      <t>キノウメイ</t>
    </rPh>
    <rPh sb="8" eb="10">
      <t>キノウ</t>
    </rPh>
    <phoneticPr fontId="2"/>
  </si>
  <si>
    <t>取引名：サンプル取引</t>
    <rPh sb="0" eb="3">
      <t>トリヒキメイ</t>
    </rPh>
    <rPh sb="8" eb="10">
      <t>トリヒキ</t>
    </rPh>
    <phoneticPr fontId="2"/>
  </si>
  <si>
    <t>1.0版</t>
    <rPh sb="3" eb="4">
      <t>ハン</t>
    </rPh>
    <phoneticPr fontId="4"/>
  </si>
  <si>
    <t>新規</t>
    <rPh sb="0" eb="2">
      <t>シンキ</t>
    </rPh>
    <phoneticPr fontId="4"/>
  </si>
  <si>
    <t>-</t>
    <phoneticPr fontId="4"/>
  </si>
  <si>
    <t>(新規作成)</t>
    <rPh sb="1" eb="5">
      <t>シンキサクセイ</t>
    </rPh>
    <phoneticPr fontId="4"/>
  </si>
  <si>
    <t>TIS</t>
    <phoneticPr fontId="2"/>
  </si>
  <si>
    <t>ケースNo.</t>
    <phoneticPr fontId="4"/>
  </si>
  <si>
    <t>サブシステム名：サンプルサブシステム</t>
    <rPh sb="6" eb="7">
      <t>メイ</t>
    </rPh>
    <phoneticPr fontId="2"/>
  </si>
  <si>
    <t>1.1版</t>
    <rPh sb="3" eb="4">
      <t>ハン</t>
    </rPh>
    <phoneticPr fontId="2"/>
  </si>
  <si>
    <t>変更</t>
    <rPh sb="0" eb="2">
      <t>ヘンコウ</t>
    </rPh>
    <phoneticPr fontId="2"/>
  </si>
  <si>
    <t>・クラス単体テスト
・リクエスト単体テスト</t>
    <rPh sb="4" eb="6">
      <t>タンタイ</t>
    </rPh>
    <rPh sb="16" eb="18">
      <t>タンタイ</t>
    </rPh>
    <phoneticPr fontId="2"/>
  </si>
  <si>
    <t>テスト観点カタログをベースにしたテストケースに変更</t>
    <rPh sb="3" eb="5">
      <t>カンテン</t>
    </rPh>
    <rPh sb="23" eb="25">
      <t>ヘンコウ</t>
    </rPh>
    <phoneticPr fontId="2"/>
  </si>
  <si>
    <t>第１．１版</t>
    <rPh sb="0" eb="1">
      <t>ダイ</t>
    </rPh>
    <phoneticPr fontId="13"/>
  </si>
  <si>
    <t>サブシステム名：プロジェクト管理システム</t>
    <rPh sb="6" eb="7">
      <t>メイ</t>
    </rPh>
    <rPh sb="14" eb="16">
      <t>カンリ</t>
    </rPh>
    <phoneticPr fontId="2"/>
  </si>
  <si>
    <t>テストターゲット名：XxxAction</t>
    <rPh sb="8" eb="9">
      <t>メイ</t>
    </rPh>
    <phoneticPr fontId="2"/>
  </si>
  <si>
    <t>ケースNo</t>
    <phoneticPr fontId="4"/>
  </si>
  <si>
    <t>大項目</t>
    <rPh sb="0" eb="1">
      <t>ダイ</t>
    </rPh>
    <rPh sb="1" eb="3">
      <t>コウモク</t>
    </rPh>
    <phoneticPr fontId="3"/>
  </si>
  <si>
    <t>中項目</t>
    <rPh sb="0" eb="1">
      <t>チュウ</t>
    </rPh>
    <rPh sb="1" eb="3">
      <t>コウモク</t>
    </rPh>
    <phoneticPr fontId="3"/>
  </si>
  <si>
    <t>小項目</t>
    <rPh sb="0" eb="1">
      <t>ショウ</t>
    </rPh>
    <rPh sb="1" eb="3">
      <t>コウモク</t>
    </rPh>
    <phoneticPr fontId="3"/>
  </si>
  <si>
    <t>詳細</t>
    <rPh sb="0" eb="2">
      <t>ショウサイ</t>
    </rPh>
    <phoneticPr fontId="1"/>
  </si>
  <si>
    <t>観点</t>
    <rPh sb="0" eb="2">
      <t>カンテン</t>
    </rPh>
    <phoneticPr fontId="2"/>
  </si>
  <si>
    <t>対象外理由</t>
    <rPh sb="0" eb="3">
      <t>タイショウガイ</t>
    </rPh>
    <rPh sb="3" eb="5">
      <t>リユウ</t>
    </rPh>
    <phoneticPr fontId="2"/>
  </si>
  <si>
    <t>対応設計書</t>
    <rPh sb="0" eb="2">
      <t>タイオウ</t>
    </rPh>
    <rPh sb="2" eb="4">
      <t>セッケイ</t>
    </rPh>
    <rPh sb="4" eb="5">
      <t>ショ</t>
    </rPh>
    <phoneticPr fontId="2"/>
  </si>
  <si>
    <t>対応箇所</t>
    <rPh sb="0" eb="2">
      <t>タイオウ</t>
    </rPh>
    <rPh sb="2" eb="4">
      <t>カショ</t>
    </rPh>
    <phoneticPr fontId="2"/>
  </si>
  <si>
    <t>テストデータシート名</t>
    <phoneticPr fontId="2"/>
  </si>
  <si>
    <t>バリデーション</t>
  </si>
  <si>
    <t>単項目バリデーション</t>
    <rPh sb="0" eb="1">
      <t>タン</t>
    </rPh>
    <rPh sb="1" eb="3">
      <t>コウモク</t>
    </rPh>
    <phoneticPr fontId="20"/>
  </si>
  <si>
    <t>必須バリデーション</t>
  </si>
  <si>
    <t>必須項目</t>
    <rPh sb="0" eb="2">
      <t>ヒッス</t>
    </rPh>
    <rPh sb="2" eb="4">
      <t>コウモク</t>
    </rPh>
    <phoneticPr fontId="20"/>
  </si>
  <si>
    <t>必須項目が未入力の場合、エラーとなること。</t>
    <rPh sb="0" eb="2">
      <t>ヒッス</t>
    </rPh>
    <rPh sb="2" eb="4">
      <t>コウモク</t>
    </rPh>
    <rPh sb="5" eb="8">
      <t>ミニュウリョク</t>
    </rPh>
    <rPh sb="9" eb="11">
      <t>バアイ</t>
    </rPh>
    <phoneticPr fontId="4"/>
  </si>
  <si>
    <t>Formのクラス単体テストで確認するため対象外</t>
    <rPh sb="8" eb="10">
      <t>タンタイ</t>
    </rPh>
    <rPh sb="14" eb="16">
      <t>カクニン</t>
    </rPh>
    <rPh sb="20" eb="23">
      <t>タイショウガイ</t>
    </rPh>
    <phoneticPr fontId="2"/>
  </si>
  <si>
    <t>任意項目</t>
    <rPh sb="0" eb="2">
      <t>ニンイ</t>
    </rPh>
    <rPh sb="2" eb="4">
      <t>コウモク</t>
    </rPh>
    <phoneticPr fontId="20"/>
  </si>
  <si>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20"/>
  </si>
  <si>
    <t>文字列長バリデーション</t>
    <rPh sb="0" eb="3">
      <t>モジレツ</t>
    </rPh>
    <rPh sb="3" eb="4">
      <t>チョウ</t>
    </rPh>
    <phoneticPr fontId="2"/>
  </si>
  <si>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</si>
  <si>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20"/>
  </si>
  <si>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20"/>
  </si>
  <si>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20"/>
  </si>
  <si>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20"/>
  </si>
  <si>
    <t>サロゲートペア文字を許容する設計となっている場合、サロゲートペア文字を含んだ値が入力された結果がエラーとならないこと。</t>
    <rPh sb="38" eb="39">
      <t>アタイ</t>
    </rPh>
    <rPh sb="40" eb="42">
      <t>ニュウリョク</t>
    </rPh>
    <phoneticPr fontId="20"/>
  </si>
  <si>
    <t>数値バリデーション</t>
    <rPh sb="0" eb="2">
      <t>スウチ</t>
    </rPh>
    <phoneticPr fontId="2"/>
  </si>
  <si>
    <t>桁数</t>
    <rPh sb="0" eb="2">
      <t>ケタスウ</t>
    </rPh>
    <phoneticPr fontId="2"/>
  </si>
  <si>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20"/>
  </si>
  <si>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20"/>
  </si>
  <si>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20"/>
  </si>
  <si>
    <t>有効範囲</t>
    <rPh sb="0" eb="2">
      <t>ユウコウ</t>
    </rPh>
    <rPh sb="2" eb="4">
      <t>ハンイ</t>
    </rPh>
    <phoneticPr fontId="20"/>
  </si>
  <si>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20"/>
  </si>
  <si>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20"/>
  </si>
  <si>
    <t>数値項目に有効範囲の下限値が入力された場合、エラーとならないこと。</t>
    <rPh sb="10" eb="12">
      <t>カゲン</t>
    </rPh>
    <phoneticPr fontId="2"/>
  </si>
  <si>
    <t>数値項目に有効範囲の下限値－1が入力された場合、エラーとなること。</t>
    <rPh sb="10" eb="12">
      <t>カゲン</t>
    </rPh>
    <phoneticPr fontId="2"/>
  </si>
  <si>
    <t>文字種バリデーション</t>
    <rPh sb="0" eb="3">
      <t>モジシュ</t>
    </rPh>
    <phoneticPr fontId="2"/>
  </si>
  <si>
    <t>許容対象の文字が入力された場合、エラーとならないこと。</t>
    <rPh sb="0" eb="2">
      <t>キョヨウ</t>
    </rPh>
    <rPh sb="2" eb="4">
      <t>タイショウ</t>
    </rPh>
    <rPh sb="5" eb="7">
      <t>モジ</t>
    </rPh>
    <rPh sb="8" eb="10">
      <t>ニュウリョク</t>
    </rPh>
    <rPh sb="13" eb="15">
      <t>バアイ</t>
    </rPh>
    <phoneticPr fontId="20"/>
  </si>
  <si>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20"/>
  </si>
  <si>
    <t>その他のバリデーション</t>
    <rPh sb="2" eb="3">
      <t>タ</t>
    </rPh>
    <phoneticPr fontId="20"/>
  </si>
  <si>
    <t>コード値</t>
    <rPh sb="3" eb="4">
      <t>チ</t>
    </rPh>
    <phoneticPr fontId="20"/>
  </si>
  <si>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20"/>
  </si>
  <si>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20"/>
  </si>
  <si>
    <t>日付</t>
    <rPh sb="0" eb="2">
      <t>ヒヅケ</t>
    </rPh>
    <phoneticPr fontId="20"/>
  </si>
  <si>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20"/>
  </si>
  <si>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20"/>
  </si>
  <si>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20"/>
  </si>
  <si>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20"/>
  </si>
  <si>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</si>
  <si>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2"/>
  </si>
  <si>
    <t>メールアドレス項目に無効な値が入力された場合、エラーとなること。</t>
    <rPh sb="7" eb="9">
      <t>コウモク</t>
    </rPh>
    <rPh sb="10" eb="12">
      <t>ムコウ</t>
    </rPh>
    <rPh sb="13" eb="14">
      <t>アタイ</t>
    </rPh>
    <rPh sb="15" eb="17">
      <t>ニュウリョク</t>
    </rPh>
    <rPh sb="20" eb="22">
      <t>バアイ</t>
    </rPh>
    <phoneticPr fontId="22"/>
  </si>
  <si>
    <t>アプリケーション固有のバリデーション</t>
    <rPh sb="8" eb="10">
      <t>コユウ</t>
    </rPh>
    <phoneticPr fontId="20"/>
  </si>
  <si>
    <t>アプリケーション固有のバリデーションがある場合、バリデーションの結果が［システム機能設計書の記載通り］であること。</t>
    <phoneticPr fontId="20"/>
  </si>
  <si>
    <t>相関バリデーション</t>
    <rPh sb="0" eb="2">
      <t>ソウカン</t>
    </rPh>
    <phoneticPr fontId="2"/>
  </si>
  <si>
    <t>-</t>
    <phoneticPr fontId="2"/>
  </si>
  <si>
    <t>特定の条件により必須・任意が変わる項目について、該当項目が必須となっている状態で、値が未入力の場合、エラーとなること。</t>
    <rPh sb="29" eb="31">
      <t>ヒッス</t>
    </rPh>
    <phoneticPr fontId="20"/>
  </si>
  <si>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</si>
  <si>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20"/>
  </si>
  <si>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20"/>
  </si>
  <si>
    <t>DBとの相関バリデーション</t>
    <rPh sb="4" eb="6">
      <t>ソウカン</t>
    </rPh>
    <phoneticPr fontId="20"/>
  </si>
  <si>
    <t>有効なレコードが存在する場合、エラーとならないこと。</t>
  </si>
  <si>
    <t>有効なレコードが存在しない場合、エラーとなること。</t>
  </si>
  <si>
    <t>DB操作</t>
    <rPh sb="2" eb="4">
      <t>ソウサ</t>
    </rPh>
    <phoneticPr fontId="20"/>
  </si>
  <si>
    <t>共通</t>
    <rPh sb="0" eb="2">
      <t>キョウツウ</t>
    </rPh>
    <phoneticPr fontId="2"/>
  </si>
  <si>
    <t>検索/更新/削除条件</t>
    <rPh sb="0" eb="2">
      <t>ケンサク</t>
    </rPh>
    <rPh sb="3" eb="5">
      <t>コウシン</t>
    </rPh>
    <rPh sb="6" eb="8">
      <t>サクジョ</t>
    </rPh>
    <rPh sb="8" eb="10">
      <t>ジョウケン</t>
    </rPh>
    <phoneticPr fontId="2"/>
  </si>
  <si>
    <t>単一条件</t>
    <rPh sb="0" eb="2">
      <t>タンイツ</t>
    </rPh>
    <rPh sb="2" eb="4">
      <t>ジョウケン</t>
    </rPh>
    <phoneticPr fontId="20"/>
  </si>
  <si>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20"/>
  </si>
  <si>
    <t>該当処理が無いため対象外</t>
    <rPh sb="0" eb="2">
      <t>ガイトウ</t>
    </rPh>
    <rPh sb="2" eb="4">
      <t>ショリ</t>
    </rPh>
    <rPh sb="5" eb="6">
      <t>ナ</t>
    </rPh>
    <rPh sb="9" eb="12">
      <t>タイショウガイ</t>
    </rPh>
    <phoneticPr fontId="2"/>
  </si>
  <si>
    <t>無効な値が条件に指定された場合、レコードが取得、更新、削除されないこと。</t>
    <rPh sb="0" eb="2">
      <t>ムコウ</t>
    </rPh>
    <rPh sb="3" eb="4">
      <t>アタイ</t>
    </rPh>
    <rPh sb="5" eb="7">
      <t>ジョウケン</t>
    </rPh>
    <rPh sb="8" eb="10">
      <t>シテイ</t>
    </rPh>
    <rPh sb="13" eb="15">
      <t>バアイ</t>
    </rPh>
    <phoneticPr fontId="20"/>
  </si>
  <si>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20"/>
  </si>
  <si>
    <t>複数条件</t>
    <rPh sb="0" eb="2">
      <t>フクスウ</t>
    </rPh>
    <rPh sb="2" eb="4">
      <t>ジョウケン</t>
    </rPh>
    <phoneticPr fontId="20"/>
  </si>
  <si>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20"/>
  </si>
  <si>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20"/>
  </si>
  <si>
    <t>完全一致</t>
    <rPh sb="0" eb="2">
      <t>カンゼン</t>
    </rPh>
    <rPh sb="2" eb="4">
      <t>イッチ</t>
    </rPh>
    <phoneticPr fontId="2"/>
  </si>
  <si>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</si>
  <si>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</si>
  <si>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20"/>
  </si>
  <si>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</si>
  <si>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</si>
  <si>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</si>
  <si>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</si>
  <si>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</si>
  <si>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</si>
  <si>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20"/>
  </si>
  <si>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20"/>
  </si>
  <si>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</si>
  <si>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2"/>
  </si>
  <si>
    <t>件数上限</t>
    <rPh sb="0" eb="2">
      <t>ケンスウ</t>
    </rPh>
    <rPh sb="2" eb="4">
      <t>ジョウゲン</t>
    </rPh>
    <phoneticPr fontId="20"/>
  </si>
  <si>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20"/>
  </si>
  <si>
    <t>登録/更新内容</t>
    <rPh sb="0" eb="2">
      <t>トウロク</t>
    </rPh>
    <rPh sb="3" eb="5">
      <t>コウシン</t>
    </rPh>
    <rPh sb="5" eb="7">
      <t>ナイヨウ</t>
    </rPh>
    <phoneticPr fontId="2"/>
  </si>
  <si>
    <t>全項目に値が指定された場合、レコードが登録されること。</t>
  </si>
  <si>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</si>
  <si>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</si>
  <si>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</si>
  <si>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2"/>
  </si>
  <si>
    <t>編集仕様</t>
    <rPh sb="0" eb="2">
      <t>ヘンシュウ</t>
    </rPh>
    <rPh sb="2" eb="4">
      <t>シヨウ</t>
    </rPh>
    <phoneticPr fontId="20"/>
  </si>
  <si>
    <t>取得した値を変換する設計となっている場合、登録、更新された値が［システム機能設計書/共通コンポーネント設計書の記載通り］であること。</t>
  </si>
  <si>
    <t>1</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</si>
  <si>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20"/>
  </si>
  <si>
    <t>2</t>
  </si>
  <si>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20"/>
  </si>
  <si>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20"/>
  </si>
  <si>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20"/>
  </si>
  <si>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20"/>
  </si>
  <si>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20"/>
  </si>
  <si>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20"/>
  </si>
  <si>
    <t>データ型</t>
    <rPh sb="3" eb="4">
      <t>ガタ</t>
    </rPh>
    <phoneticPr fontId="20"/>
  </si>
  <si>
    <t>カラムのデータ型に合わせて、指定された値が登録、更新されること。</t>
    <rPh sb="7" eb="8">
      <t>カタ</t>
    </rPh>
    <rPh sb="9" eb="10">
      <t>ア</t>
    </rPh>
    <rPh sb="14" eb="16">
      <t>シテイ</t>
    </rPh>
    <phoneticPr fontId="20"/>
  </si>
  <si>
    <t>システム機能設計書</t>
    <phoneticPr fontId="2"/>
  </si>
  <si>
    <t>桁数</t>
    <rPh sb="0" eb="2">
      <t>ケタスウ</t>
    </rPh>
    <phoneticPr fontId="20"/>
  </si>
  <si>
    <t>最大長が指定された場合、登録、更新されること。</t>
    <rPh sb="0" eb="2">
      <t>サイダイ</t>
    </rPh>
    <rPh sb="2" eb="3">
      <t>チョウ</t>
    </rPh>
    <rPh sb="4" eb="6">
      <t>シテイ</t>
    </rPh>
    <rPh sb="9" eb="11">
      <t>バアイ</t>
    </rPh>
    <phoneticPr fontId="20"/>
  </si>
  <si>
    <t>最大長＋1が指定された場合、登録、更新されないこと。</t>
    <rPh sb="0" eb="2">
      <t>サイダイ</t>
    </rPh>
    <rPh sb="2" eb="3">
      <t>チョウ</t>
    </rPh>
    <rPh sb="6" eb="8">
      <t>シテイ</t>
    </rPh>
    <rPh sb="11" eb="13">
      <t>バアイ</t>
    </rPh>
    <phoneticPr fontId="20"/>
  </si>
  <si>
    <t>最小長が指定された場合、登録、更新されること。</t>
    <rPh sb="0" eb="2">
      <t>サイショウ</t>
    </rPh>
    <rPh sb="2" eb="3">
      <t>チョウ</t>
    </rPh>
    <rPh sb="4" eb="6">
      <t>シテイ</t>
    </rPh>
    <rPh sb="9" eb="11">
      <t>バアイ</t>
    </rPh>
    <phoneticPr fontId="20"/>
  </si>
  <si>
    <t>該当仕様が無いため対象外</t>
    <rPh sb="0" eb="2">
      <t>ガイトウ</t>
    </rPh>
    <rPh sb="2" eb="4">
      <t>シヨウ</t>
    </rPh>
    <rPh sb="5" eb="6">
      <t>ナ</t>
    </rPh>
    <rPh sb="9" eb="12">
      <t>タイショウガイ</t>
    </rPh>
    <phoneticPr fontId="2"/>
  </si>
  <si>
    <t>最小長－1が指定された場合、登録、更新されないこと。</t>
    <rPh sb="0" eb="2">
      <t>サイショウ</t>
    </rPh>
    <rPh sb="2" eb="3">
      <t>チョウ</t>
    </rPh>
    <rPh sb="6" eb="8">
      <t>シテイ</t>
    </rPh>
    <rPh sb="11" eb="13">
      <t>バアイ</t>
    </rPh>
    <phoneticPr fontId="20"/>
  </si>
  <si>
    <t>サロゲートペア文字を許容する設計となっている場合、サロゲートペア文字を含む値が登録、更新されること。</t>
    <rPh sb="39" eb="41">
      <t>トウロク</t>
    </rPh>
    <rPh sb="42" eb="44">
      <t>コウシン</t>
    </rPh>
    <phoneticPr fontId="20"/>
  </si>
  <si>
    <t>検索</t>
    <rPh sb="0" eb="2">
      <t>ケンサク</t>
    </rPh>
    <phoneticPr fontId="20"/>
  </si>
  <si>
    <t>実行結果</t>
    <rPh sb="0" eb="2">
      <t>ジッコウ</t>
    </rPh>
    <rPh sb="2" eb="4">
      <t>ケッカ</t>
    </rPh>
    <phoneticPr fontId="2"/>
  </si>
  <si>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20"/>
  </si>
  <si>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20"/>
  </si>
  <si>
    <t>件数</t>
    <rPh sb="0" eb="2">
      <t>ケンスウ</t>
    </rPh>
    <phoneticPr fontId="20"/>
  </si>
  <si>
    <t>期待したレコード件数を取得できること。</t>
    <rPh sb="0" eb="2">
      <t>キタイ</t>
    </rPh>
    <rPh sb="8" eb="10">
      <t>ケンスウ</t>
    </rPh>
    <rPh sb="11" eb="13">
      <t>シュトク</t>
    </rPh>
    <phoneticPr fontId="20"/>
  </si>
  <si>
    <t>結合</t>
    <rPh sb="0" eb="2">
      <t>ケツゴウ</t>
    </rPh>
    <phoneticPr fontId="20"/>
  </si>
  <si>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20"/>
  </si>
  <si>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20"/>
  </si>
  <si>
    <t>ソート順</t>
    <rPh sb="3" eb="4">
      <t>ジュン</t>
    </rPh>
    <phoneticPr fontId="20"/>
  </si>
  <si>
    <t>ORDER BY句に指定した条件でソートされた結果を取得できること。</t>
    <rPh sb="8" eb="9">
      <t>ク</t>
    </rPh>
    <rPh sb="10" eb="12">
      <t>シテイ</t>
    </rPh>
    <rPh sb="14" eb="16">
      <t>ジョウケン</t>
    </rPh>
    <rPh sb="23" eb="25">
      <t>ケッカ</t>
    </rPh>
    <rPh sb="26" eb="28">
      <t>シュトク</t>
    </rPh>
    <phoneticPr fontId="20"/>
  </si>
  <si>
    <t>グループ化</t>
    <rPh sb="4" eb="5">
      <t>カ</t>
    </rPh>
    <phoneticPr fontId="20"/>
  </si>
  <si>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20"/>
  </si>
  <si>
    <t>登録</t>
  </si>
  <si>
    <t>登録対象のテーブルに期待したレコードが追加されること。</t>
    <rPh sb="0" eb="2">
      <t>トウロク</t>
    </rPh>
    <rPh sb="2" eb="4">
      <t>タイショウ</t>
    </rPh>
    <rPh sb="10" eb="12">
      <t>キタイ</t>
    </rPh>
    <rPh sb="19" eb="21">
      <t>ツイカ</t>
    </rPh>
    <phoneticPr fontId="20"/>
  </si>
  <si>
    <t>期待したレコード件数を登録できること。</t>
    <rPh sb="0" eb="2">
      <t>キタイ</t>
    </rPh>
    <rPh sb="8" eb="10">
      <t>ケンスウ</t>
    </rPh>
    <rPh sb="11" eb="13">
      <t>トウロク</t>
    </rPh>
    <phoneticPr fontId="20"/>
  </si>
  <si>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</si>
  <si>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20"/>
  </si>
  <si>
    <t>クラス単体テストでは対象外</t>
    <rPh sb="3" eb="5">
      <t>タンタイ</t>
    </rPh>
    <rPh sb="10" eb="13">
      <t>タイショウガイ</t>
    </rPh>
    <phoneticPr fontId="2"/>
  </si>
  <si>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</si>
  <si>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20"/>
  </si>
  <si>
    <t>更新処理が無いため対象外</t>
    <rPh sb="0" eb="4">
      <t>コウシンショリ</t>
    </rPh>
    <rPh sb="5" eb="6">
      <t>ナ</t>
    </rPh>
    <rPh sb="9" eb="12">
      <t>タイショウガイ</t>
    </rPh>
    <phoneticPr fontId="2"/>
  </si>
  <si>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20"/>
  </si>
  <si>
    <t>期待したレコード件数を更新できること。</t>
    <rPh sb="0" eb="2">
      <t>キタイ</t>
    </rPh>
    <rPh sb="8" eb="10">
      <t>ケンスウ</t>
    </rPh>
    <rPh sb="11" eb="13">
      <t>コウシン</t>
    </rPh>
    <phoneticPr fontId="20"/>
  </si>
  <si>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20"/>
  </si>
  <si>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20"/>
  </si>
  <si>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20"/>
  </si>
  <si>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</si>
  <si>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</si>
  <si>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20"/>
  </si>
  <si>
    <t>削除処理が無いため対象外</t>
    <rPh sb="0" eb="2">
      <t>サクジョ</t>
    </rPh>
    <rPh sb="2" eb="4">
      <t>ショリ</t>
    </rPh>
    <rPh sb="5" eb="6">
      <t>ナ</t>
    </rPh>
    <rPh sb="9" eb="12">
      <t>タイショウガイ</t>
    </rPh>
    <phoneticPr fontId="2"/>
  </si>
  <si>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20"/>
  </si>
  <si>
    <t>期待したレコード件数を論理削除できること。</t>
    <rPh sb="0" eb="2">
      <t>キタイ</t>
    </rPh>
    <rPh sb="8" eb="10">
      <t>ケンスウ</t>
    </rPh>
    <rPh sb="11" eb="13">
      <t>ロンリ</t>
    </rPh>
    <rPh sb="13" eb="15">
      <t>サクジョ</t>
    </rPh>
    <phoneticPr fontId="20"/>
  </si>
  <si>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20"/>
  </si>
  <si>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20"/>
  </si>
  <si>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</si>
  <si>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20"/>
  </si>
  <si>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20"/>
  </si>
  <si>
    <t>期待したレコード件数を物理削除できること。</t>
    <rPh sb="0" eb="2">
      <t>キタイ</t>
    </rPh>
    <rPh sb="8" eb="10">
      <t>ケンスウ</t>
    </rPh>
    <rPh sb="11" eb="13">
      <t>ブツリ</t>
    </rPh>
    <rPh sb="13" eb="15">
      <t>サクジョ</t>
    </rPh>
    <phoneticPr fontId="20"/>
  </si>
  <si>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20"/>
  </si>
  <si>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20"/>
  </si>
  <si>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20"/>
  </si>
  <si>
    <t>DB制御</t>
    <rPh sb="2" eb="4">
      <t>セイギョ</t>
    </rPh>
    <phoneticPr fontId="20"/>
  </si>
  <si>
    <t>更新順序</t>
    <rPh sb="0" eb="2">
      <t>コウシン</t>
    </rPh>
    <rPh sb="2" eb="4">
      <t>ジュンジョ</t>
    </rPh>
    <phoneticPr fontId="2"/>
  </si>
  <si>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2"/>
  </si>
  <si>
    <t>排他制御</t>
    <rPh sb="0" eb="2">
      <t>ハイタ</t>
    </rPh>
    <rPh sb="2" eb="4">
      <t>セイギョ</t>
    </rPh>
    <phoneticPr fontId="20"/>
  </si>
  <si>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20"/>
  </si>
  <si>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20"/>
  </si>
  <si>
    <t>ロールバック</t>
  </si>
  <si>
    <t>エラーが発生した場合、ロールバックされること。</t>
    <rPh sb="4" eb="6">
      <t>ハッセイ</t>
    </rPh>
    <rPh sb="8" eb="10">
      <t>バアイ</t>
    </rPh>
    <phoneticPr fontId="20"/>
  </si>
  <si>
    <t>コミット</t>
  </si>
  <si>
    <t>コミットタイミングが［方式設計書の記載通り］であること。</t>
    <rPh sb="11" eb="13">
      <t>ホウシキ</t>
    </rPh>
    <rPh sb="13" eb="16">
      <t>セッケイショ</t>
    </rPh>
    <rPh sb="17" eb="19">
      <t>キサイ</t>
    </rPh>
    <rPh sb="19" eb="20">
      <t>ドオ</t>
    </rPh>
    <phoneticPr fontId="2"/>
  </si>
  <si>
    <t>コミットの単位が［方式設計書の記載通り］であること。</t>
    <rPh sb="9" eb="14">
      <t>ホウシキセッケイショ</t>
    </rPh>
    <rPh sb="15" eb="17">
      <t>キサイ</t>
    </rPh>
    <rPh sb="17" eb="18">
      <t>ドオ</t>
    </rPh>
    <phoneticPr fontId="2"/>
  </si>
  <si>
    <t>ファイル取込</t>
    <rPh sb="4" eb="6">
      <t>トリコミ</t>
    </rPh>
    <phoneticPr fontId="2"/>
  </si>
  <si>
    <t>実行結果</t>
    <rPh sb="0" eb="2">
      <t>ジッコウ</t>
    </rPh>
    <rPh sb="2" eb="4">
      <t>ケッカ</t>
    </rPh>
    <phoneticPr fontId="20"/>
  </si>
  <si>
    <t>取り込まれたファイルの格納先が［システム機能設計書/共通コンポーネント設計書の記載通り］であること。</t>
    <rPh sb="0" eb="1">
      <t>ト</t>
    </rPh>
    <rPh sb="2" eb="3">
      <t>コ</t>
    </rPh>
    <rPh sb="11" eb="13">
      <t>カクノウ</t>
    </rPh>
    <rPh sb="13" eb="14">
      <t>サキ</t>
    </rPh>
    <phoneticPr fontId="2"/>
  </si>
  <si>
    <t>※ファイルアップロードを含む</t>
  </si>
  <si>
    <t>取り込まれたファイルが、指定のファイル名で格納されること。</t>
    <rPh sb="12" eb="14">
      <t>シテイ</t>
    </rPh>
    <rPh sb="19" eb="20">
      <t>メイ</t>
    </rPh>
    <rPh sb="21" eb="23">
      <t>カクノウ</t>
    </rPh>
    <phoneticPr fontId="2"/>
  </si>
  <si>
    <t>取り込まれたファイルのアクセス権限が［システム機能設計書/共通コンポーネント設計書の記載通り］であること。</t>
    <rPh sb="15" eb="17">
      <t>ケンゲン</t>
    </rPh>
    <phoneticPr fontId="2"/>
  </si>
  <si>
    <t>取り込まれたファイルの所有権が［システム機能設計書/共通コンポーネント設計書の記載通り］であること。</t>
    <rPh sb="11" eb="13">
      <t>ショユウ</t>
    </rPh>
    <phoneticPr fontId="2"/>
  </si>
  <si>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20"/>
  </si>
  <si>
    <t>取り込まれたファイルに含まれるレコードの長さが最大長＋1の場合、エラーとなること。</t>
    <rPh sb="11" eb="12">
      <t>フク</t>
    </rPh>
    <rPh sb="20" eb="21">
      <t>ナガ</t>
    </rPh>
    <rPh sb="23" eb="25">
      <t>サイダイ</t>
    </rPh>
    <rPh sb="29" eb="31">
      <t>バアイ</t>
    </rPh>
    <phoneticPr fontId="20"/>
  </si>
  <si>
    <t>取り込まれたファイルに含まれるレコードの長さが最小長の場合、エラーとならないこと。</t>
    <rPh sb="11" eb="12">
      <t>フク</t>
    </rPh>
    <rPh sb="20" eb="21">
      <t>ナガ</t>
    </rPh>
    <rPh sb="23" eb="25">
      <t>サイショウ</t>
    </rPh>
    <rPh sb="27" eb="29">
      <t>バアイ</t>
    </rPh>
    <phoneticPr fontId="20"/>
  </si>
  <si>
    <t>取り込まれたファイルに含まれるレコードの長さが最小長-1の場合、エラーとなること。</t>
    <rPh sb="11" eb="12">
      <t>フク</t>
    </rPh>
    <rPh sb="20" eb="21">
      <t>ナガ</t>
    </rPh>
    <rPh sb="23" eb="25">
      <t>サイショウ</t>
    </rPh>
    <rPh sb="29" eb="31">
      <t>バアイ</t>
    </rPh>
    <phoneticPr fontId="20"/>
  </si>
  <si>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20"/>
  </si>
  <si>
    <t>レコード件数</t>
    <rPh sb="4" eb="6">
      <t>ケンスウ</t>
    </rPh>
    <phoneticPr fontId="20"/>
  </si>
  <si>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20"/>
  </si>
  <si>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20"/>
  </si>
  <si>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20"/>
  </si>
  <si>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20"/>
  </si>
  <si>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20"/>
  </si>
  <si>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</si>
  <si>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20"/>
  </si>
  <si>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20"/>
  </si>
  <si>
    <t>フォーマット定義</t>
    <rPh sb="6" eb="8">
      <t>テイギ</t>
    </rPh>
    <phoneticPr fontId="20"/>
  </si>
  <si>
    <t>レコード構成</t>
    <rPh sb="4" eb="6">
      <t>コウセイ</t>
    </rPh>
    <phoneticPr fontId="20"/>
  </si>
  <si>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20"/>
  </si>
  <si>
    <t>ファイルサイズ</t>
  </si>
  <si>
    <t>取り込まれたファイルのサイズをバリデーションする場合、有効なサイズのファイルがエラーとならないこと。</t>
    <rPh sb="24" eb="26">
      <t>バアイ</t>
    </rPh>
    <rPh sb="27" eb="29">
      <t>ユウコウ</t>
    </rPh>
    <phoneticPr fontId="20"/>
  </si>
  <si>
    <t>取り込まれたファイルのサイズバリデーションする場合、無効なサイズのファイルがエラーとなること。</t>
    <rPh sb="23" eb="25">
      <t>バアイ</t>
    </rPh>
    <rPh sb="26" eb="28">
      <t>ムコウ</t>
    </rPh>
    <phoneticPr fontId="20"/>
  </si>
  <si>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20"/>
  </si>
  <si>
    <t>ファイル出力</t>
    <rPh sb="4" eb="6">
      <t>シュツリョク</t>
    </rPh>
    <phoneticPr fontId="2"/>
  </si>
  <si>
    <t>出力したファイルが、指定したディレクトリに格納されること。</t>
    <rPh sb="10" eb="12">
      <t>シテイ</t>
    </rPh>
    <rPh sb="21" eb="23">
      <t>カクノウ</t>
    </rPh>
    <phoneticPr fontId="2"/>
  </si>
  <si>
    <t>ファイル出力処理が無いため対象外</t>
    <rPh sb="4" eb="6">
      <t>シュツリョク</t>
    </rPh>
    <rPh sb="6" eb="8">
      <t>ショリ</t>
    </rPh>
    <rPh sb="9" eb="10">
      <t>ナ</t>
    </rPh>
    <rPh sb="13" eb="16">
      <t>タイショウガイ</t>
    </rPh>
    <phoneticPr fontId="2"/>
  </si>
  <si>
    <t>※ファイルダウンロードを含む</t>
    <rPh sb="12" eb="13">
      <t>フク</t>
    </rPh>
    <phoneticPr fontId="20"/>
  </si>
  <si>
    <t>出力したファイルが、指定したファイル名で格納されること。</t>
    <rPh sb="10" eb="12">
      <t>シテイ</t>
    </rPh>
    <rPh sb="18" eb="19">
      <t>メイ</t>
    </rPh>
    <rPh sb="20" eb="22">
      <t>カクノウ</t>
    </rPh>
    <phoneticPr fontId="2"/>
  </si>
  <si>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</si>
  <si>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2"/>
  </si>
  <si>
    <t>ファイル名</t>
    <rPh sb="4" eb="5">
      <t>メイ</t>
    </rPh>
    <phoneticPr fontId="2"/>
  </si>
  <si>
    <t>ファイル保存先を指定するダイアログボックスにデフォルトファイル名が表示されること。</t>
    <rPh sb="4" eb="6">
      <t>ホゾン</t>
    </rPh>
    <rPh sb="6" eb="7">
      <t>サキ</t>
    </rPh>
    <rPh sb="8" eb="10">
      <t>シテイ</t>
    </rPh>
    <rPh sb="33" eb="35">
      <t>ヒョウジ</t>
    </rPh>
    <phoneticPr fontId="20"/>
  </si>
  <si>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20"/>
  </si>
  <si>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20"/>
  </si>
  <si>
    <t>データ出力</t>
    <rPh sb="3" eb="5">
      <t>シュツリョク</t>
    </rPh>
    <phoneticPr fontId="20"/>
  </si>
  <si>
    <t>文字コード</t>
    <rPh sb="0" eb="2">
      <t>モジ</t>
    </rPh>
    <phoneticPr fontId="20"/>
  </si>
  <si>
    <t>出力したファイルの文字コードが［外部インターフェース設計書/サブシステムインターフェース設計書の記載通り］であること。</t>
    <rPh sb="9" eb="11">
      <t>モジ</t>
    </rPh>
    <phoneticPr fontId="20"/>
  </si>
  <si>
    <t>改行コード</t>
    <rPh sb="0" eb="2">
      <t>カイギョウ</t>
    </rPh>
    <phoneticPr fontId="20"/>
  </si>
  <si>
    <t>出力したファイルの改行コードが［外部インターフェース設計書/サブシステムインターフェース設計書の記載通り］であること。</t>
    <rPh sb="9" eb="11">
      <t>カイギョウ</t>
    </rPh>
    <phoneticPr fontId="20"/>
  </si>
  <si>
    <t>区切り文字</t>
    <rPh sb="0" eb="2">
      <t>クギ</t>
    </rPh>
    <rPh sb="3" eb="5">
      <t>モジ</t>
    </rPh>
    <phoneticPr fontId="20"/>
  </si>
  <si>
    <t>出力したファイルの区切り文字が［外部インターフェース設計書/サブシステムインターフェース設計書の記載通り］であること。</t>
    <rPh sb="9" eb="11">
      <t>クギ</t>
    </rPh>
    <rPh sb="12" eb="14">
      <t>モジ</t>
    </rPh>
    <phoneticPr fontId="20"/>
  </si>
  <si>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20"/>
  </si>
  <si>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</si>
  <si>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20"/>
  </si>
  <si>
    <t>レイアウト</t>
  </si>
  <si>
    <t>帳票の場合、出力したレイアウトが［帳票設計書の記載通り］であること。</t>
    <rPh sb="6" eb="8">
      <t>シュツリョク</t>
    </rPh>
    <rPh sb="23" eb="25">
      <t>キサイ</t>
    </rPh>
    <rPh sb="25" eb="26">
      <t>ドオ</t>
    </rPh>
    <phoneticPr fontId="20"/>
  </si>
  <si>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20"/>
  </si>
  <si>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2"/>
  </si>
  <si>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2"/>
  </si>
  <si>
    <t>帳票の場合、文字スタイル（太字斜体など）が［帳票設計書の記載通り］であること。</t>
    <rPh sb="6" eb="8">
      <t>モジ</t>
    </rPh>
    <rPh sb="13" eb="15">
      <t>フトジ</t>
    </rPh>
    <rPh sb="15" eb="17">
      <t>シャタイ</t>
    </rPh>
    <phoneticPr fontId="2"/>
  </si>
  <si>
    <t>帳票の場合、文字色が［帳票設計書の記載通り］であること。</t>
    <rPh sb="6" eb="8">
      <t>モジ</t>
    </rPh>
    <rPh sb="8" eb="9">
      <t>イロ</t>
    </rPh>
    <phoneticPr fontId="20"/>
  </si>
  <si>
    <t>出力内容</t>
    <rPh sb="0" eb="2">
      <t>シュツリョク</t>
    </rPh>
    <rPh sb="2" eb="4">
      <t>ナイヨウ</t>
    </rPh>
    <phoneticPr fontId="2"/>
  </si>
  <si>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2"/>
  </si>
  <si>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20"/>
  </si>
  <si>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20"/>
  </si>
  <si>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</si>
  <si>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</si>
  <si>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</si>
  <si>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20"/>
  </si>
  <si>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</si>
  <si>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20"/>
  </si>
  <si>
    <t>取得した値に改行、タブ、メタキャラクタが含まれる場合、出力された値がエンコーディング、サニタイジングされること。</t>
    <rPh sb="27" eb="29">
      <t>シュツリョク</t>
    </rPh>
    <phoneticPr fontId="20"/>
  </si>
  <si>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20"/>
  </si>
  <si>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20"/>
  </si>
  <si>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20"/>
  </si>
  <si>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3"/>
  </si>
  <si>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3"/>
  </si>
  <si>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3"/>
  </si>
  <si>
    <t>出力するレコードの長さが最大の場合、エラーとならないこと。</t>
    <rPh sb="0" eb="2">
      <t>シュツリョク</t>
    </rPh>
    <rPh sb="9" eb="10">
      <t>ナガ</t>
    </rPh>
    <rPh sb="12" eb="14">
      <t>サイダイ</t>
    </rPh>
    <rPh sb="15" eb="17">
      <t>バアイ</t>
    </rPh>
    <phoneticPr fontId="20"/>
  </si>
  <si>
    <t>出力するレコードの長さが最小の場合、エラーとならないこと。</t>
    <rPh sb="0" eb="2">
      <t>シュツリョク</t>
    </rPh>
    <rPh sb="9" eb="10">
      <t>ナガ</t>
    </rPh>
    <rPh sb="12" eb="14">
      <t>サイショウ</t>
    </rPh>
    <rPh sb="15" eb="17">
      <t>バアイ</t>
    </rPh>
    <phoneticPr fontId="20"/>
  </si>
  <si>
    <t>サロゲートペア文字を許容する設計となっている場合、サロゲートペア文字を含むレコードを出力した結果がエラーとならないこと。</t>
    <rPh sb="42" eb="44">
      <t>シュツリョク</t>
    </rPh>
    <phoneticPr fontId="20"/>
  </si>
  <si>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3"/>
  </si>
  <si>
    <t>ファイルに期待通りの件数分、レコードが出力されること。</t>
    <rPh sb="5" eb="7">
      <t>キタイ</t>
    </rPh>
    <rPh sb="7" eb="8">
      <t>ドオ</t>
    </rPh>
    <rPh sb="10" eb="12">
      <t>ケンスウ</t>
    </rPh>
    <rPh sb="12" eb="13">
      <t>ブン</t>
    </rPh>
    <rPh sb="19" eb="21">
      <t>シュツリョク</t>
    </rPh>
    <phoneticPr fontId="20"/>
  </si>
  <si>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20"/>
  </si>
  <si>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20"/>
  </si>
  <si>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20"/>
  </si>
  <si>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20"/>
  </si>
  <si>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20"/>
  </si>
  <si>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20"/>
  </si>
  <si>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20"/>
  </si>
  <si>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20"/>
  </si>
  <si>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20"/>
  </si>
  <si>
    <t>画像</t>
    <rPh sb="0" eb="2">
      <t>ガゾウ</t>
    </rPh>
    <phoneticPr fontId="20"/>
  </si>
  <si>
    <t>出力された画像が［システム機能設計書/共通コンポーネント設計書/帳票設計書の記載通り］であること。</t>
    <rPh sb="0" eb="2">
      <t>シュツリョク</t>
    </rPh>
    <phoneticPr fontId="20"/>
  </si>
  <si>
    <t>ファイル操作</t>
    <rPh sb="4" eb="6">
      <t>ソウサ</t>
    </rPh>
    <phoneticPr fontId="2"/>
  </si>
  <si>
    <t>削除</t>
    <rPh sb="0" eb="2">
      <t>サクジョ</t>
    </rPh>
    <phoneticPr fontId="2"/>
  </si>
  <si>
    <t>ファイルが削除されること。</t>
  </si>
  <si>
    <t>ファイル操作処理が無いため対象外</t>
    <rPh sb="4" eb="6">
      <t>ソウサ</t>
    </rPh>
    <rPh sb="6" eb="8">
      <t>ショリ</t>
    </rPh>
    <rPh sb="9" eb="10">
      <t>ナ</t>
    </rPh>
    <rPh sb="13" eb="16">
      <t>タイショウガイ</t>
    </rPh>
    <phoneticPr fontId="2"/>
  </si>
  <si>
    <t>移動・リネーム</t>
    <rPh sb="0" eb="2">
      <t>イドウ</t>
    </rPh>
    <phoneticPr fontId="2"/>
  </si>
  <si>
    <t>ファイルが移動、リネームされること。</t>
  </si>
  <si>
    <t>コピー</t>
  </si>
  <si>
    <t>ファイルがコピーされること。</t>
  </si>
  <si>
    <t>メール処理</t>
    <rPh sb="3" eb="5">
      <t>ショリ</t>
    </rPh>
    <phoneticPr fontId="20"/>
  </si>
  <si>
    <t>送信・転送</t>
    <rPh sb="0" eb="2">
      <t>ソウシン</t>
    </rPh>
    <rPh sb="3" eb="5">
      <t>テンソウ</t>
    </rPh>
    <phoneticPr fontId="20"/>
  </si>
  <si>
    <t>指定した宛先（メールアドレス）への送信、転送が正常終了すること。</t>
    <rPh sb="0" eb="2">
      <t>シテイ</t>
    </rPh>
    <rPh sb="4" eb="6">
      <t>アテサキ</t>
    </rPh>
    <rPh sb="25" eb="27">
      <t>シュウリョウ</t>
    </rPh>
    <phoneticPr fontId="2"/>
  </si>
  <si>
    <t>メール処理が無いため対象外</t>
    <rPh sb="3" eb="5">
      <t>ショリ</t>
    </rPh>
    <rPh sb="6" eb="7">
      <t>ナ</t>
    </rPh>
    <rPh sb="10" eb="13">
      <t>タイショウガイ</t>
    </rPh>
    <phoneticPr fontId="2"/>
  </si>
  <si>
    <t>宛先（メールアドレス）に最大長がセットされた場合、送信、転送が正常終了すること。</t>
    <rPh sb="0" eb="2">
      <t>アテサキ</t>
    </rPh>
    <phoneticPr fontId="2"/>
  </si>
  <si>
    <t>件名に最大長がセットされた場合、送信、転送が正常終了すること。</t>
    <rPh sb="0" eb="2">
      <t>ケンメイ</t>
    </rPh>
    <phoneticPr fontId="2"/>
  </si>
  <si>
    <t>編集</t>
    <rPh sb="0" eb="2">
      <t>ヘンシュウ</t>
    </rPh>
    <phoneticPr fontId="20"/>
  </si>
  <si>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2"/>
  </si>
  <si>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2"/>
  </si>
  <si>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20"/>
  </si>
  <si>
    <t>メール編集</t>
    <rPh sb="3" eb="5">
      <t>ヘンシュウ</t>
    </rPh>
    <phoneticPr fontId="2"/>
  </si>
  <si>
    <t>ヘッダ</t>
  </si>
  <si>
    <t>設定</t>
    <rPh sb="0" eb="2">
      <t>セッテイ</t>
    </rPh>
    <phoneticPr fontId="20"/>
  </si>
  <si>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2"/>
  </si>
  <si>
    <t>ヘッダの宛先（Cc）に［メール設計書の記載通りの値］が設定されること。</t>
    <rPh sb="4" eb="6">
      <t>アテサキ</t>
    </rPh>
    <rPh sb="27" eb="29">
      <t>セッテイ</t>
    </rPh>
    <phoneticPr fontId="2"/>
  </si>
  <si>
    <t>ヘッダの宛先（Bcc）に［メール設計書の記載通りの値］が設定されること。</t>
    <rPh sb="4" eb="6">
      <t>アテサキ</t>
    </rPh>
    <rPh sb="28" eb="30">
      <t>セッテイ</t>
    </rPh>
    <phoneticPr fontId="2"/>
  </si>
  <si>
    <t>ヘッダの送信元（From）に［メール設計書の記載通りの値］が設定されること。</t>
    <rPh sb="4" eb="7">
      <t>ソウシンモト</t>
    </rPh>
    <rPh sb="30" eb="32">
      <t>セッテイ</t>
    </rPh>
    <phoneticPr fontId="2"/>
  </si>
  <si>
    <t>ヘッダの返信先（Reply-to）に［メール設計書の記載通りの値］が設定されること。</t>
    <rPh sb="4" eb="6">
      <t>ヘンシン</t>
    </rPh>
    <rPh sb="6" eb="7">
      <t>サキ</t>
    </rPh>
    <rPh sb="34" eb="36">
      <t>セッテイ</t>
    </rPh>
    <phoneticPr fontId="2"/>
  </si>
  <si>
    <t>ヘッダの差戻し先（Retuern-path）に［メール設計書の記載通りの値］が設定されること。</t>
    <rPh sb="4" eb="6">
      <t>サシモド</t>
    </rPh>
    <rPh sb="7" eb="8">
      <t>サキ</t>
    </rPh>
    <rPh sb="39" eb="41">
      <t>セッテイ</t>
    </rPh>
    <phoneticPr fontId="2"/>
  </si>
  <si>
    <t>ヘッダのContent-Typeに［メール設計書の記載通りの値］が設定されること。</t>
    <rPh sb="33" eb="35">
      <t>セッテイ</t>
    </rPh>
    <phoneticPr fontId="2"/>
  </si>
  <si>
    <t>エンコーディング</t>
  </si>
  <si>
    <t>ヘッダがエンコードされること。</t>
  </si>
  <si>
    <t>件名</t>
    <rPh sb="0" eb="2">
      <t>ケンメイ</t>
    </rPh>
    <phoneticPr fontId="2"/>
  </si>
  <si>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2"/>
  </si>
  <si>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20"/>
  </si>
  <si>
    <t>埋め込み必須項目が未入力の場合、エラーとなること。</t>
    <rPh sb="0" eb="1">
      <t>ウ</t>
    </rPh>
    <rPh sb="2" eb="3">
      <t>コ</t>
    </rPh>
    <rPh sb="4" eb="6">
      <t>ヒッス</t>
    </rPh>
    <rPh sb="6" eb="8">
      <t>コウモク</t>
    </rPh>
    <rPh sb="9" eb="12">
      <t>ミニュウリョク</t>
    </rPh>
    <rPh sb="13" eb="15">
      <t>バアイ</t>
    </rPh>
    <phoneticPr fontId="20"/>
  </si>
  <si>
    <t>埋め込み任意項目が未入力の場合、エラーとならないこと。</t>
    <rPh sb="0" eb="1">
      <t>ウ</t>
    </rPh>
    <rPh sb="2" eb="3">
      <t>コ</t>
    </rPh>
    <rPh sb="4" eb="6">
      <t>ニンイ</t>
    </rPh>
    <rPh sb="6" eb="8">
      <t>コウモク</t>
    </rPh>
    <rPh sb="9" eb="12">
      <t>ミニュウリョク</t>
    </rPh>
    <rPh sb="13" eb="15">
      <t>バアイ</t>
    </rPh>
    <phoneticPr fontId="20"/>
  </si>
  <si>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20"/>
  </si>
  <si>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</si>
  <si>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</si>
  <si>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</si>
  <si>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</si>
  <si>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</si>
  <si>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取得した値をマスキングする設計となっている場合、件名に設定された値がマスキングされること。</t>
    <rPh sb="0" eb="2">
      <t>シュトク</t>
    </rPh>
    <rPh sb="4" eb="5">
      <t>アタイ</t>
    </rPh>
    <rPh sb="13" eb="15">
      <t>セッケイ</t>
    </rPh>
    <rPh sb="21" eb="23">
      <t>バアイ</t>
    </rPh>
    <phoneticPr fontId="20"/>
  </si>
  <si>
    <t>取得した値に改行、タブ、メタキャラクタが含まれる場合、件名に設定された値がエンコーディング、サニタイジングされること。</t>
    <rPh sb="27" eb="29">
      <t>ケンメイ</t>
    </rPh>
    <rPh sb="30" eb="32">
      <t>セッテイ</t>
    </rPh>
    <phoneticPr fontId="20"/>
  </si>
  <si>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20"/>
  </si>
  <si>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</si>
  <si>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2"/>
  </si>
  <si>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20"/>
  </si>
  <si>
    <t>本文のデザインが［メール設計書の記載通り］であること。</t>
    <rPh sb="0" eb="2">
      <t>ホンブン</t>
    </rPh>
    <rPh sb="12" eb="15">
      <t>セッケイショ</t>
    </rPh>
    <rPh sb="16" eb="18">
      <t>キサイ</t>
    </rPh>
    <rPh sb="18" eb="19">
      <t>ドオ</t>
    </rPh>
    <phoneticPr fontId="20"/>
  </si>
  <si>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20"/>
  </si>
  <si>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20"/>
  </si>
  <si>
    <t>取得した値を編集する処理が分岐する設計となっている場合、本文に設定された値が［システム機能設計書/共通コンポーネント設計書/メール設計書の記載通り］であること。</t>
    <phoneticPr fontId="2"/>
  </si>
  <si>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</si>
  <si>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</si>
  <si>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</si>
  <si>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20"/>
  </si>
  <si>
    <t>取得した値をマスキングする設計となっている場合、本文に設定された値がマスキングされること。</t>
    <rPh sb="0" eb="2">
      <t>シュトク</t>
    </rPh>
    <rPh sb="4" eb="5">
      <t>アタイ</t>
    </rPh>
    <rPh sb="13" eb="15">
      <t>セッケイ</t>
    </rPh>
    <rPh sb="21" eb="23">
      <t>バアイ</t>
    </rPh>
    <phoneticPr fontId="20"/>
  </si>
  <si>
    <t>取得した値に改行、タブ、メタキャラクタが含まれる場合、本文に設定された値がエンコーディング、サニタイジングされること。</t>
    <rPh sb="27" eb="29">
      <t>ホンブン</t>
    </rPh>
    <rPh sb="30" eb="32">
      <t>セッテイ</t>
    </rPh>
    <phoneticPr fontId="20"/>
  </si>
  <si>
    <t>データ件数</t>
    <rPh sb="3" eb="5">
      <t>ケンスウ</t>
    </rPh>
    <phoneticPr fontId="20"/>
  </si>
  <si>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20"/>
  </si>
  <si>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20"/>
  </si>
  <si>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2"/>
  </si>
  <si>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</si>
  <si>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20"/>
  </si>
  <si>
    <t>ファイルを添付する場合、指定したファイルが添付されること。</t>
    <rPh sb="5" eb="7">
      <t>テンプ</t>
    </rPh>
    <rPh sb="9" eb="11">
      <t>バアイ</t>
    </rPh>
    <rPh sb="12" eb="14">
      <t>シテイ</t>
    </rPh>
    <rPh sb="21" eb="23">
      <t>テンプ</t>
    </rPh>
    <phoneticPr fontId="20"/>
  </si>
  <si>
    <t>受信処理</t>
    <rPh sb="0" eb="2">
      <t>ジュシン</t>
    </rPh>
    <rPh sb="2" eb="4">
      <t>ショリ</t>
    </rPh>
    <phoneticPr fontId="20"/>
  </si>
  <si>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20"/>
  </si>
  <si>
    <t>電文処理が無いため対象外</t>
    <rPh sb="0" eb="2">
      <t>デンブン</t>
    </rPh>
    <rPh sb="2" eb="4">
      <t>ショリ</t>
    </rPh>
    <rPh sb="5" eb="6">
      <t>ナ</t>
    </rPh>
    <rPh sb="9" eb="12">
      <t>タイショウガイ</t>
    </rPh>
    <phoneticPr fontId="2"/>
  </si>
  <si>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20"/>
  </si>
  <si>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20"/>
  </si>
  <si>
    <t>受信した電文の長さが最小長の場合、エラーとならないこと。</t>
    <rPh sb="10" eb="12">
      <t>サイショウ</t>
    </rPh>
    <rPh sb="12" eb="13">
      <t>チョウ</t>
    </rPh>
    <rPh sb="14" eb="16">
      <t>バアイ</t>
    </rPh>
    <phoneticPr fontId="20"/>
  </si>
  <si>
    <t>受信した電文の長さが最小長-1の場合、エラーとなること。</t>
    <rPh sb="10" eb="12">
      <t>サイショウ</t>
    </rPh>
    <rPh sb="12" eb="13">
      <t>チョウ</t>
    </rPh>
    <rPh sb="16" eb="18">
      <t>バアイ</t>
    </rPh>
    <phoneticPr fontId="20"/>
  </si>
  <si>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20"/>
  </si>
  <si>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20"/>
  </si>
  <si>
    <t>受信した電文のレコードが0件の場合、［システム機能設計書/共通コンポーネント設計書の記載通りの挙動］となること。</t>
    <rPh sb="13" eb="14">
      <t>ケン</t>
    </rPh>
    <rPh sb="15" eb="17">
      <t>バアイ</t>
    </rPh>
    <phoneticPr fontId="20"/>
  </si>
  <si>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</si>
  <si>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20"/>
  </si>
  <si>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20"/>
  </si>
  <si>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20"/>
  </si>
  <si>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20"/>
  </si>
  <si>
    <t>送信処理</t>
    <rPh sb="0" eb="2">
      <t>ソウシン</t>
    </rPh>
    <rPh sb="2" eb="4">
      <t>ショリ</t>
    </rPh>
    <phoneticPr fontId="20"/>
  </si>
  <si>
    <t>実行結果</t>
    <rPh sb="0" eb="4">
      <t>ジッコウケッカ</t>
    </rPh>
    <phoneticPr fontId="20"/>
  </si>
  <si>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</si>
  <si>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20"/>
  </si>
  <si>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20"/>
  </si>
  <si>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20"/>
  </si>
  <si>
    <t>電文編集</t>
    <rPh sb="0" eb="2">
      <t>デンブン</t>
    </rPh>
    <rPh sb="2" eb="4">
      <t>ヘンシュウ</t>
    </rPh>
    <phoneticPr fontId="20"/>
  </si>
  <si>
    <t>送信した電文の文字コードが［外部インターフェース設計書/サブシステムインターフェース設計書の記載通り］であること。</t>
    <rPh sb="7" eb="9">
      <t>モジ</t>
    </rPh>
    <phoneticPr fontId="20"/>
  </si>
  <si>
    <t>送信した電文の区切り文字が［外部インターフェース設計書/サブシステムインターフェース設計書の記載通り］であること。</t>
    <rPh sb="7" eb="9">
      <t>クギ</t>
    </rPh>
    <rPh sb="10" eb="12">
      <t>モジ</t>
    </rPh>
    <phoneticPr fontId="20"/>
  </si>
  <si>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20"/>
  </si>
  <si>
    <t>送信した電文の項目並び順が［外部インターフェース設計書/サブシステムインターフェース設計書の記載通り］であること。</t>
    <rPh sb="7" eb="9">
      <t>コウモク</t>
    </rPh>
    <rPh sb="9" eb="10">
      <t>ナラ</t>
    </rPh>
    <rPh sb="11" eb="12">
      <t>ジュン</t>
    </rPh>
    <phoneticPr fontId="20"/>
  </si>
  <si>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2"/>
  </si>
  <si>
    <t>デフォルト値を送信する項目の場合、デフォルト値が送信されること。</t>
    <rPh sb="7" eb="9">
      <t>ソウシン</t>
    </rPh>
    <rPh sb="11" eb="13">
      <t>コウモク</t>
    </rPh>
    <rPh sb="14" eb="16">
      <t>バアイ</t>
    </rPh>
    <rPh sb="22" eb="23">
      <t>チ</t>
    </rPh>
    <rPh sb="24" eb="26">
      <t>ソウシン</t>
    </rPh>
    <phoneticPr fontId="20"/>
  </si>
  <si>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20"/>
  </si>
  <si>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</si>
  <si>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</si>
  <si>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</si>
  <si>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20"/>
  </si>
  <si>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20"/>
  </si>
  <si>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20"/>
  </si>
  <si>
    <t>取得した値に改行、タブ、メタキャラクタが含まれる場合、送信された値がエンコーディング、サニタイジングされること。</t>
    <rPh sb="27" eb="29">
      <t>ソウシン</t>
    </rPh>
    <phoneticPr fontId="20"/>
  </si>
  <si>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20"/>
  </si>
  <si>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20"/>
  </si>
  <si>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20"/>
  </si>
  <si>
    <t>送信項目の値が最大長の場合、エラーとならないこと。</t>
    <rPh sb="0" eb="2">
      <t>ソウシン</t>
    </rPh>
    <rPh sb="2" eb="4">
      <t>コウモク</t>
    </rPh>
    <rPh sb="5" eb="6">
      <t>アタイ</t>
    </rPh>
    <rPh sb="7" eb="9">
      <t>サイダイ</t>
    </rPh>
    <rPh sb="9" eb="10">
      <t>チョウ</t>
    </rPh>
    <rPh sb="11" eb="13">
      <t>バアイ</t>
    </rPh>
    <phoneticPr fontId="23"/>
  </si>
  <si>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3"/>
  </si>
  <si>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3"/>
  </si>
  <si>
    <t>送信する電文の長さが最大の場合、エラーとならないこと。</t>
    <rPh sb="0" eb="2">
      <t>ソウシン</t>
    </rPh>
    <rPh sb="4" eb="6">
      <t>デンブン</t>
    </rPh>
    <rPh sb="7" eb="8">
      <t>ナガ</t>
    </rPh>
    <rPh sb="10" eb="12">
      <t>サイダイ</t>
    </rPh>
    <rPh sb="13" eb="15">
      <t>バアイ</t>
    </rPh>
    <phoneticPr fontId="20"/>
  </si>
  <si>
    <t>送信する電文の長さが最小の場合、エラーとならないこと。</t>
    <rPh sb="0" eb="2">
      <t>ソウシン</t>
    </rPh>
    <rPh sb="4" eb="6">
      <t>デンブン</t>
    </rPh>
    <rPh sb="7" eb="8">
      <t>ナガ</t>
    </rPh>
    <rPh sb="10" eb="12">
      <t>サイショウ</t>
    </rPh>
    <rPh sb="13" eb="15">
      <t>バアイ</t>
    </rPh>
    <phoneticPr fontId="20"/>
  </si>
  <si>
    <t>サロゲートペア文字を許容する設計となっている場合、サロゲートペア文字を含む電文を送信した結果がエラーとならないこと。</t>
    <rPh sb="37" eb="39">
      <t>デンブン</t>
    </rPh>
    <rPh sb="40" eb="42">
      <t>ソウシン</t>
    </rPh>
    <phoneticPr fontId="20"/>
  </si>
  <si>
    <t>期待通りの件数分、レコードが送信されること。</t>
    <rPh sb="5" eb="7">
      <t>ケンスウ</t>
    </rPh>
    <rPh sb="7" eb="8">
      <t>ブン</t>
    </rPh>
    <phoneticPr fontId="20"/>
  </si>
  <si>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20"/>
  </si>
  <si>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20"/>
  </si>
  <si>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20"/>
  </si>
  <si>
    <t>送信するレコードが0件の場合、［システム機能設計書/共通コンポーネント設計書の記載通りの挙動］となること。</t>
    <rPh sb="0" eb="2">
      <t>ソウシン</t>
    </rPh>
    <rPh sb="10" eb="11">
      <t>ケン</t>
    </rPh>
    <rPh sb="12" eb="14">
      <t>バアイ</t>
    </rPh>
    <phoneticPr fontId="20"/>
  </si>
  <si>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20"/>
  </si>
  <si>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20"/>
  </si>
  <si>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20"/>
  </si>
  <si>
    <t>送信するレコードのソート順が［システム機能設計書/共通コンポーネント設計書の記載通り］であること。</t>
    <rPh sb="0" eb="2">
      <t>ソウシン</t>
    </rPh>
    <rPh sb="12" eb="13">
      <t>ジュン</t>
    </rPh>
    <phoneticPr fontId="20"/>
  </si>
  <si>
    <t>ログ出力</t>
    <rPh sb="2" eb="4">
      <t>シュツリョク</t>
    </rPh>
    <phoneticPr fontId="20"/>
  </si>
  <si>
    <t>ファイル操作</t>
    <rPh sb="4" eb="6">
      <t>ソウサ</t>
    </rPh>
    <phoneticPr fontId="20"/>
  </si>
  <si>
    <t>ログファイルの格納先が［方式設計書の記載通り］であること。</t>
    <rPh sb="7" eb="9">
      <t>カクノウ</t>
    </rPh>
    <rPh sb="9" eb="10">
      <t>サキ</t>
    </rPh>
    <rPh sb="12" eb="17">
      <t>ホウシキセッケイショ</t>
    </rPh>
    <rPh sb="18" eb="20">
      <t>キサイ</t>
    </rPh>
    <rPh sb="20" eb="21">
      <t>トオ</t>
    </rPh>
    <phoneticPr fontId="2"/>
  </si>
  <si>
    <t>ログ出力仕様が無いため対象外</t>
    <rPh sb="2" eb="4">
      <t>シュツリョク</t>
    </rPh>
    <rPh sb="4" eb="6">
      <t>シヨウ</t>
    </rPh>
    <rPh sb="7" eb="8">
      <t>ナ</t>
    </rPh>
    <rPh sb="11" eb="14">
      <t>タイショウガイ</t>
    </rPh>
    <phoneticPr fontId="2"/>
  </si>
  <si>
    <t>ログファイルのファイル名が［方式設計書の記載通り］であること。</t>
    <rPh sb="11" eb="12">
      <t>メイ</t>
    </rPh>
    <rPh sb="14" eb="19">
      <t>ホウシキセッケイショ</t>
    </rPh>
    <rPh sb="20" eb="23">
      <t>キサイドオ</t>
    </rPh>
    <phoneticPr fontId="2"/>
  </si>
  <si>
    <t>ログファイルのアクセス権限が［方式設計書の記載通り］であること。</t>
    <rPh sb="11" eb="13">
      <t>ケンゲン</t>
    </rPh>
    <phoneticPr fontId="2"/>
  </si>
  <si>
    <t>ログファイルの所有権が［方式設計書の記載通り］であること。</t>
    <rPh sb="7" eb="10">
      <t>ショユウケン</t>
    </rPh>
    <phoneticPr fontId="2"/>
  </si>
  <si>
    <t>ログ編集</t>
    <rPh sb="2" eb="4">
      <t>ヘンシュウ</t>
    </rPh>
    <phoneticPr fontId="20"/>
  </si>
  <si>
    <t>ログファイルの文字コードが［方式設計書の記載通り］であること。</t>
    <rPh sb="14" eb="16">
      <t>ホウシキ</t>
    </rPh>
    <rPh sb="16" eb="19">
      <t>セッケイショ</t>
    </rPh>
    <rPh sb="20" eb="22">
      <t>キサイ</t>
    </rPh>
    <rPh sb="22" eb="23">
      <t>ドオ</t>
    </rPh>
    <phoneticPr fontId="20"/>
  </si>
  <si>
    <t>ログファイルの改行コードが［方式設計書の記載通り］であること。</t>
    <rPh sb="7" eb="9">
      <t>カイギョウ</t>
    </rPh>
    <phoneticPr fontId="20"/>
  </si>
  <si>
    <t>ログファイルの区切り文字が［方式設計書の記載通り］であること。</t>
    <rPh sb="7" eb="9">
      <t>クギ</t>
    </rPh>
    <rPh sb="10" eb="12">
      <t>モジ</t>
    </rPh>
    <phoneticPr fontId="20"/>
  </si>
  <si>
    <t>ログファイルの項目並び順が［方式設計書の記載通り］であること。</t>
    <rPh sb="7" eb="9">
      <t>コウモク</t>
    </rPh>
    <rPh sb="9" eb="10">
      <t>ナラ</t>
    </rPh>
    <rPh sb="11" eb="12">
      <t>ジュン</t>
    </rPh>
    <phoneticPr fontId="20"/>
  </si>
  <si>
    <t>出力内容</t>
    <rPh sb="0" eb="2">
      <t>シュツリョク</t>
    </rPh>
    <rPh sb="2" eb="4">
      <t>ナイヨウ</t>
    </rPh>
    <phoneticPr fontId="20"/>
  </si>
  <si>
    <t>編集仕様</t>
    <rPh sb="0" eb="2">
      <t>ヘンシュウ</t>
    </rPh>
    <rPh sb="2" eb="4">
      <t>シヨウ</t>
    </rPh>
    <phoneticPr fontId="2"/>
  </si>
  <si>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20"/>
  </si>
  <si>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20"/>
  </si>
  <si>
    <t>取得した値を変換する設計となっている場合、出力された値が［システム機能設計書/共通コンポーネント設計書の記載通り］であること。</t>
    <rPh sb="21" eb="23">
      <t>シュツリョク</t>
    </rPh>
    <rPh sb="26" eb="27">
      <t>アタイ</t>
    </rPh>
    <phoneticPr fontId="20"/>
  </si>
  <si>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</si>
  <si>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20"/>
  </si>
  <si>
    <t>取得した値をマスキングする設計となっている場合、出力された値がマスキングされること。</t>
    <rPh sb="0" eb="2">
      <t>シュトク</t>
    </rPh>
    <rPh sb="4" eb="5">
      <t>アタイ</t>
    </rPh>
    <rPh sb="13" eb="15">
      <t>セッケイ</t>
    </rPh>
    <rPh sb="21" eb="23">
      <t>バアイ</t>
    </rPh>
    <phoneticPr fontId="20"/>
  </si>
  <si>
    <t>バリデーション</t>
    <phoneticPr fontId="20"/>
  </si>
  <si>
    <t>リクエスト単体テストでは対象外</t>
    <rPh sb="5" eb="7">
      <t>タンタイ</t>
    </rPh>
    <rPh sb="12" eb="15">
      <t>タイショウガイ</t>
    </rPh>
    <phoneticPr fontId="2"/>
  </si>
  <si>
    <t>数値項目に有効範囲の下限値が入力された場合、エラーとならないこと。</t>
    <rPh sb="0" eb="2">
      <t>スウチ</t>
    </rPh>
    <rPh sb="2" eb="4">
      <t>コウモク</t>
    </rPh>
    <rPh sb="5" eb="7">
      <t>ユウコウ</t>
    </rPh>
    <rPh sb="7" eb="9">
      <t>ハンイ</t>
    </rPh>
    <rPh sb="10" eb="12">
      <t>カゲン</t>
    </rPh>
    <rPh sb="12" eb="13">
      <t>チ</t>
    </rPh>
    <rPh sb="14" eb="16">
      <t>ニュウリョク</t>
    </rPh>
    <rPh sb="19" eb="21">
      <t>バアイ</t>
    </rPh>
    <phoneticPr fontId="20"/>
  </si>
  <si>
    <t>メールアドレス</t>
    <phoneticPr fontId="22"/>
  </si>
  <si>
    <t>アプリケーション固有のバリデーションがある場合、バリデーションの結果が［システム機能設計書の記載通り］であること。</t>
    <rPh sb="8" eb="10">
      <t>コユウ</t>
    </rPh>
    <rPh sb="32" eb="34">
      <t>ケッカ</t>
    </rPh>
    <rPh sb="40" eb="42">
      <t>キノウ</t>
    </rPh>
    <rPh sb="42" eb="44">
      <t>セッケイ</t>
    </rPh>
    <rPh sb="44" eb="45">
      <t>ショ</t>
    </rPh>
    <rPh sb="46" eb="48">
      <t>キサイ</t>
    </rPh>
    <rPh sb="48" eb="49">
      <t>ドオ</t>
    </rPh>
    <phoneticPr fontId="20"/>
  </si>
  <si>
    <t>-</t>
    <phoneticPr fontId="20"/>
  </si>
  <si>
    <t>特定の条件により必須・任意が変わる項目について、該当項目が任意となっている状態で、値が未入力の場合、エラーとならないこと。</t>
    <phoneticPr fontId="20"/>
  </si>
  <si>
    <t>有効なレコードが存在する場合、エラーとならないこと。</t>
    <phoneticPr fontId="20"/>
  </si>
  <si>
    <t>有効なレコードが存在しない場合、エラーとなること。</t>
    <phoneticPr fontId="20"/>
  </si>
  <si>
    <t>エスケープ</t>
    <phoneticPr fontId="2"/>
  </si>
  <si>
    <t>全項目に値が指定された場合、レコードが登録されること。</t>
    <phoneticPr fontId="2"/>
  </si>
  <si>
    <t>更新対象の項目すべてに値が指定された場合、レコードが更新されること。</t>
    <phoneticPr fontId="20"/>
  </si>
  <si>
    <t>必須項目に値が指定されていない場合、レコードが登録されないこと。</t>
    <phoneticPr fontId="2"/>
  </si>
  <si>
    <t>更新対象の必須項目に値が指定されていない場合、レコードが更新されないこと。</t>
    <phoneticPr fontId="20"/>
  </si>
  <si>
    <t>エラー</t>
    <phoneticPr fontId="20"/>
  </si>
  <si>
    <t>ロールバック</t>
    <phoneticPr fontId="20"/>
  </si>
  <si>
    <t>コミット</t>
    <phoneticPr fontId="20"/>
  </si>
  <si>
    <t>※ファイルアップロードを含む</t>
    <phoneticPr fontId="20"/>
  </si>
  <si>
    <t>インターフェース仕様</t>
    <phoneticPr fontId="20"/>
  </si>
  <si>
    <t>ファイルサイズ</t>
    <phoneticPr fontId="20"/>
  </si>
  <si>
    <t>ソート順</t>
    <phoneticPr fontId="20"/>
  </si>
  <si>
    <t>レイアウト</t>
    <phoneticPr fontId="20"/>
  </si>
  <si>
    <t>ループ処理によって、取得した値の編集を繰り返す設計となっている場合、出力された値が［システム機能設計書/共通コンポーネント設計書の記載通り］であること。</t>
    <phoneticPr fontId="20"/>
  </si>
  <si>
    <t>取得した値を使用して計算する設計となっている場合、出力された値が［システム機能設計書/共通コンポーネント設計書の記載通り］であること。</t>
    <phoneticPr fontId="20"/>
  </si>
  <si>
    <t>コピー</t>
    <phoneticPr fontId="2"/>
  </si>
  <si>
    <t>ヘッダ</t>
    <phoneticPr fontId="2"/>
  </si>
  <si>
    <t>ヘッダがエンコードされること。</t>
    <phoneticPr fontId="2"/>
  </si>
  <si>
    <t>ループ処理によって、取得した値の編集を繰り返す設計となっている場合、件名に設定された値が［システム機能設計書/共通コンポーネント設計書/メール設計書の記載通り］であること。</t>
    <phoneticPr fontId="20"/>
  </si>
  <si>
    <t>本文</t>
    <phoneticPr fontId="20"/>
  </si>
  <si>
    <t>取得した値を編集する処理が分岐する設計となっている場合、本文に設定された値が［システム機能設計書/共通コンポーネント設計書/メール設計書の記載通り］であること。</t>
  </si>
  <si>
    <t>ループ処理によって、取得した値の編集を繰り返す設計となっている場合、本文に設定された値が［システム機能設計書/共通コンポーネント設計書/メール設計書の記載通り］であること。</t>
    <phoneticPr fontId="20"/>
  </si>
  <si>
    <t>1通のメールに埋め込み項目などを複数件繰り返し出力する設計の場合、ソート順が［システム機能設計書/共通コンポーネント設計書/メール設計書の記載通り］であること。</t>
    <phoneticPr fontId="20"/>
  </si>
  <si>
    <t>ループ処理によって、取得した値の編集を繰り返す設計となっている場合、送信された値が［システム機能設計書/共通コンポーネント設計書の記載通り］であること。</t>
    <phoneticPr fontId="20"/>
  </si>
  <si>
    <t>取得した値を編集する処理が分岐する設計となっている場合、出力された値が［システム機能設計書/共通コンポーネント設計書の記載通り］であること。</t>
    <phoneticPr fontId="20"/>
  </si>
  <si>
    <t>取得した値を連結する設計となっている場合、出力された値が［システム機能設計書/共通コンポーネント設計書の記載通り］であること。</t>
    <phoneticPr fontId="20"/>
  </si>
  <si>
    <t>警告終了が無いため対象外</t>
    <rPh sb="0" eb="2">
      <t>ケイコク</t>
    </rPh>
    <rPh sb="2" eb="4">
      <t>シュウリョウ</t>
    </rPh>
    <rPh sb="5" eb="6">
      <t>ナ</t>
    </rPh>
    <rPh sb="9" eb="12">
      <t>タイショウガイ</t>
    </rPh>
    <phoneticPr fontId="2"/>
  </si>
  <si>
    <t>リクエスト結合</t>
    <rPh sb="5" eb="7">
      <t>ケツゴウ</t>
    </rPh>
    <phoneticPr fontId="5"/>
  </si>
  <si>
    <t>バッチ処理フロー</t>
    <rPh sb="3" eb="5">
      <t>ショリ</t>
    </rPh>
    <phoneticPr fontId="5"/>
  </si>
  <si>
    <t>testNormalSubfunction</t>
    <phoneticPr fontId="2"/>
  </si>
  <si>
    <t>testDataVariation</t>
  </si>
  <si>
    <t>取引内のすべての処理が正常終了する。
※処理結果が正常になるデータでテストを行う。</t>
    <rPh sb="0" eb="2">
      <t>トリヒキ</t>
    </rPh>
    <rPh sb="2" eb="3">
      <t>ナイ</t>
    </rPh>
    <rPh sb="8" eb="10">
      <t>ショリ</t>
    </rPh>
    <rPh sb="11" eb="13">
      <t>セイジョウ</t>
    </rPh>
    <rPh sb="13" eb="15">
      <t>シュウリョウ</t>
    </rPh>
    <rPh sb="20" eb="22">
      <t>ショリ</t>
    </rPh>
    <rPh sb="22" eb="24">
      <t>ケッカ</t>
    </rPh>
    <rPh sb="25" eb="27">
      <t>セイジョウ</t>
    </rPh>
    <rPh sb="38" eb="39">
      <t>オコナ</t>
    </rPh>
    <phoneticPr fontId="2"/>
  </si>
  <si>
    <t>メッセージング機能</t>
    <rPh sb="7" eb="9">
      <t>キノウ</t>
    </rPh>
    <phoneticPr fontId="2"/>
  </si>
  <si>
    <t>起動条件</t>
    <rPh sb="0" eb="2">
      <t>キドウ</t>
    </rPh>
    <rPh sb="2" eb="4">
      <t>ジョウケン</t>
    </rPh>
    <phoneticPr fontId="20"/>
  </si>
  <si>
    <t>起動条件通りの設定でメッセージング機能を起動した場合、実行結果が［システム機能設計書/共通コンポーネント設計書の記載通り］であること。</t>
    <rPh sb="0" eb="2">
      <t>キドウ</t>
    </rPh>
    <rPh sb="2" eb="4">
      <t>ジョウケン</t>
    </rPh>
    <rPh sb="4" eb="5">
      <t>ドオ</t>
    </rPh>
    <rPh sb="7" eb="9">
      <t>セッテイ</t>
    </rPh>
    <rPh sb="17" eb="19">
      <t>キノウ</t>
    </rPh>
    <rPh sb="20" eb="22">
      <t>キドウ</t>
    </rPh>
    <rPh sb="24" eb="26">
      <t>バアイ</t>
    </rPh>
    <phoneticPr fontId="20"/>
  </si>
  <si>
    <t>メッセージの処理順が［システム機能設計書/共通コンポーネント設計書の記載通り］であること。</t>
    <rPh sb="6" eb="8">
      <t>ショリ</t>
    </rPh>
    <rPh sb="8" eb="9">
      <t>ジュン</t>
    </rPh>
    <phoneticPr fontId="20"/>
  </si>
  <si>
    <t>MQクラスター</t>
    <phoneticPr fontId="20"/>
  </si>
  <si>
    <t>MQクラスターを使用する場合、［システム機能設計書/共通コンポーネント設計書の記載通りの挙動］となること。</t>
    <rPh sb="8" eb="10">
      <t>シヨウ</t>
    </rPh>
    <rPh sb="12" eb="14">
      <t>バアイ</t>
    </rPh>
    <phoneticPr fontId="20"/>
  </si>
  <si>
    <t>入力データ</t>
    <rPh sb="0" eb="2">
      <t>ニュウリョク</t>
    </rPh>
    <phoneticPr fontId="20"/>
  </si>
  <si>
    <t>取得元（電文）から正常なデータを取り込んだ場合、実行結果が［システム機能設計書/共通コンポーネント設計書の記載通り］であること。</t>
    <rPh sb="0" eb="2">
      <t>シュトク</t>
    </rPh>
    <rPh sb="2" eb="3">
      <t>モト</t>
    </rPh>
    <rPh sb="4" eb="6">
      <t>デンブン</t>
    </rPh>
    <rPh sb="9" eb="11">
      <t>セイジョウ</t>
    </rPh>
    <rPh sb="16" eb="17">
      <t>ト</t>
    </rPh>
    <rPh sb="18" eb="19">
      <t>コ</t>
    </rPh>
    <rPh sb="21" eb="23">
      <t>バアイ</t>
    </rPh>
    <phoneticPr fontId="2"/>
  </si>
  <si>
    <t>取得元（電文）から異常なデータを取り込んだ場合、実行結果が［システム機能設計書/共通コンポーネント設計書の記載通り］であること。</t>
    <rPh sb="9" eb="11">
      <t>イジョウ</t>
    </rPh>
    <rPh sb="16" eb="17">
      <t>ト</t>
    </rPh>
    <rPh sb="18" eb="19">
      <t>コ</t>
    </rPh>
    <rPh sb="21" eb="23">
      <t>バアイ</t>
    </rPh>
    <phoneticPr fontId="2"/>
  </si>
  <si>
    <t>取得元（電文）から期限切れのデータを取り込んだ場合、実行結果が［システム機能設計書/共通コンポーネント設計書の記載通り］であること。</t>
    <rPh sb="9" eb="11">
      <t>キゲン</t>
    </rPh>
    <rPh sb="11" eb="12">
      <t>ギ</t>
    </rPh>
    <rPh sb="18" eb="19">
      <t>ト</t>
    </rPh>
    <rPh sb="20" eb="21">
      <t>コ</t>
    </rPh>
    <rPh sb="23" eb="25">
      <t>バアイ</t>
    </rPh>
    <phoneticPr fontId="2"/>
  </si>
  <si>
    <t>読み込まれた項目の値が、取得元と同値であること。</t>
    <rPh sb="0" eb="1">
      <t>ヨ</t>
    </rPh>
    <rPh sb="2" eb="3">
      <t>コ</t>
    </rPh>
    <rPh sb="6" eb="8">
      <t>コウモク</t>
    </rPh>
    <rPh sb="9" eb="10">
      <t>アタイ</t>
    </rPh>
    <rPh sb="12" eb="14">
      <t>シュトク</t>
    </rPh>
    <rPh sb="14" eb="15">
      <t>モト</t>
    </rPh>
    <rPh sb="16" eb="18">
      <t>ドウチ</t>
    </rPh>
    <phoneticPr fontId="2"/>
  </si>
  <si>
    <t>エラーが発生した場合、実行結果が［システム機能設計書/共通コンポーネント設計書の記載通り］であること。</t>
    <rPh sb="4" eb="6">
      <t>ハッセイ</t>
    </rPh>
    <rPh sb="8" eb="10">
      <t>バアイ</t>
    </rPh>
    <rPh sb="11" eb="13">
      <t>ジッコウ</t>
    </rPh>
    <rPh sb="13" eb="15">
      <t>ケッカ</t>
    </rPh>
    <phoneticPr fontId="20"/>
  </si>
  <si>
    <t>複数の単項目バリデーションを実施し、その結果をまとめて返却するメッセージング機能に対し、エラーが複数件発生した場合、対象のエラーがすべて送出されること。</t>
    <rPh sb="27" eb="29">
      <t>ヘンキャク</t>
    </rPh>
    <phoneticPr fontId="20"/>
  </si>
  <si>
    <t>複数の単項目バリデーションを実施し、その結果をまとめて返却するメッセージング機能に対し、エラーが複数件発生した場合、エラーメッセージのソート順が［システム機能設計書の記載通り］であること。</t>
    <rPh sb="70" eb="71">
      <t>ジュン</t>
    </rPh>
    <phoneticPr fontId="20"/>
  </si>
  <si>
    <t>複数の相関バリデーションを実施し、その結果をまとめて返却するメッセージング機能に対し、エラーが複数件発生した場合、対象のエラーがすべて送出されること。</t>
    <rPh sb="3" eb="5">
      <t>ソウカン</t>
    </rPh>
    <rPh sb="26" eb="28">
      <t>ヘンキャク</t>
    </rPh>
    <phoneticPr fontId="20"/>
  </si>
  <si>
    <t>複数の相関バリデーションを実施し、その結果をまとめて返却するメッセージング機能に対し、エラーが複数件発生した場合、エラーメッセージのソート順が［システム機能設計書の記載通り］であること。</t>
    <rPh sb="3" eb="5">
      <t>ソウカン</t>
    </rPh>
    <rPh sb="69" eb="70">
      <t>ジュン</t>
    </rPh>
    <phoneticPr fontId="20"/>
  </si>
  <si>
    <t>DBとの相関バリデーションを複数実施し、その結果をまとめて返却するメッセージング機能に対し、エラーが複数件発生した場合、対象のエラーがすべて送出されること。</t>
    <rPh sb="29" eb="31">
      <t>ヘンキャク</t>
    </rPh>
    <phoneticPr fontId="20"/>
  </si>
  <si>
    <t>DBとの相関バリデーションを複数実施し、その結果をまとめて返却するメッセージング機能に対し、エラーが複数件発生した場合、エラーメッセージのソート順が［システム機能設計書の記載通り］であること。</t>
    <rPh sb="72" eb="73">
      <t>ジュン</t>
    </rPh>
    <phoneticPr fontId="20"/>
  </si>
  <si>
    <t>タイムアウトした場合、［システム機能設計書/共通コンポーネント設計書の記載通りの挙動］となること。</t>
    <rPh sb="8" eb="10">
      <t>バアイ</t>
    </rPh>
    <rPh sb="22" eb="24">
      <t>キョウツウ</t>
    </rPh>
    <rPh sb="31" eb="33">
      <t>セッケイ</t>
    </rPh>
    <rPh sb="33" eb="34">
      <t>ショ</t>
    </rPh>
    <phoneticPr fontId="20"/>
  </si>
  <si>
    <t>キューに電文が滞留した状態でタイムアウトした場合、［システム機能設計書/共通コンポーネント設計書の記載通りの挙動］となること。</t>
    <rPh sb="4" eb="6">
      <t>デンブン</t>
    </rPh>
    <rPh sb="7" eb="9">
      <t>タイリュウ</t>
    </rPh>
    <rPh sb="11" eb="13">
      <t>ジョウタイ</t>
    </rPh>
    <rPh sb="22" eb="24">
      <t>バアイ</t>
    </rPh>
    <phoneticPr fontId="20"/>
  </si>
  <si>
    <t>キューに滞留した電文がタイムアウトした場合［システム機能設計書/共通コンポーネント設計書の記載通りの挙動］となること。</t>
    <phoneticPr fontId="20"/>
  </si>
  <si>
    <t>エラーが発生した場合、対象の電文がキューに戻されること。</t>
    <rPh sb="4" eb="6">
      <t>ハッセイ</t>
    </rPh>
    <rPh sb="8" eb="10">
      <t>バアイ</t>
    </rPh>
    <rPh sb="11" eb="13">
      <t>タイショウ</t>
    </rPh>
    <rPh sb="14" eb="16">
      <t>デンブン</t>
    </rPh>
    <rPh sb="21" eb="22">
      <t>モド</t>
    </rPh>
    <phoneticPr fontId="20"/>
  </si>
  <si>
    <t>ファイル取込処理が無いため対象外</t>
    <rPh sb="4" eb="6">
      <t>トリコミ</t>
    </rPh>
    <rPh sb="6" eb="8">
      <t>ショリ</t>
    </rPh>
    <rPh sb="9" eb="10">
      <t>ナ</t>
    </rPh>
    <rPh sb="13" eb="16">
      <t>タイショウガイ</t>
    </rPh>
    <phoneticPr fontId="2"/>
  </si>
  <si>
    <t>・ユーザ情報照会応答電文の処理結果に"00"が出力される。
・ユーザ情報照会応答電文にユーザ管理テーブルから取得したデータが出力される。</t>
    <rPh sb="23" eb="25">
      <t>シュツリョク</t>
    </rPh>
    <rPh sb="46" eb="48">
      <t>カンリ</t>
    </rPh>
    <rPh sb="54" eb="56">
      <t>シュトク</t>
    </rPh>
    <rPh sb="62" eb="64">
      <t>シュツリョク</t>
    </rPh>
    <phoneticPr fontId="2"/>
  </si>
  <si>
    <t>・ユーザ情報照会応答電文の処理結果に"20"が出力される。</t>
    <phoneticPr fontId="2"/>
  </si>
  <si>
    <t>testGetUserInfo</t>
  </si>
  <si>
    <t>処理詳細</t>
    <phoneticPr fontId="2"/>
  </si>
  <si>
    <t>登録処理が無いため対象外</t>
    <rPh sb="0" eb="2">
      <t>トウロク</t>
    </rPh>
    <rPh sb="2" eb="4">
      <t>ショリ</t>
    </rPh>
    <rPh sb="5" eb="6">
      <t>ナ</t>
    </rPh>
    <rPh sb="9" eb="12">
      <t>タイショウガイ</t>
    </rPh>
    <phoneticPr fontId="2"/>
  </si>
  <si>
    <t>複数件取得しないため対象外</t>
    <rPh sb="0" eb="3">
      <t>フクスウケン</t>
    </rPh>
    <rPh sb="3" eb="5">
      <t>シュトク</t>
    </rPh>
    <rPh sb="10" eb="13">
      <t>タイショウガイ</t>
    </rPh>
    <phoneticPr fontId="2"/>
  </si>
  <si>
    <t>取得したユーザ情報が返却される。</t>
    <rPh sb="0" eb="2">
      <t>シュトク</t>
    </rPh>
    <rPh sb="7" eb="9">
      <t>ジョウホウ</t>
    </rPh>
    <rPh sb="10" eb="12">
      <t>ヘンキャク</t>
    </rPh>
    <phoneticPr fontId="2"/>
  </si>
  <si>
    <t>nullが返却される。</t>
    <rPh sb="5" eb="7">
      <t>ヘンキャク</t>
    </rPh>
    <phoneticPr fontId="2"/>
  </si>
  <si>
    <t>有効なユーザIDを指定した場合、ユーザ情報が取得できる。</t>
    <rPh sb="0" eb="2">
      <t>ユウコウ</t>
    </rPh>
    <rPh sb="9" eb="11">
      <t>シテイ</t>
    </rPh>
    <rPh sb="13" eb="15">
      <t>バアイ</t>
    </rPh>
    <rPh sb="19" eb="21">
      <t>ジョウホウ</t>
    </rPh>
    <rPh sb="22" eb="24">
      <t>シュトク</t>
    </rPh>
    <phoneticPr fontId="2"/>
  </si>
  <si>
    <t>無効なユーザIDを指定した場合、ユーザ情報が取得できない。</t>
    <rPh sb="0" eb="2">
      <t>ムコウ</t>
    </rPh>
    <rPh sb="9" eb="11">
      <t>シテイ</t>
    </rPh>
    <rPh sb="13" eb="15">
      <t>バアイ</t>
    </rPh>
    <rPh sb="19" eb="21">
      <t>ジョウホウ</t>
    </rPh>
    <rPh sb="22" eb="24">
      <t>シュトク</t>
    </rPh>
    <phoneticPr fontId="2"/>
  </si>
  <si>
    <t>ユーザ管理テーブルにデータがある場合、ユーザ情報を取得できる</t>
    <rPh sb="3" eb="5">
      <t>カンリ</t>
    </rPh>
    <rPh sb="16" eb="18">
      <t>バアイ</t>
    </rPh>
    <rPh sb="22" eb="24">
      <t>ジョウホウ</t>
    </rPh>
    <rPh sb="25" eb="27">
      <t>シュトク</t>
    </rPh>
    <phoneticPr fontId="2"/>
  </si>
  <si>
    <t>ユーザ管理テーブルにデータが無い場合、ユーザ情報が取得できない。</t>
    <rPh sb="3" eb="5">
      <t>カンリ</t>
    </rPh>
    <rPh sb="14" eb="15">
      <t>ナ</t>
    </rPh>
    <rPh sb="16" eb="18">
      <t>バアイ</t>
    </rPh>
    <rPh sb="22" eb="24">
      <t>ジョウホウ</t>
    </rPh>
    <rPh sb="25" eb="27">
      <t>シュトク</t>
    </rPh>
    <phoneticPr fontId="2"/>
  </si>
  <si>
    <t xml:space="preserve">ユーザ管理テーブルから取得する項目のNULL許可項目が全てNULLの場合、ユーザ情報を取得できる。
</t>
    <rPh sb="3" eb="5">
      <t>カンリ</t>
    </rPh>
    <rPh sb="11" eb="13">
      <t>シュトク</t>
    </rPh>
    <rPh sb="15" eb="17">
      <t>コウモク</t>
    </rPh>
    <rPh sb="22" eb="26">
      <t>キョカコウモク</t>
    </rPh>
    <rPh sb="27" eb="28">
      <t>スベ</t>
    </rPh>
    <rPh sb="34" eb="36">
      <t>バアイ</t>
    </rPh>
    <rPh sb="40" eb="42">
      <t>ジョウホウ</t>
    </rPh>
    <rPh sb="43" eb="45">
      <t>シュトク</t>
    </rPh>
    <phoneticPr fontId="2"/>
  </si>
  <si>
    <t xml:space="preserve">ユーザ管理テーブルから取得する項目が全て最大桁の場合、ユーザ情報を取得できる。
</t>
    <rPh sb="3" eb="5">
      <t>カンリ</t>
    </rPh>
    <rPh sb="11" eb="13">
      <t>シュトク</t>
    </rPh>
    <rPh sb="15" eb="17">
      <t>コウモク</t>
    </rPh>
    <rPh sb="18" eb="19">
      <t>スベ</t>
    </rPh>
    <rPh sb="20" eb="23">
      <t>サイダイケタ</t>
    </rPh>
    <rPh sb="24" eb="26">
      <t>バアイ</t>
    </rPh>
    <phoneticPr fontId="2"/>
  </si>
  <si>
    <t>NULLの項目以外が設定されたユーザ情報が返却される。</t>
    <rPh sb="5" eb="7">
      <t>コウモク</t>
    </rPh>
    <rPh sb="7" eb="9">
      <t>イガイ</t>
    </rPh>
    <rPh sb="10" eb="12">
      <t>セッテイ</t>
    </rPh>
    <rPh sb="18" eb="20">
      <t>ジョウホウ</t>
    </rPh>
    <rPh sb="21" eb="23">
      <t>ヘンキャク</t>
    </rPh>
    <phoneticPr fontId="2"/>
  </si>
  <si>
    <t>全ての項目が最大桁のユーザ情報が返却される。</t>
    <rPh sb="0" eb="1">
      <t>スベ</t>
    </rPh>
    <rPh sb="3" eb="5">
      <t>コウモク</t>
    </rPh>
    <rPh sb="6" eb="8">
      <t>サイダイ</t>
    </rPh>
    <rPh sb="8" eb="9">
      <t>ケタ</t>
    </rPh>
    <rPh sb="13" eb="15">
      <t>ジョウホウ</t>
    </rPh>
    <rPh sb="16" eb="18">
      <t>ヘンキャク</t>
    </rPh>
    <phoneticPr fontId="2"/>
  </si>
  <si>
    <t>対象ユーザの住所コードに紐づく住所情報が取得できる。</t>
    <rPh sb="0" eb="2">
      <t>タイショウ</t>
    </rPh>
    <rPh sb="6" eb="8">
      <t>ジュウショ</t>
    </rPh>
    <rPh sb="12" eb="13">
      <t>ヒモ</t>
    </rPh>
    <rPh sb="15" eb="17">
      <t>ジュウショ</t>
    </rPh>
    <rPh sb="17" eb="19">
      <t>ジョウホウ</t>
    </rPh>
    <rPh sb="20" eb="22">
      <t>シュトク</t>
    </rPh>
    <phoneticPr fontId="2"/>
  </si>
  <si>
    <t>住所マスタから住所情報を取得できる。</t>
    <rPh sb="0" eb="2">
      <t>ジュウショ</t>
    </rPh>
    <rPh sb="7" eb="9">
      <t>ジュウショ</t>
    </rPh>
    <rPh sb="9" eb="11">
      <t>ジョウホウ</t>
    </rPh>
    <rPh sb="12" eb="14">
      <t>シュトク</t>
    </rPh>
    <phoneticPr fontId="2"/>
  </si>
  <si>
    <t>testNormalEnd</t>
    <phoneticPr fontId="2"/>
  </si>
  <si>
    <t>ユーザ情報照会要求電文の項目が全て最大桁の場合、正常終了する。</t>
    <rPh sb="12" eb="14">
      <t>コウモク</t>
    </rPh>
    <rPh sb="15" eb="16">
      <t>スベ</t>
    </rPh>
    <rPh sb="17" eb="20">
      <t>サイダイケタ</t>
    </rPh>
    <rPh sb="21" eb="23">
      <t>バアイ</t>
    </rPh>
    <rPh sb="24" eb="28">
      <t>セイジョウシュウリョウ</t>
    </rPh>
    <phoneticPr fontId="2"/>
  </si>
  <si>
    <t>クラス単体テストで確認済みのため対象外</t>
    <rPh sb="3" eb="5">
      <t>タンタイ</t>
    </rPh>
    <rPh sb="9" eb="11">
      <t>カクニン</t>
    </rPh>
    <rPh sb="11" eb="12">
      <t>ズ</t>
    </rPh>
    <rPh sb="16" eb="19">
      <t>タイショウガイ</t>
    </rPh>
    <phoneticPr fontId="2"/>
  </si>
  <si>
    <t>ユーザ情報照会応答電文の処理結果に"11"、エラーコードに共通コンポーネントの戻り値のエラーコードが設定される。</t>
    <rPh sb="12" eb="14">
      <t>ショリ</t>
    </rPh>
    <rPh sb="14" eb="16">
      <t>ケッカ</t>
    </rPh>
    <rPh sb="29" eb="31">
      <t>キョウツウ</t>
    </rPh>
    <rPh sb="39" eb="40">
      <t>モド</t>
    </rPh>
    <rPh sb="41" eb="42">
      <t>チ</t>
    </rPh>
    <rPh sb="50" eb="52">
      <t>セッテイ</t>
    </rPh>
    <phoneticPr fontId="2"/>
  </si>
  <si>
    <t>ユーザ情報照会応答電文の処理結果に"12"、エラーコードに"1201"が設定される。</t>
    <rPh sb="12" eb="14">
      <t>ショリ</t>
    </rPh>
    <rPh sb="14" eb="16">
      <t>ケッカ</t>
    </rPh>
    <rPh sb="36" eb="38">
      <t>セッテイ</t>
    </rPh>
    <phoneticPr fontId="2"/>
  </si>
  <si>
    <t>共通ヘッダ部のバリデーションでエラーになった場合、ユーザー情報照会応答電文の処理結果に"11"が設定される。</t>
    <rPh sb="0" eb="2">
      <t>キョウツウ</t>
    </rPh>
    <rPh sb="5" eb="6">
      <t>ブ</t>
    </rPh>
    <rPh sb="22" eb="24">
      <t>バアイ</t>
    </rPh>
    <rPh sb="29" eb="31">
      <t>ジョウホウ</t>
    </rPh>
    <rPh sb="31" eb="33">
      <t>ショウカイ</t>
    </rPh>
    <rPh sb="33" eb="35">
      <t>オウトウ</t>
    </rPh>
    <rPh sb="35" eb="37">
      <t>デンブン</t>
    </rPh>
    <rPh sb="38" eb="40">
      <t>ショリ</t>
    </rPh>
    <rPh sb="40" eb="42">
      <t>ケッカ</t>
    </rPh>
    <rPh sb="48" eb="50">
      <t>セッテイ</t>
    </rPh>
    <phoneticPr fontId="2"/>
  </si>
  <si>
    <t>データ部のバリデーションでエラーになった場合、ユーザー情報照会応答電文の処理結果に"11"が設定される。</t>
    <rPh sb="3" eb="4">
      <t>ブ</t>
    </rPh>
    <rPh sb="20" eb="22">
      <t>バアイ</t>
    </rPh>
    <rPh sb="27" eb="29">
      <t>ジョウホウ</t>
    </rPh>
    <rPh sb="29" eb="31">
      <t>ショウカイ</t>
    </rPh>
    <rPh sb="31" eb="33">
      <t>オウトウ</t>
    </rPh>
    <rPh sb="33" eb="35">
      <t>デンブン</t>
    </rPh>
    <rPh sb="36" eb="38">
      <t>ショリ</t>
    </rPh>
    <rPh sb="38" eb="40">
      <t>ケッカ</t>
    </rPh>
    <rPh sb="46" eb="48">
      <t>セッテイ</t>
    </rPh>
    <phoneticPr fontId="2"/>
  </si>
  <si>
    <t>データ部のユーザーIDが空の場合、バリデーションエラーになる。</t>
    <rPh sb="3" eb="4">
      <t>ブ</t>
    </rPh>
    <rPh sb="12" eb="13">
      <t>カラ</t>
    </rPh>
    <rPh sb="14" eb="16">
      <t>バアイ</t>
    </rPh>
    <phoneticPr fontId="2"/>
  </si>
  <si>
    <t>(a)システム機能設計書
(b)外部インタフェース設計書</t>
    <rPh sb="7" eb="12">
      <t>キノウセッケイショ</t>
    </rPh>
    <phoneticPr fontId="5"/>
  </si>
  <si>
    <t>(a)入力データ定義、処理詳細
(b)レコード構成</t>
    <rPh sb="3" eb="5">
      <t>ニュウリョク</t>
    </rPh>
    <rPh sb="8" eb="10">
      <t>テイギ</t>
    </rPh>
    <rPh sb="11" eb="13">
      <t>ショリ</t>
    </rPh>
    <rPh sb="13" eb="15">
      <t>ショウサイ</t>
    </rPh>
    <rPh sb="23" eb="25">
      <t>コウセイ</t>
    </rPh>
    <phoneticPr fontId="5"/>
  </si>
  <si>
    <t>入力データ定義、処理詳細、出力データ定義</t>
    <rPh sb="0" eb="2">
      <t>ニュウリョク</t>
    </rPh>
    <rPh sb="5" eb="7">
      <t>テイギ</t>
    </rPh>
    <rPh sb="8" eb="10">
      <t>ショリ</t>
    </rPh>
    <rPh sb="10" eb="12">
      <t>ショウサイ</t>
    </rPh>
    <phoneticPr fontId="5"/>
  </si>
  <si>
    <t>出力対象データが0件の場合、処理が正常終了することを確認する。</t>
    <rPh sb="0" eb="2">
      <t>シュツリョク</t>
    </rPh>
    <rPh sb="2" eb="4">
      <t>タイショウ</t>
    </rPh>
    <rPh sb="9" eb="10">
      <t>ケン</t>
    </rPh>
    <rPh sb="11" eb="13">
      <t>バアイ</t>
    </rPh>
    <rPh sb="14" eb="16">
      <t>ショリ</t>
    </rPh>
    <rPh sb="17" eb="19">
      <t>セイジョウ</t>
    </rPh>
    <rPh sb="19" eb="21">
      <t>シュウリョウ</t>
    </rPh>
    <rPh sb="26" eb="28">
      <t>カクニン</t>
    </rPh>
    <phoneticPr fontId="2"/>
  </si>
  <si>
    <t>出力対象データが1件以上ある場合、処理が正常終了することを確認する。</t>
    <rPh sb="0" eb="2">
      <t>シュツリョク</t>
    </rPh>
    <rPh sb="2" eb="4">
      <t>タイショウ</t>
    </rPh>
    <rPh sb="9" eb="10">
      <t>ケン</t>
    </rPh>
    <rPh sb="10" eb="12">
      <t>イジョウ</t>
    </rPh>
    <rPh sb="14" eb="16">
      <t>バアイ</t>
    </rPh>
    <rPh sb="17" eb="19">
      <t>ショリ</t>
    </rPh>
    <rPh sb="20" eb="22">
      <t>セイジョウ</t>
    </rPh>
    <rPh sb="22" eb="24">
      <t>シュウリョウ</t>
    </rPh>
    <rPh sb="29" eb="31">
      <t>カクニン</t>
    </rPh>
    <phoneticPr fontId="2"/>
  </si>
  <si>
    <t>ユーザ情報照会応答電文の処理結果が"20"、エラーコードが"2001"で出力される。</t>
    <phoneticPr fontId="2"/>
  </si>
  <si>
    <t>共通ヘッダのレイアウトが異なる場合、処理結果にエラーが設定される。</t>
    <rPh sb="0" eb="2">
      <t>キョウツウ</t>
    </rPh>
    <rPh sb="12" eb="13">
      <t>コト</t>
    </rPh>
    <rPh sb="15" eb="17">
      <t>バアイ</t>
    </rPh>
    <rPh sb="18" eb="20">
      <t>ショリ</t>
    </rPh>
    <rPh sb="20" eb="22">
      <t>ケッカ</t>
    </rPh>
    <rPh sb="27" eb="29">
      <t>セッテイ</t>
    </rPh>
    <phoneticPr fontId="2"/>
  </si>
  <si>
    <t>(a)入力データ定義、処理詳細、出力データ定義
(b)レコード構成</t>
    <rPh sb="3" eb="5">
      <t>ニュウリョク</t>
    </rPh>
    <rPh sb="8" eb="10">
      <t>テイギ</t>
    </rPh>
    <rPh sb="11" eb="13">
      <t>ショリ</t>
    </rPh>
    <rPh sb="13" eb="15">
      <t>ショウサイ</t>
    </rPh>
    <rPh sb="16" eb="18">
      <t>シュツリョク</t>
    </rPh>
    <rPh sb="21" eb="23">
      <t>テイギ</t>
    </rPh>
    <rPh sb="31" eb="33">
      <t>コウセイ</t>
    </rPh>
    <phoneticPr fontId="5"/>
  </si>
  <si>
    <t>共通ヘッダ部、データ部のレコードがある場合、エラーとならない。</t>
    <rPh sb="0" eb="2">
      <t>キョウツウ</t>
    </rPh>
    <rPh sb="5" eb="6">
      <t>ブ</t>
    </rPh>
    <rPh sb="10" eb="11">
      <t>ブ</t>
    </rPh>
    <rPh sb="19" eb="21">
      <t>バアイ</t>
    </rPh>
    <phoneticPr fontId="2"/>
  </si>
  <si>
    <t>エラーが発生しない</t>
    <rPh sb="4" eb="6">
      <t>ハッセイ</t>
    </rPh>
    <phoneticPr fontId="2"/>
  </si>
  <si>
    <t>・ユーザ情報照会応答電文の処理結果に"12"、エラーコードに共通コンポーネントの戻り値のエラーコードが設定される。</t>
    <rPh sb="13" eb="15">
      <t>ショリ</t>
    </rPh>
    <rPh sb="15" eb="17">
      <t>ケッカ</t>
    </rPh>
    <rPh sb="30" eb="32">
      <t>キョウツウ</t>
    </rPh>
    <rPh sb="40" eb="41">
      <t>モド</t>
    </rPh>
    <rPh sb="42" eb="43">
      <t>チ</t>
    </rPh>
    <rPh sb="51" eb="53">
      <t>セッテイ</t>
    </rPh>
    <phoneticPr fontId="2"/>
  </si>
  <si>
    <t>ユーザー管理の本人電話番号2がNULLの場合、ALLゼロが設定される。</t>
    <rPh sb="4" eb="6">
      <t>カンリ</t>
    </rPh>
    <phoneticPr fontId="2"/>
  </si>
  <si>
    <t>ユーザ情報照会応答電文が作成される</t>
    <rPh sb="12" eb="14">
      <t>サクセイ</t>
    </rPh>
    <phoneticPr fontId="2"/>
  </si>
  <si>
    <t>本人電話番号2に、ユーザー管理の本人電話番号2の値が設定される。</t>
    <rPh sb="0" eb="2">
      <t>ホンニン</t>
    </rPh>
    <rPh sb="2" eb="6">
      <t>デンワバンゴウ</t>
    </rPh>
    <phoneticPr fontId="2"/>
  </si>
  <si>
    <t>本人電話番号2に、ユーザー管理の本人電話番号2の値が設定される。</t>
    <rPh sb="0" eb="2">
      <t>ホンニン</t>
    </rPh>
    <rPh sb="13" eb="15">
      <t>カンリ</t>
    </rPh>
    <rPh sb="16" eb="18">
      <t>ホンニン</t>
    </rPh>
    <rPh sb="18" eb="20">
      <t>デンワ</t>
    </rPh>
    <rPh sb="20" eb="22">
      <t>バンゴウ</t>
    </rPh>
    <rPh sb="24" eb="25">
      <t>アタイ</t>
    </rPh>
    <rPh sb="26" eb="28">
      <t>セッテイ</t>
    </rPh>
    <phoneticPr fontId="2"/>
  </si>
  <si>
    <t>ユーザ情報照会応答電文のレコード構成が正しいことを確認する。</t>
    <rPh sb="3" eb="5">
      <t>ジョウホウ</t>
    </rPh>
    <rPh sb="5" eb="7">
      <t>ショウカイ</t>
    </rPh>
    <rPh sb="7" eb="9">
      <t>オウトウ</t>
    </rPh>
    <rPh sb="9" eb="11">
      <t>デンブン</t>
    </rPh>
    <rPh sb="16" eb="18">
      <t>コウセイ</t>
    </rPh>
    <rPh sb="19" eb="20">
      <t>タダ</t>
    </rPh>
    <rPh sb="25" eb="27">
      <t>カクニン</t>
    </rPh>
    <phoneticPr fontId="2"/>
  </si>
  <si>
    <t>単体テスト仕様書(メッセージ)
サンプル取引/RMXXXXXXXX</t>
    <phoneticPr fontId="2"/>
  </si>
  <si>
    <t>リクエストID：XXX</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</si>
</sst>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quot;第&quot;0.00&quot;版&quot;"/>
    <numFmt numFmtId="178" formatCode="yyyy/mm/dd"/>
  </numFmts>
  <fonts count="24">
    <font>
      <sz val="10"/>
      <name val="VL Pゴシック"/>
      <family val="3"/>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6"/>
      <name val="ＭＳ 明朝"/>
      <family val="1"/>
      <charset val="128"/>
    </font>
    <font>
      <sz val="9"/>
      <name val="ＭＳ 明朝"/>
      <family val="1"/>
      <charset val="128"/>
    </font>
    <font>
      <sz val="11"/>
      <name val="ＭＳ 明朝"/>
      <family val="1"/>
      <charset val="128"/>
    </font>
    <font>
      <sz val="18"/>
      <name val="ＭＳ 明朝"/>
      <family val="1"/>
      <charset val="128"/>
    </font>
    <font>
      <b/>
      <sz val="20"/>
      <name val="ＭＳ 明朝"/>
      <family val="1"/>
      <charset val="128"/>
    </font>
    <font>
      <u/>
      <sz val="14"/>
      <name val="ＭＳ 明朝"/>
      <family val="1"/>
      <charset val="128"/>
    </font>
    <font>
      <sz val="16"/>
      <name val="ＭＳ 明朝"/>
      <family val="1"/>
      <charset val="128"/>
    </font>
    <font>
      <sz val="14"/>
      <name val="ＭＳ 明朝"/>
      <family val="1"/>
      <charset val="128"/>
    </font>
    <font>
      <sz val="18"/>
      <name val="ＭＳ Ｐゴシック"/>
      <family val="3"/>
      <charset val="128"/>
    </font>
    <font>
      <sz val="10"/>
      <name val="ＭＳ ゴシック"/>
      <family val="3"/>
      <charset val="128"/>
    </font>
    <font>
      <sz val="13"/>
      <name val="ＭＳ 明朝"/>
      <family val="1"/>
      <charset val="128"/>
    </font>
    <font>
      <sz val="12"/>
      <name val="ＭＳ 明朝"/>
      <family val="1"/>
      <charset val="128"/>
    </font>
    <font>
      <b/>
      <sz val="9"/>
      <name val="ＭＳ 明朝"/>
      <family val="1"/>
      <charset val="128"/>
    </font>
    <font>
      <sz val="9"/>
      <color rgb="FF000000"/>
      <name val="ＭＳ 明朝"/>
      <family val="1"/>
      <charset val="128"/>
    </font>
    <font>
      <sz val="9"/>
      <color theme="1"/>
      <name val="メイリオ"/>
      <family val="2"/>
      <charset val="128"/>
    </font>
    <font>
      <sz val="6"/>
      <name val="メイリオ"/>
      <family val="2"/>
      <charset val="128"/>
    </font>
    <font>
      <sz val="9"/>
      <color theme="0" tint="-0.14999847407452621"/>
      <name val="ＭＳ 明朝"/>
      <family val="1"/>
      <charset val="128"/>
    </font>
    <font>
      <sz val="10"/>
      <name val="ＭＳ Ｐゴシック"/>
      <family val="3"/>
      <charset val="128"/>
    </font>
    <font>
      <u/>
      <sz val="11"/>
      <color indexed="12"/>
      <name val="ＭＳ Ｐゴシック"/>
      <family val="3"/>
      <charset val="128"/>
    </font>
  </fonts>
  <fills count="5">
    <fill>
      <patternFill patternType="none"/>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1" tint="0.49998474074526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0"/>
      </left>
      <right style="thin">
        <color indexed="0"/>
      </right>
      <top style="thin">
        <color indexed="0"/>
      </top>
      <bottom style="thin">
        <color indexed="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0"/>
      </right>
      <top style="thin">
        <color indexed="64"/>
      </top>
      <bottom/>
      <diagonal/>
    </border>
    <border>
      <left style="thin">
        <color indexed="0"/>
      </left>
      <right style="thin">
        <color indexed="0"/>
      </right>
      <top style="thin">
        <color indexed="64"/>
      </top>
      <bottom/>
      <diagonal/>
    </border>
    <border>
      <left/>
      <right style="thin">
        <color indexed="64"/>
      </right>
      <top/>
      <bottom/>
      <diagonal/>
    </border>
    <border>
      <left style="thin">
        <color indexed="64"/>
      </left>
      <right style="thin">
        <color indexed="64"/>
      </right>
      <top/>
      <bottom style="thin">
        <color indexed="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s>
  <cellStyleXfs count="9">
    <xf numFmtId="0" fontId="0" fillId="0" borderId="0"/>
    <xf numFmtId="0" fontId="6" fillId="0" borderId="0"/>
    <xf numFmtId="0" fontId="3" fillId="0" borderId="0"/>
    <xf numFmtId="0" fontId="6" fillId="0" borderId="0"/>
    <xf numFmtId="0" fontId="6" fillId="0" borderId="0"/>
    <xf numFmtId="0" fontId="14" fillId="0" borderId="0"/>
    <xf numFmtId="9" fontId="6" fillId="0" borderId="0" applyFont="0" applyFill="0" applyBorder="0" applyAlignment="0" applyProtection="0"/>
    <xf numFmtId="0" fontId="6" fillId="0" borderId="0"/>
    <xf numFmtId="0" fontId="19" fillId="0" borderId="0">
      <alignment vertical="center"/>
    </xf>
  </cellStyleXfs>
  <cellXfs count="247">
    <xf numFmtId="0" fontId="0" fillId="0" borderId="0" xfId="0"/>
    <xf numFmtId="0" fontId="7" fillId="0" borderId="0" xfId="3" applyFont="1"/>
    <xf numFmtId="0" fontId="8" fillId="0" borderId="0" xfId="3" applyFont="1"/>
    <xf numFmtId="0" fontId="9" fillId="0" borderId="0" xfId="3" applyFont="1"/>
    <xf numFmtId="0" fontId="10" fillId="0" borderId="0" xfId="3" applyFont="1" applyBorder="1"/>
    <xf numFmtId="0" fontId="11" fillId="0" borderId="0" xfId="3" applyFont="1"/>
    <xf numFmtId="177" fontId="12" fillId="0" borderId="0" xfId="4" quotePrefix="1" applyNumberFormat="1" applyFont="1" applyAlignment="1">
      <alignment horizontal="center"/>
    </xf>
    <xf numFmtId="0" fontId="11" fillId="0" borderId="0" xfId="3" applyFont="1" applyAlignment="1">
      <alignment horizontal="center"/>
    </xf>
    <xf numFmtId="31" fontId="11" fillId="0" borderId="0" xfId="3" applyNumberFormat="1" applyFont="1"/>
    <xf numFmtId="0" fontId="15" fillId="0" borderId="0" xfId="5" applyFont="1" applyAlignment="1">
      <alignment horizontal="center"/>
    </xf>
    <xf numFmtId="0" fontId="16" fillId="0" borderId="0" xfId="3" applyFont="1" applyAlignment="1">
      <alignment horizontal="center"/>
    </xf>
    <xf numFmtId="0" fontId="6" fillId="0" borderId="0" xfId="4" applyFont="1" applyBorder="1" applyAlignment="1"/>
    <xf numFmtId="0" fontId="6" fillId="0" borderId="0" xfId="4" applyFont="1" applyAlignment="1">
      <alignment horizontal="right"/>
    </xf>
    <xf numFmtId="0" fontId="6" fillId="0" borderId="0" xfId="4" applyFont="1" applyFill="1" applyBorder="1" applyAlignment="1">
      <alignment vertical="top"/>
    </xf>
    <xf numFmtId="0" fontId="6" fillId="0" borderId="0" xfId="4" applyFont="1" applyBorder="1" applyAlignment="1">
      <alignment vertical="top"/>
    </xf>
    <xf numFmtId="0" fontId="12" fillId="0" borderId="0" xfId="4" applyFont="1"/>
    <xf numFmtId="0" fontId="6" fillId="0" borderId="0" xfId="4" applyFont="1" applyBorder="1" applyAlignment="1">
      <alignment horizontal="center" vertical="center"/>
    </xf>
    <xf numFmtId="0" fontId="6" fillId="0" borderId="0" xfId="4" quotePrefix="1" applyFont="1" applyBorder="1" applyAlignment="1">
      <alignment vertical="center"/>
    </xf>
    <xf numFmtId="0" fontId="6" fillId="0" borderId="0" xfId="4" applyFont="1" applyBorder="1" applyAlignment="1">
      <alignment vertical="center"/>
    </xf>
    <xf numFmtId="0" fontId="6" fillId="0" borderId="21" xfId="3" applyFont="1" applyBorder="1" applyAlignment="1">
      <alignment horizontal="center" vertical="center"/>
    </xf>
    <xf numFmtId="0" fontId="6" fillId="0" borderId="0" xfId="4" applyFont="1" applyAlignment="1">
      <alignment horizontal="left" vertical="center"/>
    </xf>
    <xf numFmtId="0" fontId="6" fillId="0" borderId="1" xfId="3" applyFont="1" applyBorder="1" applyAlignment="1">
      <alignment horizontal="right" vertical="top"/>
    </xf>
    <xf numFmtId="0" fontId="6" fillId="0" borderId="0" xfId="3" applyFont="1"/>
    <xf numFmtId="0" fontId="16" fillId="0" borderId="0" xfId="3" applyFont="1"/>
    <xf numFmtId="0" fontId="6" fillId="0" borderId="4" xfId="0" applyFont="1" applyBorder="1" applyAlignment="1">
      <alignment horizontal="center" vertical="top"/>
    </xf>
    <xf numFmtId="0" fontId="6" fillId="0" borderId="22" xfId="0" applyFont="1" applyBorder="1" applyAlignment="1">
      <alignment horizontal="left" vertical="top"/>
    </xf>
    <xf numFmtId="0" fontId="6" fillId="0" borderId="24" xfId="0" applyFont="1" applyBorder="1" applyAlignment="1">
      <alignment horizontal="left" vertical="top"/>
    </xf>
    <xf numFmtId="0" fontId="6" fillId="0" borderId="23" xfId="0" applyFont="1" applyBorder="1" applyAlignment="1">
      <alignment horizontal="left" vertical="top"/>
    </xf>
    <xf numFmtId="0" fontId="6" fillId="0" borderId="0" xfId="2" applyFont="1"/>
    <xf numFmtId="49" fontId="6" fillId="0" borderId="0" xfId="2" applyNumberFormat="1" applyFont="1"/>
    <xf numFmtId="0" fontId="6" fillId="0" borderId="2" xfId="2" applyFont="1" applyBorder="1"/>
    <xf numFmtId="49" fontId="6" fillId="0" borderId="2" xfId="2" applyNumberFormat="1" applyFont="1" applyBorder="1"/>
    <xf numFmtId="0" fontId="6" fillId="2" borderId="1" xfId="0" applyFont="1" applyFill="1" applyBorder="1" applyAlignment="1">
      <alignment vertical="center"/>
    </xf>
    <xf numFmtId="0" fontId="6" fillId="2" borderId="1" xfId="2" applyFont="1" applyFill="1" applyBorder="1" applyAlignment="1">
      <alignment vertical="center"/>
    </xf>
    <xf numFmtId="49" fontId="6" fillId="2" borderId="1" xfId="2" applyNumberFormat="1" applyFont="1" applyFill="1" applyBorder="1" applyAlignment="1">
      <alignment vertical="center"/>
    </xf>
    <xf numFmtId="0" fontId="6" fillId="0" borderId="0" xfId="2" applyFont="1" applyAlignment="1">
      <alignment vertical="center"/>
    </xf>
    <xf numFmtId="0" fontId="18" fillId="0" borderId="3" xfId="0" applyFont="1" applyFill="1" applyBorder="1" applyAlignment="1">
      <alignment horizontal="left" vertical="top" wrapText="1"/>
    </xf>
    <xf numFmtId="0" fontId="6" fillId="0" borderId="1" xfId="2" applyFont="1" applyFill="1" applyBorder="1" applyAlignment="1">
      <alignment vertical="top" wrapText="1"/>
    </xf>
    <xf numFmtId="0" fontId="18" fillId="0" borderId="10" xfId="1" applyFont="1" applyFill="1" applyBorder="1" applyAlignment="1">
      <alignment vertical="top" wrapText="1" shrinkToFit="1"/>
    </xf>
    <xf numFmtId="0" fontId="18" fillId="0" borderId="11" xfId="1" applyFont="1" applyFill="1" applyBorder="1" applyAlignment="1">
      <alignment vertical="top" wrapText="1" shrinkToFit="1"/>
    </xf>
    <xf numFmtId="0" fontId="6" fillId="0" borderId="9" xfId="2" applyFont="1" applyFill="1" applyBorder="1" applyAlignment="1">
      <alignment vertical="top" wrapText="1"/>
    </xf>
    <xf numFmtId="0" fontId="18" fillId="0" borderId="6" xfId="0" applyFont="1" applyFill="1" applyBorder="1" applyAlignment="1">
      <alignment horizontal="left" vertical="top" wrapText="1" shrinkToFit="1"/>
    </xf>
    <xf numFmtId="0" fontId="6" fillId="0" borderId="6" xfId="2" applyFont="1" applyBorder="1" applyAlignment="1">
      <alignment horizontal="left" vertical="top" wrapText="1"/>
    </xf>
    <xf numFmtId="0" fontId="6" fillId="0" borderId="1" xfId="2" applyFont="1" applyFill="1" applyBorder="1" applyAlignment="1">
      <alignment vertical="center" wrapText="1"/>
    </xf>
    <xf numFmtId="49" fontId="6" fillId="0" borderId="0" xfId="2" applyNumberFormat="1" applyFont="1" applyAlignment="1">
      <alignment vertical="center"/>
    </xf>
    <xf numFmtId="0" fontId="6" fillId="2" borderId="3" xfId="0" applyFont="1" applyFill="1" applyBorder="1" applyAlignment="1">
      <alignment vertical="top"/>
    </xf>
    <xf numFmtId="0" fontId="6" fillId="2" borderId="3" xfId="0" applyFont="1" applyFill="1" applyBorder="1" applyAlignment="1">
      <alignment vertical="center"/>
    </xf>
    <xf numFmtId="0" fontId="6" fillId="2" borderId="3" xfId="2" applyFont="1" applyFill="1" applyBorder="1" applyAlignment="1">
      <alignment vertical="center" wrapText="1"/>
    </xf>
    <xf numFmtId="0" fontId="6" fillId="2" borderId="3" xfId="2" applyFont="1" applyFill="1" applyBorder="1" applyAlignment="1">
      <alignment vertical="top" wrapText="1"/>
    </xf>
    <xf numFmtId="49" fontId="6" fillId="2" borderId="3" xfId="2" applyNumberFormat="1" applyFont="1" applyFill="1" applyBorder="1" applyAlignment="1">
      <alignment vertical="center"/>
    </xf>
    <xf numFmtId="0" fontId="6" fillId="2" borderId="3" xfId="2" applyFont="1" applyFill="1" applyBorder="1" applyAlignment="1">
      <alignment vertical="center"/>
    </xf>
    <xf numFmtId="0" fontId="6" fillId="2" borderId="14" xfId="2" applyFont="1" applyFill="1" applyBorder="1" applyAlignment="1">
      <alignment vertical="center"/>
    </xf>
    <xf numFmtId="0" fontId="6" fillId="0" borderId="1" xfId="2" applyFont="1" applyBorder="1" applyAlignment="1">
      <alignment vertical="top" wrapText="1"/>
    </xf>
    <xf numFmtId="0" fontId="6" fillId="3" borderId="16" xfId="8" applyFont="1" applyFill="1" applyBorder="1" applyAlignment="1">
      <alignment horizontal="left" vertical="top" wrapText="1"/>
    </xf>
    <xf numFmtId="0" fontId="6" fillId="3" borderId="3" xfId="8" applyFont="1" applyFill="1" applyBorder="1" applyAlignment="1">
      <alignment horizontal="left" vertical="top" wrapText="1"/>
    </xf>
    <xf numFmtId="0" fontId="6" fillId="3" borderId="5" xfId="8" applyFont="1" applyFill="1" applyBorder="1" applyAlignment="1">
      <alignment horizontal="left" vertical="top" wrapText="1"/>
    </xf>
    <xf numFmtId="0" fontId="6" fillId="3" borderId="1" xfId="8" applyFont="1" applyFill="1" applyBorder="1" applyAlignment="1">
      <alignment horizontal="left" vertical="top" wrapText="1"/>
    </xf>
    <xf numFmtId="0" fontId="18" fillId="3" borderId="1" xfId="1" applyFont="1" applyFill="1" applyBorder="1" applyAlignment="1">
      <alignment horizontal="left" vertical="top" wrapText="1" shrinkToFit="1"/>
    </xf>
    <xf numFmtId="49" fontId="6" fillId="3" borderId="1" xfId="2" applyNumberFormat="1" applyFont="1" applyFill="1" applyBorder="1" applyAlignment="1">
      <alignment horizontal="left" vertical="top" wrapText="1"/>
    </xf>
    <xf numFmtId="176" fontId="6" fillId="3" borderId="1" xfId="2" applyNumberFormat="1" applyFont="1" applyFill="1" applyBorder="1" applyAlignment="1">
      <alignment horizontal="left" vertical="top" wrapText="1"/>
    </xf>
    <xf numFmtId="14" fontId="6" fillId="3" borderId="1" xfId="2" applyNumberFormat="1" applyFont="1" applyFill="1" applyBorder="1" applyAlignment="1">
      <alignment horizontal="left" vertical="top" wrapText="1"/>
    </xf>
    <xf numFmtId="0" fontId="6" fillId="3" borderId="1" xfId="2" applyFont="1" applyFill="1" applyBorder="1" applyAlignment="1">
      <alignment horizontal="left" vertical="top" wrapText="1"/>
    </xf>
    <xf numFmtId="0" fontId="21" fillId="3" borderId="12" xfId="8" applyFont="1" applyFill="1" applyBorder="1" applyAlignment="1">
      <alignment horizontal="left" vertical="top" wrapText="1"/>
    </xf>
    <xf numFmtId="0" fontId="18" fillId="4" borderId="1" xfId="1" applyFont="1" applyFill="1" applyBorder="1" applyAlignment="1">
      <alignment horizontal="left" vertical="top" wrapText="1" shrinkToFit="1"/>
    </xf>
    <xf numFmtId="49" fontId="6" fillId="4" borderId="1" xfId="2" applyNumberFormat="1" applyFont="1" applyFill="1" applyBorder="1" applyAlignment="1">
      <alignment horizontal="left" vertical="top" wrapText="1"/>
    </xf>
    <xf numFmtId="176" fontId="6" fillId="4" borderId="1" xfId="2" applyNumberFormat="1" applyFont="1" applyFill="1" applyBorder="1" applyAlignment="1">
      <alignment horizontal="left" vertical="top" wrapText="1"/>
    </xf>
    <xf numFmtId="14" fontId="6" fillId="4" borderId="1" xfId="2" applyNumberFormat="1" applyFont="1" applyFill="1" applyBorder="1" applyAlignment="1">
      <alignment horizontal="left" vertical="top" wrapText="1"/>
    </xf>
    <xf numFmtId="0" fontId="6" fillId="4" borderId="1" xfId="2" applyFont="1" applyFill="1" applyBorder="1" applyAlignment="1">
      <alignment horizontal="left" vertical="top" wrapText="1"/>
    </xf>
    <xf numFmtId="0" fontId="6" fillId="4" borderId="1" xfId="8" applyFont="1" applyFill="1" applyBorder="1" applyAlignment="1">
      <alignment horizontal="left" vertical="top" wrapText="1"/>
    </xf>
    <xf numFmtId="0" fontId="6" fillId="3" borderId="18" xfId="8" applyFont="1" applyFill="1" applyBorder="1" applyAlignment="1">
      <alignment horizontal="left" vertical="top" wrapText="1"/>
    </xf>
    <xf numFmtId="0" fontId="6" fillId="3" borderId="4" xfId="8" applyFont="1" applyFill="1" applyBorder="1" applyAlignment="1">
      <alignment horizontal="left" vertical="top" wrapText="1"/>
    </xf>
    <xf numFmtId="0" fontId="18" fillId="4" borderId="1" xfId="1" applyFont="1" applyFill="1" applyBorder="1" applyAlignment="1">
      <alignment horizontal="left" vertical="top" wrapText="1"/>
    </xf>
    <xf numFmtId="0" fontId="6" fillId="3" borderId="17" xfId="8" applyFont="1" applyFill="1" applyBorder="1" applyAlignment="1">
      <alignment horizontal="left" vertical="top" wrapText="1"/>
    </xf>
    <xf numFmtId="0" fontId="6" fillId="3" borderId="14" xfId="8" applyFont="1" applyFill="1" applyBorder="1" applyAlignment="1">
      <alignment horizontal="left" vertical="top" wrapText="1"/>
    </xf>
    <xf numFmtId="0" fontId="21" fillId="3" borderId="5" xfId="8" applyFont="1" applyFill="1" applyBorder="1" applyAlignment="1">
      <alignment horizontal="left" vertical="top" wrapText="1"/>
    </xf>
    <xf numFmtId="0" fontId="18" fillId="3" borderId="1" xfId="0" applyFont="1" applyFill="1" applyBorder="1" applyAlignment="1">
      <alignment horizontal="left" vertical="top" wrapText="1" shrinkToFit="1"/>
    </xf>
    <xf numFmtId="0" fontId="6" fillId="3" borderId="9" xfId="8" applyFont="1" applyFill="1" applyBorder="1" applyAlignment="1">
      <alignment horizontal="left" vertical="top" wrapText="1"/>
    </xf>
    <xf numFmtId="0" fontId="18" fillId="3" borderId="1" xfId="1" applyFont="1" applyFill="1" applyBorder="1" applyAlignment="1">
      <alignment horizontal="left" vertical="top" wrapText="1"/>
    </xf>
    <xf numFmtId="0" fontId="21" fillId="3" borderId="20" xfId="8" applyFont="1" applyFill="1" applyBorder="1" applyAlignment="1">
      <alignment horizontal="left" vertical="top" wrapText="1"/>
    </xf>
    <xf numFmtId="0" fontId="6" fillId="0" borderId="12" xfId="8" applyFont="1" applyBorder="1" applyAlignment="1">
      <alignment horizontal="left" vertical="top" wrapText="1"/>
    </xf>
    <xf numFmtId="0" fontId="6" fillId="0" borderId="25" xfId="8" applyFont="1" applyBorder="1" applyAlignment="1">
      <alignment horizontal="left" vertical="top" wrapText="1"/>
    </xf>
    <xf numFmtId="0" fontId="18" fillId="4" borderId="1" xfId="0" applyFont="1" applyFill="1" applyBorder="1" applyAlignment="1">
      <alignment horizontal="left" vertical="top" wrapText="1"/>
    </xf>
    <xf numFmtId="0" fontId="21" fillId="0" borderId="12" xfId="8" applyFont="1" applyBorder="1" applyAlignment="1">
      <alignment horizontal="left" vertical="top" wrapText="1"/>
    </xf>
    <xf numFmtId="0" fontId="21" fillId="0" borderId="5" xfId="8" applyFont="1" applyBorder="1" applyAlignment="1">
      <alignment horizontal="left" vertical="top" wrapText="1"/>
    </xf>
    <xf numFmtId="0" fontId="6" fillId="4" borderId="5" xfId="8" applyFont="1" applyFill="1" applyBorder="1" applyAlignment="1">
      <alignment horizontal="left" vertical="top" wrapText="1"/>
    </xf>
    <xf numFmtId="0" fontId="6" fillId="4" borderId="3" xfId="8" applyFont="1" applyFill="1" applyBorder="1" applyAlignment="1">
      <alignment horizontal="left" vertical="top" wrapText="1"/>
    </xf>
    <xf numFmtId="0" fontId="6" fillId="4" borderId="4" xfId="8" applyFont="1" applyFill="1" applyBorder="1" applyAlignment="1">
      <alignment horizontal="left" vertical="top" wrapText="1"/>
    </xf>
    <xf numFmtId="0" fontId="6" fillId="0" borderId="1" xfId="2" applyFont="1" applyBorder="1" applyAlignment="1">
      <alignment horizontal="left" vertical="top" wrapText="1"/>
    </xf>
    <xf numFmtId="0" fontId="18" fillId="3" borderId="1" xfId="0" applyFont="1" applyFill="1" applyBorder="1" applyAlignment="1">
      <alignment horizontal="left" vertical="top" wrapText="1"/>
    </xf>
    <xf numFmtId="0" fontId="21" fillId="0" borderId="0" xfId="8" applyFont="1" applyAlignment="1">
      <alignment horizontal="left" vertical="top" wrapText="1"/>
    </xf>
    <xf numFmtId="0" fontId="21" fillId="0" borderId="18" xfId="8" applyFont="1" applyBorder="1" applyAlignment="1">
      <alignment horizontal="left" vertical="top" wrapText="1"/>
    </xf>
    <xf numFmtId="0" fontId="21" fillId="4" borderId="17" xfId="8" applyFont="1" applyFill="1" applyBorder="1" applyAlignment="1">
      <alignment horizontal="left" vertical="top" wrapText="1"/>
    </xf>
    <xf numFmtId="0" fontId="21" fillId="4" borderId="4" xfId="8" applyFont="1" applyFill="1" applyBorder="1" applyAlignment="1">
      <alignment horizontal="left" vertical="top" wrapText="1"/>
    </xf>
    <xf numFmtId="0" fontId="6" fillId="4" borderId="17" xfId="8" applyFont="1" applyFill="1" applyBorder="1" applyAlignment="1">
      <alignment horizontal="left" vertical="top" wrapText="1"/>
    </xf>
    <xf numFmtId="0" fontId="21" fillId="4" borderId="12" xfId="8" applyFont="1" applyFill="1" applyBorder="1" applyAlignment="1">
      <alignment horizontal="left" vertical="top" wrapText="1"/>
    </xf>
    <xf numFmtId="0" fontId="21" fillId="4" borderId="5" xfId="8" applyFont="1" applyFill="1" applyBorder="1" applyAlignment="1">
      <alignment horizontal="left" vertical="top" wrapText="1"/>
    </xf>
    <xf numFmtId="0" fontId="6" fillId="4" borderId="15" xfId="8" applyFont="1" applyFill="1" applyBorder="1" applyAlignment="1">
      <alignment horizontal="left" vertical="top" wrapText="1"/>
    </xf>
    <xf numFmtId="0" fontId="21" fillId="4" borderId="20" xfId="8" applyFont="1" applyFill="1" applyBorder="1" applyAlignment="1">
      <alignment horizontal="left" vertical="top" wrapText="1"/>
    </xf>
    <xf numFmtId="0" fontId="6" fillId="3" borderId="12" xfId="8" applyFont="1" applyFill="1" applyBorder="1" applyAlignment="1">
      <alignment horizontal="left" vertical="top" wrapText="1"/>
    </xf>
    <xf numFmtId="0" fontId="6" fillId="3" borderId="20" xfId="8" applyFont="1" applyFill="1" applyBorder="1" applyAlignment="1">
      <alignment horizontal="left" vertical="top" wrapText="1"/>
    </xf>
    <xf numFmtId="0" fontId="6" fillId="4" borderId="7" xfId="8" applyFont="1" applyFill="1" applyBorder="1" applyAlignment="1">
      <alignment horizontal="left" vertical="top" wrapText="1"/>
    </xf>
    <xf numFmtId="0" fontId="6" fillId="4" borderId="18" xfId="8" applyFont="1" applyFill="1" applyBorder="1" applyAlignment="1">
      <alignment horizontal="left" vertical="top" wrapText="1"/>
    </xf>
    <xf numFmtId="0" fontId="6" fillId="4" borderId="12" xfId="8" applyFont="1" applyFill="1" applyBorder="1" applyAlignment="1">
      <alignment horizontal="left" vertical="top" wrapText="1"/>
    </xf>
    <xf numFmtId="0" fontId="6" fillId="4" borderId="0" xfId="8" applyFont="1" applyFill="1" applyAlignment="1">
      <alignment horizontal="left" vertical="top" wrapText="1"/>
    </xf>
    <xf numFmtId="0" fontId="17" fillId="4" borderId="4" xfId="8" applyFont="1" applyFill="1" applyBorder="1" applyAlignment="1">
      <alignment horizontal="left" vertical="top" wrapText="1"/>
    </xf>
    <xf numFmtId="0" fontId="6" fillId="4" borderId="20" xfId="8" applyFont="1" applyFill="1" applyBorder="1" applyAlignment="1">
      <alignment horizontal="left" vertical="top" wrapText="1"/>
    </xf>
    <xf numFmtId="0" fontId="21" fillId="3" borderId="4" xfId="8" applyFont="1" applyFill="1" applyBorder="1" applyAlignment="1">
      <alignment horizontal="left" vertical="top" wrapText="1"/>
    </xf>
    <xf numFmtId="49" fontId="6" fillId="0" borderId="0" xfId="2" applyNumberFormat="1" applyFont="1" applyAlignment="1">
      <alignment horizontal="left" vertical="top" wrapText="1"/>
    </xf>
    <xf numFmtId="49" fontId="6" fillId="0" borderId="2" xfId="2" applyNumberFormat="1" applyFont="1" applyBorder="1" applyAlignment="1">
      <alignment horizontal="left" vertical="top" wrapText="1"/>
    </xf>
    <xf numFmtId="0" fontId="6" fillId="2" borderId="3" xfId="0" applyFont="1" applyFill="1" applyBorder="1" applyAlignment="1">
      <alignment horizontal="left" vertical="top" wrapText="1"/>
    </xf>
    <xf numFmtId="0" fontId="6" fillId="3" borderId="3" xfId="0" applyFont="1" applyFill="1" applyBorder="1" applyAlignment="1">
      <alignment vertical="top" wrapText="1"/>
    </xf>
    <xf numFmtId="0" fontId="6" fillId="3" borderId="5" xfId="0" applyFont="1" applyFill="1" applyBorder="1" applyAlignment="1">
      <alignment vertical="top" wrapText="1"/>
    </xf>
    <xf numFmtId="0" fontId="6" fillId="3" borderId="1" xfId="0" applyFont="1" applyFill="1" applyBorder="1" applyAlignment="1">
      <alignment vertical="top" wrapText="1"/>
    </xf>
    <xf numFmtId="0" fontId="6" fillId="3" borderId="1" xfId="0" applyFont="1" applyFill="1" applyBorder="1" applyAlignment="1">
      <alignment horizontal="left" vertical="top" wrapText="1"/>
    </xf>
    <xf numFmtId="0" fontId="6" fillId="3" borderId="12" xfId="0" applyFont="1" applyFill="1" applyBorder="1" applyAlignment="1">
      <alignment vertical="top" wrapText="1"/>
    </xf>
    <xf numFmtId="0" fontId="6" fillId="3" borderId="4" xfId="0" applyFont="1" applyFill="1" applyBorder="1" applyAlignment="1">
      <alignment vertical="top" wrapText="1"/>
    </xf>
    <xf numFmtId="0" fontId="6" fillId="3" borderId="17" xfId="0" applyFont="1" applyFill="1" applyBorder="1" applyAlignment="1">
      <alignment vertical="top" wrapText="1"/>
    </xf>
    <xf numFmtId="0" fontId="6" fillId="3" borderId="18" xfId="0" applyFont="1" applyFill="1" applyBorder="1" applyAlignment="1">
      <alignment vertical="top" wrapText="1"/>
    </xf>
    <xf numFmtId="0" fontId="6" fillId="3" borderId="14" xfId="0" applyFont="1" applyFill="1" applyBorder="1" applyAlignment="1">
      <alignment vertical="top" wrapText="1"/>
    </xf>
    <xf numFmtId="0" fontId="6" fillId="3" borderId="25" xfId="0" applyFont="1" applyFill="1" applyBorder="1" applyAlignment="1">
      <alignment vertical="top" wrapText="1"/>
    </xf>
    <xf numFmtId="0" fontId="6" fillId="3" borderId="26" xfId="0" applyFont="1" applyFill="1" applyBorder="1" applyAlignment="1">
      <alignment vertical="top" wrapText="1"/>
    </xf>
    <xf numFmtId="49" fontId="18" fillId="3" borderId="13" xfId="1" applyNumberFormat="1" applyFont="1" applyFill="1" applyBorder="1" applyAlignment="1">
      <alignment horizontal="left" vertical="top" wrapText="1"/>
    </xf>
    <xf numFmtId="0" fontId="6" fillId="3" borderId="1" xfId="8" applyFont="1" applyFill="1" applyBorder="1" applyAlignment="1">
      <alignment vertical="top" wrapText="1"/>
    </xf>
    <xf numFmtId="0" fontId="6" fillId="3" borderId="3" xfId="8" applyFont="1" applyFill="1" applyBorder="1" applyAlignment="1">
      <alignment vertical="top" wrapText="1"/>
    </xf>
    <xf numFmtId="0" fontId="6" fillId="3" borderId="0" xfId="0" applyFont="1" applyFill="1" applyAlignment="1">
      <alignment vertical="top" wrapText="1"/>
    </xf>
    <xf numFmtId="0" fontId="6" fillId="3" borderId="0" xfId="2" applyFont="1" applyFill="1"/>
    <xf numFmtId="0" fontId="6" fillId="0" borderId="3" xfId="0" applyFont="1" applyBorder="1" applyAlignment="1">
      <alignment vertical="top" wrapText="1"/>
    </xf>
    <xf numFmtId="0" fontId="6" fillId="3" borderId="15" xfId="0" applyFont="1" applyFill="1" applyBorder="1" applyAlignment="1">
      <alignment vertical="top" wrapText="1"/>
    </xf>
    <xf numFmtId="0" fontId="6" fillId="0" borderId="17" xfId="0" applyFont="1" applyBorder="1" applyAlignment="1">
      <alignment vertical="top" wrapText="1"/>
    </xf>
    <xf numFmtId="0" fontId="6" fillId="0" borderId="5" xfId="0" applyFont="1" applyBorder="1" applyAlignment="1">
      <alignment vertical="top" wrapText="1"/>
    </xf>
    <xf numFmtId="0" fontId="6" fillId="0" borderId="4" xfId="0" applyFont="1" applyBorder="1" applyAlignment="1">
      <alignment vertical="top" wrapText="1"/>
    </xf>
    <xf numFmtId="0" fontId="6" fillId="0" borderId="18" xfId="0" applyFont="1" applyBorder="1" applyAlignment="1">
      <alignment vertical="top" wrapText="1"/>
    </xf>
    <xf numFmtId="0" fontId="6" fillId="3" borderId="5" xfId="0" applyFont="1" applyFill="1" applyBorder="1" applyAlignment="1">
      <alignment vertical="top" wrapText="1"/>
    </xf>
    <xf numFmtId="0" fontId="17" fillId="3" borderId="4" xfId="0" applyFont="1" applyFill="1" applyBorder="1" applyAlignment="1">
      <alignment vertical="top" wrapText="1"/>
    </xf>
    <xf numFmtId="0" fontId="6" fillId="3" borderId="19" xfId="0" applyFont="1" applyFill="1" applyBorder="1" applyAlignment="1">
      <alignment vertical="top" wrapText="1"/>
    </xf>
    <xf numFmtId="0" fontId="6" fillId="3" borderId="20" xfId="0" applyFont="1" applyFill="1" applyBorder="1" applyAlignment="1">
      <alignment vertical="top" wrapText="1"/>
    </xf>
    <xf numFmtId="49" fontId="6" fillId="0" borderId="3" xfId="2" applyNumberFormat="1" applyFont="1" applyBorder="1" applyAlignment="1">
      <alignment horizontal="left" vertical="top" wrapText="1"/>
    </xf>
    <xf numFmtId="49" fontId="6" fillId="0" borderId="4" xfId="2" applyNumberFormat="1" applyFont="1" applyBorder="1" applyAlignment="1">
      <alignment horizontal="left" vertical="top" wrapText="1"/>
    </xf>
    <xf numFmtId="0" fontId="6" fillId="0" borderId="3" xfId="0" applyFont="1" applyBorder="1" applyAlignment="1">
      <alignment vertical="top"/>
    </xf>
    <xf numFmtId="0" fontId="6" fillId="0" borderId="3" xfId="2" applyFont="1" applyBorder="1" applyAlignment="1">
      <alignment vertical="top"/>
    </xf>
    <xf numFmtId="0" fontId="6" fillId="0" borderId="1" xfId="2" applyFont="1" applyBorder="1" applyAlignment="1">
      <alignment vertical="top"/>
    </xf>
    <xf numFmtId="0" fontId="6" fillId="0" borderId="5" xfId="0" applyFont="1" applyBorder="1" applyAlignment="1">
      <alignment vertical="top"/>
    </xf>
    <xf numFmtId="0" fontId="6" fillId="0" borderId="4" xfId="0" applyFont="1" applyBorder="1" applyAlignment="1">
      <alignment vertical="top"/>
    </xf>
    <xf numFmtId="0" fontId="6" fillId="0" borderId="25" xfId="8" applyFont="1" applyFill="1" applyBorder="1" applyAlignment="1">
      <alignment horizontal="left" vertical="top" wrapText="1"/>
    </xf>
    <xf numFmtId="0" fontId="6" fillId="0" borderId="1" xfId="8" applyFont="1" applyFill="1" applyBorder="1" applyAlignment="1">
      <alignment horizontal="left" vertical="top" wrapText="1"/>
    </xf>
    <xf numFmtId="0" fontId="18" fillId="0" borderId="1" xfId="0" applyFont="1" applyFill="1" applyBorder="1" applyAlignment="1">
      <alignment horizontal="left" vertical="top" wrapText="1"/>
    </xf>
    <xf numFmtId="0" fontId="18" fillId="0" borderId="1" xfId="1" applyFont="1" applyFill="1" applyBorder="1" applyAlignment="1">
      <alignment horizontal="left" vertical="top" wrapText="1"/>
    </xf>
    <xf numFmtId="49" fontId="6" fillId="0" borderId="1" xfId="2" applyNumberFormat="1" applyFont="1" applyFill="1" applyBorder="1" applyAlignment="1">
      <alignment horizontal="left" vertical="top" wrapText="1"/>
    </xf>
    <xf numFmtId="0" fontId="6" fillId="0" borderId="1" xfId="2" applyFont="1" applyFill="1" applyBorder="1" applyAlignment="1">
      <alignment horizontal="left" vertical="top" wrapText="1"/>
    </xf>
    <xf numFmtId="14" fontId="6" fillId="0" borderId="1" xfId="2" applyNumberFormat="1" applyFont="1" applyFill="1" applyBorder="1" applyAlignment="1">
      <alignment horizontal="left" vertical="top" wrapText="1"/>
    </xf>
    <xf numFmtId="176" fontId="6" fillId="0" borderId="1" xfId="2" applyNumberFormat="1" applyFont="1" applyFill="1" applyBorder="1" applyAlignment="1">
      <alignment horizontal="left" vertical="top" wrapText="1"/>
    </xf>
    <xf numFmtId="0" fontId="6" fillId="0" borderId="5" xfId="8" applyFont="1" applyFill="1" applyBorder="1" applyAlignment="1">
      <alignment horizontal="left" vertical="top" wrapText="1"/>
    </xf>
    <xf numFmtId="0" fontId="6" fillId="0" borderId="3" xfId="8" applyFont="1" applyFill="1" applyBorder="1" applyAlignment="1">
      <alignment horizontal="left" vertical="top" wrapText="1"/>
    </xf>
    <xf numFmtId="0" fontId="6" fillId="0" borderId="14" xfId="8" applyFont="1" applyFill="1" applyBorder="1" applyAlignment="1">
      <alignment horizontal="left" vertical="top" wrapText="1"/>
    </xf>
    <xf numFmtId="0" fontId="21" fillId="0" borderId="17" xfId="8" applyFont="1" applyFill="1" applyBorder="1" applyAlignment="1">
      <alignment horizontal="left" vertical="top" wrapText="1"/>
    </xf>
    <xf numFmtId="0" fontId="21" fillId="0" borderId="4" xfId="8" applyFont="1" applyFill="1" applyBorder="1" applyAlignment="1">
      <alignment horizontal="left" vertical="top" wrapText="1"/>
    </xf>
    <xf numFmtId="0" fontId="21" fillId="3" borderId="17" xfId="8" applyFont="1" applyFill="1" applyBorder="1" applyAlignment="1">
      <alignment horizontal="left" vertical="top" wrapText="1"/>
    </xf>
    <xf numFmtId="0" fontId="6" fillId="0" borderId="17" xfId="8" applyFont="1" applyFill="1" applyBorder="1" applyAlignment="1">
      <alignment horizontal="left" vertical="top" wrapText="1"/>
    </xf>
    <xf numFmtId="0" fontId="6" fillId="0" borderId="4" xfId="8" applyFont="1" applyFill="1" applyBorder="1" applyAlignment="1">
      <alignment horizontal="left" vertical="top" wrapText="1"/>
    </xf>
    <xf numFmtId="0" fontId="6" fillId="3" borderId="7" xfId="0" applyFont="1" applyFill="1" applyBorder="1" applyAlignment="1">
      <alignment vertical="top" wrapText="1"/>
    </xf>
    <xf numFmtId="0" fontId="6" fillId="0" borderId="3" xfId="0" applyFont="1" applyFill="1" applyBorder="1" applyAlignment="1">
      <alignment vertical="top" wrapText="1"/>
    </xf>
    <xf numFmtId="0" fontId="6" fillId="0" borderId="1" xfId="0" applyFont="1" applyFill="1" applyBorder="1" applyAlignment="1">
      <alignment vertical="top" wrapText="1"/>
    </xf>
    <xf numFmtId="0" fontId="6" fillId="0" borderId="1" xfId="0" applyFont="1" applyFill="1" applyBorder="1" applyAlignment="1">
      <alignment horizontal="left" vertical="top" wrapText="1"/>
    </xf>
    <xf numFmtId="0" fontId="6" fillId="0" borderId="5" xfId="0" applyFont="1" applyFill="1" applyBorder="1" applyAlignment="1">
      <alignment vertical="top" wrapText="1"/>
    </xf>
    <xf numFmtId="0" fontId="6" fillId="0" borderId="17" xfId="0" applyFont="1" applyFill="1" applyBorder="1" applyAlignment="1">
      <alignment vertical="top" wrapText="1"/>
    </xf>
    <xf numFmtId="0" fontId="6" fillId="0" borderId="4" xfId="0" applyFont="1" applyFill="1" applyBorder="1" applyAlignment="1">
      <alignment vertical="top" wrapText="1"/>
    </xf>
    <xf numFmtId="0" fontId="6" fillId="0" borderId="18" xfId="0" applyFont="1" applyFill="1" applyBorder="1" applyAlignment="1">
      <alignment vertical="top" wrapText="1"/>
    </xf>
    <xf numFmtId="0" fontId="6" fillId="0" borderId="12" xfId="0" applyFont="1" applyFill="1" applyBorder="1" applyAlignment="1">
      <alignment vertical="top" wrapText="1"/>
    </xf>
    <xf numFmtId="0" fontId="6" fillId="0" borderId="0" xfId="0" applyFont="1" applyFill="1" applyAlignment="1">
      <alignment vertical="top" wrapText="1"/>
    </xf>
    <xf numFmtId="0" fontId="6" fillId="0" borderId="20" xfId="0" applyFont="1" applyFill="1" applyBorder="1" applyAlignment="1">
      <alignment vertical="top" wrapText="1"/>
    </xf>
    <xf numFmtId="49" fontId="6" fillId="0" borderId="3" xfId="2" applyNumberFormat="1" applyFont="1" applyFill="1" applyBorder="1" applyAlignment="1">
      <alignment horizontal="left" vertical="top" wrapText="1"/>
    </xf>
    <xf numFmtId="49" fontId="6" fillId="0" borderId="5" xfId="2" applyNumberFormat="1" applyFont="1" applyFill="1" applyBorder="1" applyAlignment="1">
      <alignment horizontal="left" vertical="top" wrapText="1"/>
    </xf>
    <xf numFmtId="0" fontId="6" fillId="3" borderId="5" xfId="0" applyFont="1" applyFill="1" applyBorder="1" applyAlignment="1">
      <alignment vertical="top" wrapText="1"/>
    </xf>
    <xf numFmtId="49" fontId="6" fillId="0" borderId="4" xfId="2" applyNumberFormat="1" applyFont="1" applyFill="1" applyBorder="1" applyAlignment="1">
      <alignment horizontal="left" vertical="top" wrapText="1"/>
    </xf>
    <xf numFmtId="31" fontId="12" fillId="0" borderId="0" xfId="3" quotePrefix="1" applyNumberFormat="1" applyFont="1" applyAlignment="1">
      <alignment horizontal="center" vertical="center"/>
    </xf>
    <xf numFmtId="178" fontId="6" fillId="0" borderId="7" xfId="5" applyNumberFormat="1" applyFont="1" applyBorder="1" applyAlignment="1">
      <alignment horizontal="right" vertical="top"/>
    </xf>
    <xf numFmtId="178" fontId="6" fillId="0" borderId="8" xfId="5" applyNumberFormat="1" applyFont="1" applyBorder="1" applyAlignment="1">
      <alignment horizontal="right" vertical="top"/>
    </xf>
    <xf numFmtId="178" fontId="6" fillId="0" borderId="9" xfId="5" applyNumberFormat="1" applyFont="1" applyBorder="1" applyAlignment="1">
      <alignment horizontal="right" vertical="top"/>
    </xf>
    <xf numFmtId="0" fontId="6" fillId="0" borderId="14" xfId="3" applyFont="1" applyBorder="1" applyAlignment="1">
      <alignment horizontal="center" vertical="center"/>
    </xf>
    <xf numFmtId="0" fontId="6" fillId="0" borderId="16" xfId="3" applyFont="1" applyBorder="1" applyAlignment="1">
      <alignment horizontal="center" vertical="center"/>
    </xf>
    <xf numFmtId="0" fontId="6" fillId="0" borderId="15" xfId="3" applyFont="1" applyBorder="1" applyAlignment="1">
      <alignment horizontal="center" vertical="center"/>
    </xf>
    <xf numFmtId="0" fontId="6" fillId="2" borderId="7" xfId="4" applyFont="1" applyFill="1" applyBorder="1" applyAlignment="1">
      <alignment horizontal="left" vertical="top"/>
    </xf>
    <xf numFmtId="0" fontId="6" fillId="2" borderId="8" xfId="4" applyFont="1" applyFill="1" applyBorder="1" applyAlignment="1">
      <alignment horizontal="left" vertical="top"/>
    </xf>
    <xf numFmtId="0" fontId="6" fillId="2" borderId="9" xfId="4" applyFont="1" applyFill="1" applyBorder="1" applyAlignment="1">
      <alignment horizontal="left" vertical="top"/>
    </xf>
    <xf numFmtId="0" fontId="6" fillId="0" borderId="7" xfId="7" applyFont="1" applyBorder="1" applyAlignment="1">
      <alignment horizontal="left" vertical="top"/>
    </xf>
    <xf numFmtId="0" fontId="6" fillId="0" borderId="8" xfId="7" applyFont="1" applyBorder="1" applyAlignment="1">
      <alignment horizontal="left" vertical="top"/>
    </xf>
    <xf numFmtId="0" fontId="6" fillId="0" borderId="9" xfId="7" applyFont="1" applyBorder="1" applyAlignment="1">
      <alignment horizontal="left" vertical="top"/>
    </xf>
    <xf numFmtId="0" fontId="6" fillId="0" borderId="7" xfId="4" applyNumberFormat="1" applyFont="1" applyFill="1" applyBorder="1" applyAlignment="1">
      <alignment horizontal="left" vertical="top"/>
    </xf>
    <xf numFmtId="0" fontId="6" fillId="0" borderId="8" xfId="4" applyNumberFormat="1" applyFont="1" applyFill="1" applyBorder="1" applyAlignment="1">
      <alignment horizontal="left" vertical="top"/>
    </xf>
    <xf numFmtId="0" fontId="6" fillId="0" borderId="9" xfId="4" applyNumberFormat="1" applyFont="1" applyFill="1" applyBorder="1" applyAlignment="1">
      <alignment horizontal="left" vertical="top"/>
    </xf>
    <xf numFmtId="0" fontId="6" fillId="2" borderId="14" xfId="4" applyFont="1" applyFill="1" applyBorder="1" applyAlignment="1">
      <alignment horizontal="left" vertical="top"/>
    </xf>
    <xf numFmtId="0" fontId="6" fillId="2" borderId="15" xfId="4" applyFont="1" applyFill="1" applyBorder="1" applyAlignment="1">
      <alignment horizontal="left" vertical="top"/>
    </xf>
    <xf numFmtId="0" fontId="6" fillId="2" borderId="16" xfId="4" applyFont="1" applyFill="1" applyBorder="1" applyAlignment="1">
      <alignment horizontal="left" vertical="top"/>
    </xf>
    <xf numFmtId="0" fontId="6" fillId="2" borderId="17" xfId="4" applyFont="1" applyFill="1" applyBorder="1" applyAlignment="1">
      <alignment horizontal="left" vertical="top"/>
    </xf>
    <xf numFmtId="0" fontId="6" fillId="2" borderId="0" xfId="4" applyFont="1" applyFill="1" applyBorder="1" applyAlignment="1">
      <alignment horizontal="left" vertical="top"/>
    </xf>
    <xf numFmtId="0" fontId="6" fillId="2" borderId="12" xfId="4" applyFont="1" applyFill="1" applyBorder="1" applyAlignment="1">
      <alignment horizontal="left" vertical="top"/>
    </xf>
    <xf numFmtId="0" fontId="6" fillId="2" borderId="18" xfId="4" applyFont="1" applyFill="1" applyBorder="1" applyAlignment="1">
      <alignment horizontal="left" vertical="top"/>
    </xf>
    <xf numFmtId="0" fontId="6" fillId="2" borderId="19" xfId="4" applyFont="1" applyFill="1" applyBorder="1" applyAlignment="1">
      <alignment horizontal="left" vertical="top"/>
    </xf>
    <xf numFmtId="0" fontId="6" fillId="2" borderId="20" xfId="4" applyFont="1" applyFill="1" applyBorder="1" applyAlignment="1">
      <alignment horizontal="left" vertical="top"/>
    </xf>
    <xf numFmtId="0" fontId="6" fillId="0" borderId="14" xfId="4" applyFont="1" applyFill="1" applyBorder="1" applyAlignment="1">
      <alignment horizontal="left" vertical="top" wrapText="1"/>
    </xf>
    <xf numFmtId="0" fontId="6" fillId="0" borderId="15" xfId="4" applyFont="1" applyFill="1" applyBorder="1" applyAlignment="1">
      <alignment horizontal="left" vertical="top" wrapText="1"/>
    </xf>
    <xf numFmtId="0" fontId="6" fillId="0" borderId="16" xfId="4" applyFont="1" applyFill="1" applyBorder="1" applyAlignment="1">
      <alignment horizontal="left" vertical="top" wrapText="1"/>
    </xf>
    <xf numFmtId="0" fontId="6" fillId="0" borderId="17" xfId="4" applyFont="1" applyFill="1" applyBorder="1" applyAlignment="1">
      <alignment horizontal="left" vertical="top" wrapText="1"/>
    </xf>
    <xf numFmtId="0" fontId="6" fillId="0" borderId="0" xfId="4" applyFont="1" applyFill="1" applyBorder="1" applyAlignment="1">
      <alignment horizontal="left" vertical="top" wrapText="1"/>
    </xf>
    <xf numFmtId="0" fontId="6" fillId="0" borderId="12" xfId="4" applyFont="1" applyFill="1" applyBorder="1" applyAlignment="1">
      <alignment horizontal="left" vertical="top" wrapText="1"/>
    </xf>
    <xf numFmtId="0" fontId="6" fillId="0" borderId="18" xfId="4" applyFont="1" applyFill="1" applyBorder="1" applyAlignment="1">
      <alignment horizontal="left" vertical="top" wrapText="1"/>
    </xf>
    <xf numFmtId="0" fontId="6" fillId="0" borderId="19" xfId="4" applyFont="1" applyFill="1" applyBorder="1" applyAlignment="1">
      <alignment horizontal="left" vertical="top" wrapText="1"/>
    </xf>
    <xf numFmtId="0" fontId="6" fillId="0" borderId="20" xfId="4" applyFont="1" applyFill="1" applyBorder="1" applyAlignment="1">
      <alignment horizontal="left" vertical="top" wrapText="1"/>
    </xf>
    <xf numFmtId="14" fontId="6" fillId="0" borderId="7" xfId="4" applyNumberFormat="1" applyFont="1" applyFill="1" applyBorder="1" applyAlignment="1">
      <alignment horizontal="left" vertical="top"/>
    </xf>
    <xf numFmtId="14" fontId="6" fillId="0" borderId="8" xfId="4" applyNumberFormat="1" applyFont="1" applyFill="1" applyBorder="1" applyAlignment="1">
      <alignment horizontal="left" vertical="top"/>
    </xf>
    <xf numFmtId="14" fontId="6" fillId="0" borderId="9" xfId="4" applyNumberFormat="1" applyFont="1" applyFill="1" applyBorder="1" applyAlignment="1">
      <alignment horizontal="left" vertical="top"/>
    </xf>
    <xf numFmtId="0" fontId="6" fillId="0" borderId="7" xfId="3" applyBorder="1" applyAlignment="1">
      <alignment horizontal="center" vertical="top"/>
    </xf>
    <xf numFmtId="0" fontId="6" fillId="0" borderId="9" xfId="3" applyBorder="1" applyAlignment="1">
      <alignment horizontal="center" vertical="top"/>
    </xf>
    <xf numFmtId="14" fontId="6" fillId="0" borderId="7" xfId="3" applyNumberFormat="1" applyBorder="1" applyAlignment="1">
      <alignment horizontal="center" vertical="top"/>
    </xf>
    <xf numFmtId="14" fontId="6" fillId="0" borderId="8" xfId="3" applyNumberFormat="1" applyBorder="1" applyAlignment="1">
      <alignment horizontal="center" vertical="top"/>
    </xf>
    <xf numFmtId="14" fontId="6" fillId="0" borderId="9" xfId="3" applyNumberFormat="1" applyBorder="1" applyAlignment="1">
      <alignment horizontal="center" vertical="top"/>
    </xf>
    <xf numFmtId="0" fontId="6" fillId="0" borderId="8" xfId="3" applyBorder="1" applyAlignment="1">
      <alignment horizontal="center" vertical="top"/>
    </xf>
    <xf numFmtId="0" fontId="6" fillId="0" borderId="7" xfId="3" applyBorder="1" applyAlignment="1">
      <alignment horizontal="left" vertical="top" wrapText="1"/>
    </xf>
    <xf numFmtId="0" fontId="6" fillId="0" borderId="8" xfId="3" applyBorder="1" applyAlignment="1">
      <alignment horizontal="left" vertical="top"/>
    </xf>
    <xf numFmtId="0" fontId="6" fillId="0" borderId="9" xfId="3" applyBorder="1" applyAlignment="1">
      <alignment horizontal="left" vertical="top"/>
    </xf>
    <xf numFmtId="0" fontId="6" fillId="0" borderId="8" xfId="3" applyBorder="1" applyAlignment="1">
      <alignment horizontal="left" vertical="top" wrapText="1"/>
    </xf>
    <xf numFmtId="0" fontId="6" fillId="0" borderId="9" xfId="3" applyBorder="1" applyAlignment="1">
      <alignment horizontal="left" vertical="top" wrapText="1"/>
    </xf>
    <xf numFmtId="0" fontId="6" fillId="0" borderId="7" xfId="3" applyBorder="1" applyAlignment="1">
      <alignment horizontal="left" vertical="top"/>
    </xf>
    <xf numFmtId="0" fontId="6" fillId="0" borderId="22" xfId="0" applyFont="1" applyBorder="1" applyAlignment="1">
      <alignment horizontal="center" vertical="top"/>
    </xf>
    <xf numFmtId="0" fontId="6" fillId="0" borderId="23" xfId="0" applyFont="1" applyBorder="1" applyAlignment="1">
      <alignment horizontal="center" vertical="top"/>
    </xf>
    <xf numFmtId="14" fontId="6" fillId="0" borderId="22" xfId="0" quotePrefix="1" applyNumberFormat="1" applyFont="1" applyBorder="1" applyAlignment="1">
      <alignment horizontal="center" vertical="top"/>
    </xf>
    <xf numFmtId="14" fontId="6" fillId="0" borderId="24" xfId="0" quotePrefix="1" applyNumberFormat="1" applyFont="1" applyBorder="1" applyAlignment="1">
      <alignment horizontal="center" vertical="top"/>
    </xf>
    <xf numFmtId="14" fontId="6" fillId="0" borderId="23" xfId="0" quotePrefix="1" applyNumberFormat="1" applyFont="1" applyBorder="1" applyAlignment="1">
      <alignment horizontal="center" vertical="top"/>
    </xf>
    <xf numFmtId="0" fontId="6" fillId="0" borderId="24" xfId="0" applyFont="1" applyBorder="1" applyAlignment="1">
      <alignment horizontal="center" vertical="top"/>
    </xf>
    <xf numFmtId="0" fontId="6" fillId="0" borderId="22" xfId="0" applyFont="1" applyBorder="1" applyAlignment="1">
      <alignment horizontal="left" vertical="top" wrapText="1"/>
    </xf>
    <xf numFmtId="0" fontId="6" fillId="0" borderId="24" xfId="0" applyFont="1" applyBorder="1" applyAlignment="1">
      <alignment horizontal="left" vertical="top" wrapText="1"/>
    </xf>
    <xf numFmtId="0" fontId="6" fillId="0" borderId="23" xfId="0" applyFont="1" applyBorder="1" applyAlignment="1">
      <alignment horizontal="left" vertical="top" wrapText="1"/>
    </xf>
    <xf numFmtId="0" fontId="6" fillId="0" borderId="7" xfId="3" applyFont="1" applyBorder="1" applyAlignment="1">
      <alignment horizontal="center" vertical="top"/>
    </xf>
    <xf numFmtId="0" fontId="6" fillId="0" borderId="9" xfId="3" applyFont="1" applyBorder="1" applyAlignment="1">
      <alignment horizontal="center" vertical="top"/>
    </xf>
    <xf numFmtId="14" fontId="6" fillId="0" borderId="7" xfId="3" applyNumberFormat="1" applyFont="1" applyBorder="1" applyAlignment="1">
      <alignment horizontal="center" vertical="top"/>
    </xf>
    <xf numFmtId="14" fontId="6" fillId="0" borderId="8" xfId="3" applyNumberFormat="1" applyFont="1" applyBorder="1" applyAlignment="1">
      <alignment horizontal="center" vertical="top"/>
    </xf>
    <xf numFmtId="14" fontId="6" fillId="0" borderId="9" xfId="3" applyNumberFormat="1" applyFont="1" applyBorder="1" applyAlignment="1">
      <alignment horizontal="center" vertical="top"/>
    </xf>
    <xf numFmtId="0" fontId="6" fillId="0" borderId="8" xfId="3" applyFont="1" applyBorder="1" applyAlignment="1">
      <alignment horizontal="center" vertical="top"/>
    </xf>
    <xf numFmtId="0" fontId="6" fillId="0" borderId="7" xfId="3" applyFont="1" applyBorder="1" applyAlignment="1">
      <alignment horizontal="left" vertical="top"/>
    </xf>
    <xf numFmtId="0" fontId="6" fillId="0" borderId="8" xfId="3" applyFont="1" applyBorder="1" applyAlignment="1">
      <alignment horizontal="left" vertical="top"/>
    </xf>
    <xf numFmtId="0" fontId="6" fillId="0" borderId="9" xfId="3" applyFont="1" applyBorder="1" applyAlignment="1">
      <alignment horizontal="left" vertical="top"/>
    </xf>
    <xf numFmtId="0" fontId="6" fillId="0" borderId="7" xfId="3" applyFont="1" applyBorder="1" applyAlignment="1">
      <alignment horizontal="left" vertical="top" wrapText="1"/>
    </xf>
    <xf numFmtId="0" fontId="6" fillId="0" borderId="8" xfId="3" applyFont="1" applyBorder="1" applyAlignment="1">
      <alignment horizontal="left" vertical="top" wrapText="1"/>
    </xf>
    <xf numFmtId="0" fontId="6" fillId="0" borderId="9" xfId="3" applyFont="1" applyBorder="1" applyAlignment="1">
      <alignment horizontal="left" vertical="top" wrapText="1"/>
    </xf>
    <xf numFmtId="0" fontId="16" fillId="0" borderId="8" xfId="3" applyFont="1" applyBorder="1" applyAlignment="1">
      <alignment horizontal="left" vertical="top"/>
    </xf>
    <xf numFmtId="0" fontId="6" fillId="3" borderId="5" xfId="8" applyFont="1" applyFill="1" applyBorder="1" applyAlignment="1">
      <alignment horizontal="left" vertical="top" wrapText="1"/>
    </xf>
    <xf numFmtId="0" fontId="6" fillId="3" borderId="5" xfId="0" applyFont="1" applyFill="1" applyBorder="1" applyAlignment="1">
      <alignment vertical="top" wrapText="1"/>
    </xf>
  </cellXfs>
  <cellStyles count="9">
    <cellStyle name="パーセント 2" xfId="6" xr:uid="{00000000-0005-0000-0000-000000000000}"/>
    <cellStyle name="標準" xfId="0" builtinId="0"/>
    <cellStyle name="標準 12" xfId="8" xr:uid="{F3AD5384-C726-4585-9A75-E14392EBAECF}"/>
    <cellStyle name="標準 2" xfId="1" xr:uid="{00000000-0005-0000-0000-000003000000}"/>
    <cellStyle name="標準 2 2" xfId="5" xr:uid="{00000000-0005-0000-0000-000004000000}"/>
    <cellStyle name="標準 3" xfId="3" xr:uid="{00000000-0005-0000-0000-000005000000}"/>
    <cellStyle name="標準_画面標準" xfId="4" xr:uid="{00000000-0005-0000-0000-000006000000}"/>
    <cellStyle name="標準_画面標準定義" xfId="7" xr:uid="{00000000-0005-0000-0000-000007000000}"/>
    <cellStyle name="標準_方式設計書(14.開発標準：D03サンプル_自動テスト仕様書：ＤＢアクセス)_V1.00" xfId="2" xr:uid="{00000000-0005-0000-0000-000008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05750" y="285750"/>
          <a:ext cx="1390650"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メッセージ</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サンプルサブシステム</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サンプル機能</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サンプル取引</a:t>
          </a:r>
          <a:endParaRPr lang="en-US" altLang="ja-JP" sz="1800" b="1" i="0" u="none" strike="noStrike" baseline="0">
            <a:solidFill>
              <a:srgbClr val="000000"/>
            </a:solidFill>
            <a:latin typeface="ＭＳ 明朝"/>
            <a:ea typeface="ＭＳ 明朝"/>
          </a:endParaRPr>
        </a:p>
      </xdr:txBody>
    </xdr:sp>
    <xdr:clientData/>
  </xdr:twoCellAnchor>
  <xdr:oneCellAnchor>
    <xdr:from>
      <xdr:col>4</xdr:col>
      <xdr:colOff>247651</xdr:colOff>
      <xdr:row>14</xdr:row>
      <xdr:rowOff>9525</xdr:rowOff>
    </xdr:from>
    <xdr:ext cx="5473999" cy="1871540"/>
    <xdr:sp macro="" textlink="">
      <xdr:nvSpPr>
        <xdr:cNvPr id="7" name="正方形/長方形 6">
          <a:extLst>
            <a:ext uri="{FF2B5EF4-FFF2-40B4-BE49-F238E27FC236}">
              <a16:creationId xmlns:a16="http://schemas.microsoft.com/office/drawing/2014/main" id="{00000000-0008-0000-0000-000007000000}"/>
            </a:ext>
          </a:extLst>
        </xdr:cNvPr>
        <xdr:cNvSpPr/>
      </xdr:nvSpPr>
      <xdr:spPr>
        <a:xfrm rot="20636203">
          <a:off x="2266951" y="2486025"/>
          <a:ext cx="5473999" cy="1871540"/>
        </a:xfrm>
        <a:prstGeom prst="rect">
          <a:avLst/>
        </a:prstGeom>
        <a:noFill/>
      </xdr:spPr>
      <xdr:txBody>
        <a:bodyPr wrap="none" lIns="91440" tIns="45720" rIns="91440" bIns="45720">
          <a:noAutofit/>
        </a:bodyPr>
        <a:lstStyle/>
        <a:p>
          <a:pPr algn="ctr"/>
          <a:r>
            <a:rPr lang="en-US" altLang="ja-JP"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133349</xdr:colOff>
      <xdr:row>11</xdr:row>
      <xdr:rowOff>171451</xdr:rowOff>
    </xdr:from>
    <xdr:ext cx="5473999" cy="1871540"/>
    <xdr:sp macro="" textlink="">
      <xdr:nvSpPr>
        <xdr:cNvPr id="3" name="正方形/長方形 2">
          <a:extLst>
            <a:ext uri="{FF2B5EF4-FFF2-40B4-BE49-F238E27FC236}">
              <a16:creationId xmlns:a16="http://schemas.microsoft.com/office/drawing/2014/main" id="{00000000-0008-0000-0100-000003000000}"/>
            </a:ext>
          </a:extLst>
        </xdr:cNvPr>
        <xdr:cNvSpPr/>
      </xdr:nvSpPr>
      <xdr:spPr>
        <a:xfrm rot="20636203">
          <a:off x="1790699" y="2200276"/>
          <a:ext cx="5473999" cy="1871540"/>
        </a:xfrm>
        <a:prstGeom prst="rect">
          <a:avLst/>
        </a:prstGeom>
        <a:noFill/>
      </xdr:spPr>
      <xdr:txBody>
        <a:bodyPr wrap="none" lIns="91440" tIns="45720" rIns="91440" bIns="45720">
          <a:noAutofit/>
        </a:bodyPr>
        <a:lstStyle/>
        <a:p>
          <a:pPr algn="ctr"/>
          <a:r>
            <a:rPr lang="en-US" altLang="ja-JP"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619125</xdr:colOff>
      <xdr:row>11</xdr:row>
      <xdr:rowOff>114300</xdr:rowOff>
    </xdr:from>
    <xdr:to>
      <xdr:col>4</xdr:col>
      <xdr:colOff>571500</xdr:colOff>
      <xdr:row>14</xdr:row>
      <xdr:rowOff>171451</xdr:rowOff>
    </xdr:to>
    <xdr:sp macro="" textlink="">
      <xdr:nvSpPr>
        <xdr:cNvPr id="3" name="AutoShape 9">
          <a:extLst>
            <a:ext uri="{FF2B5EF4-FFF2-40B4-BE49-F238E27FC236}">
              <a16:creationId xmlns:a16="http://schemas.microsoft.com/office/drawing/2014/main" id="{D21A9F44-502E-46FA-91BC-987076E6B640}"/>
            </a:ext>
          </a:extLst>
        </xdr:cNvPr>
        <xdr:cNvSpPr>
          <a:spLocks/>
        </xdr:cNvSpPr>
      </xdr:nvSpPr>
      <xdr:spPr bwMode="auto">
        <a:xfrm>
          <a:off x="619125" y="1981200"/>
          <a:ext cx="2581275" cy="1057276"/>
        </a:xfrm>
        <a:prstGeom prst="borderCallout1">
          <a:avLst>
            <a:gd name="adj1" fmla="val 11921"/>
            <a:gd name="adj2" fmla="val -1734"/>
            <a:gd name="adj3" fmla="val -30683"/>
            <a:gd name="adj4" fmla="val -9294"/>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ケース</a:t>
          </a:r>
          <a:r>
            <a:rPr lang="en-US" altLang="ja-JP" sz="900" b="0" i="0" u="none" strike="noStrike" baseline="0">
              <a:solidFill>
                <a:sysClr val="windowText" lastClr="000000"/>
              </a:solidFill>
              <a:latin typeface="ＭＳ 明朝"/>
              <a:ea typeface="ＭＳ 明朝"/>
            </a:rPr>
            <a:t>No</a:t>
          </a:r>
          <a:r>
            <a:rPr lang="ja-JP" altLang="en-US" sz="900" b="0" i="0" u="none" strike="noStrike" baseline="0">
              <a:solidFill>
                <a:sysClr val="windowText" lastClr="000000"/>
              </a:solidFill>
              <a:latin typeface="ＭＳ 明朝"/>
              <a:ea typeface="ＭＳ 明朝"/>
            </a:rPr>
            <a:t>は数値で以下の形式で付与する。</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A-B-C</a:t>
          </a:r>
        </a:p>
        <a:p>
          <a:pPr algn="l" rtl="0">
            <a:lnSpc>
              <a:spcPts val="1200"/>
            </a:lnSpc>
            <a:defRPr sz="1000"/>
          </a:pP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：詳細が変わったらインクリメント</a:t>
          </a:r>
        </a:p>
        <a:p>
          <a:pPr algn="l" rtl="0">
            <a:lnSpc>
              <a:spcPts val="1200"/>
            </a:lnSpc>
            <a:defRPr sz="1000"/>
          </a:pP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：観点が変わったらインクリメント</a:t>
          </a:r>
        </a:p>
        <a:p>
          <a:pPr algn="l" rtl="0">
            <a:lnSpc>
              <a:spcPts val="1200"/>
            </a:lnSpc>
            <a:defRPr sz="1000"/>
          </a:pPr>
          <a:r>
            <a:rPr lang="en-US" altLang="ja-JP" sz="900" b="0" i="0" u="none" strike="noStrike" baseline="0">
              <a:solidFill>
                <a:sysClr val="windowText" lastClr="000000"/>
              </a:solidFill>
              <a:latin typeface="ＭＳ 明朝"/>
              <a:ea typeface="ＭＳ 明朝"/>
            </a:rPr>
            <a:t>C</a:t>
          </a:r>
          <a:r>
            <a:rPr lang="ja-JP" altLang="en-US" sz="900" b="0" i="0" u="none" strike="noStrike" baseline="0">
              <a:solidFill>
                <a:sysClr val="windowText" lastClr="000000"/>
              </a:solidFill>
              <a:latin typeface="ＭＳ 明朝"/>
              <a:ea typeface="ＭＳ 明朝"/>
            </a:rPr>
            <a:t>：テスト内容が変わったらインクリメント</a:t>
          </a:r>
        </a:p>
      </xdr:txBody>
    </xdr:sp>
    <xdr:clientData/>
  </xdr:twoCellAnchor>
  <xdr:twoCellAnchor>
    <xdr:from>
      <xdr:col>5</xdr:col>
      <xdr:colOff>400050</xdr:colOff>
      <xdr:row>11</xdr:row>
      <xdr:rowOff>133350</xdr:rowOff>
    </xdr:from>
    <xdr:to>
      <xdr:col>5</xdr:col>
      <xdr:colOff>2762250</xdr:colOff>
      <xdr:row>13</xdr:row>
      <xdr:rowOff>28574</xdr:rowOff>
    </xdr:to>
    <xdr:sp macro="" textlink="">
      <xdr:nvSpPr>
        <xdr:cNvPr id="4" name="AutoShape 29">
          <a:extLst>
            <a:ext uri="{FF2B5EF4-FFF2-40B4-BE49-F238E27FC236}">
              <a16:creationId xmlns:a16="http://schemas.microsoft.com/office/drawing/2014/main" id="{52E81DBF-B4F7-4DDD-876B-B3B1734A49CA}"/>
            </a:ext>
          </a:extLst>
        </xdr:cNvPr>
        <xdr:cNvSpPr>
          <a:spLocks/>
        </xdr:cNvSpPr>
      </xdr:nvSpPr>
      <xdr:spPr bwMode="auto">
        <a:xfrm>
          <a:off x="3686175" y="2000250"/>
          <a:ext cx="2362200" cy="609599"/>
        </a:xfrm>
        <a:prstGeom prst="borderCallout1">
          <a:avLst>
            <a:gd name="adj1" fmla="val 13733"/>
            <a:gd name="adj2" fmla="val -2577"/>
            <a:gd name="adj3" fmla="val -63043"/>
            <a:gd name="adj4" fmla="val -10417"/>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単体テスト標準の「</a:t>
          </a:r>
          <a:r>
            <a:rPr lang="en-US" altLang="ja-JP" sz="900" b="0" i="0" u="none" strike="noStrike" baseline="0">
              <a:solidFill>
                <a:sysClr val="windowText" lastClr="000000"/>
              </a:solidFill>
              <a:latin typeface="ＭＳ 明朝"/>
              <a:ea typeface="ＭＳ 明朝"/>
            </a:rPr>
            <a:t>3</a:t>
          </a:r>
          <a:r>
            <a:rPr lang="ja-JP" altLang="en-US" sz="900" b="0" i="0" u="none" strike="noStrike" baseline="0">
              <a:solidFill>
                <a:sysClr val="windowText" lastClr="000000"/>
              </a:solidFill>
              <a:latin typeface="ＭＳ 明朝"/>
              <a:ea typeface="ＭＳ 明朝"/>
            </a:rPr>
            <a:t>　単体テスト概要」に記載されている内容に従い、テスト観点カタログより転記すること。</a:t>
          </a:r>
        </a:p>
      </xdr:txBody>
    </xdr:sp>
    <xdr:clientData/>
  </xdr:twoCellAnchor>
  <xdr:twoCellAnchor>
    <xdr:from>
      <xdr:col>5</xdr:col>
      <xdr:colOff>809625</xdr:colOff>
      <xdr:row>15</xdr:row>
      <xdr:rowOff>28575</xdr:rowOff>
    </xdr:from>
    <xdr:to>
      <xdr:col>6</xdr:col>
      <xdr:colOff>723900</xdr:colOff>
      <xdr:row>17</xdr:row>
      <xdr:rowOff>228599</xdr:rowOff>
    </xdr:to>
    <xdr:sp macro="" textlink="">
      <xdr:nvSpPr>
        <xdr:cNvPr id="5" name="AutoShape 35">
          <a:extLst>
            <a:ext uri="{FF2B5EF4-FFF2-40B4-BE49-F238E27FC236}">
              <a16:creationId xmlns:a16="http://schemas.microsoft.com/office/drawing/2014/main" id="{A87E8646-9787-480B-87BD-69BE1F5DF187}"/>
            </a:ext>
          </a:extLst>
        </xdr:cNvPr>
        <xdr:cNvSpPr>
          <a:spLocks/>
        </xdr:cNvSpPr>
      </xdr:nvSpPr>
      <xdr:spPr bwMode="auto">
        <a:xfrm>
          <a:off x="4095750" y="3181350"/>
          <a:ext cx="3009900" cy="914399"/>
        </a:xfrm>
        <a:prstGeom prst="borderCallout1">
          <a:avLst>
            <a:gd name="adj1" fmla="val -1857"/>
            <a:gd name="adj2" fmla="val 72163"/>
            <a:gd name="adj3" fmla="val -169660"/>
            <a:gd name="adj4" fmla="val 82629"/>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確認観点に該当するテストが不要な場合は、レビューアのケース抽出漏れチェックを軽減する為、行削除するのではなく対象外理由を記述してグレーアウトすること。</a:t>
          </a:r>
        </a:p>
      </xdr:txBody>
    </xdr:sp>
    <xdr:clientData/>
  </xdr:twoCellAnchor>
  <xdr:twoCellAnchor>
    <xdr:from>
      <xdr:col>7</xdr:col>
      <xdr:colOff>66676</xdr:colOff>
      <xdr:row>11</xdr:row>
      <xdr:rowOff>95250</xdr:rowOff>
    </xdr:from>
    <xdr:to>
      <xdr:col>9</xdr:col>
      <xdr:colOff>1504951</xdr:colOff>
      <xdr:row>18</xdr:row>
      <xdr:rowOff>19050</xdr:rowOff>
    </xdr:to>
    <xdr:sp macro="" textlink="">
      <xdr:nvSpPr>
        <xdr:cNvPr id="6" name="AutoShape 35">
          <a:extLst>
            <a:ext uri="{FF2B5EF4-FFF2-40B4-BE49-F238E27FC236}">
              <a16:creationId xmlns:a16="http://schemas.microsoft.com/office/drawing/2014/main" id="{A537AC0C-2D20-4725-9202-ABF30A4FDAA8}"/>
            </a:ext>
          </a:extLst>
        </xdr:cNvPr>
        <xdr:cNvSpPr>
          <a:spLocks/>
        </xdr:cNvSpPr>
      </xdr:nvSpPr>
      <xdr:spPr bwMode="auto">
        <a:xfrm>
          <a:off x="9544051" y="1962150"/>
          <a:ext cx="3819525" cy="2209800"/>
        </a:xfrm>
        <a:prstGeom prst="borderCallout1">
          <a:avLst>
            <a:gd name="adj1" fmla="val -1857"/>
            <a:gd name="adj2" fmla="val 72163"/>
            <a:gd name="adj3" fmla="val -12797"/>
            <a:gd name="adj4" fmla="val 79584"/>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テストで確認する内容と、入力データの条件が分かるように記述する。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・他人が読んでもテストケースの目的(何を確認するためのケースなのか)とテストデータの条件(どのようなデータを用意すればよいのか)を理解できるように記述する。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・確認する内容にOR条件は極力使用しない。</a:t>
          </a:r>
        </a:p>
        <a:p>
          <a:pPr algn="l" rtl="0">
            <a:lnSpc>
              <a:spcPts val="1200"/>
            </a:lnSpc>
            <a:defRPr sz="1000"/>
          </a:pPr>
          <a:r>
            <a:rPr lang="ja-JP" altLang="en-US" sz="900" b="0" i="0" u="none" strike="noStrike" baseline="0">
              <a:solidFill>
                <a:sysClr val="windowText" lastClr="000000"/>
              </a:solidFill>
              <a:latin typeface="ＭＳ 明朝"/>
              <a:ea typeface="ＭＳ 明朝"/>
            </a:rPr>
            <a:t>　条件のどちらか一方で確認内容が充足する場合はその旨を記述し、</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　両方の条件の確認が必要な場合は、ケースを分けて記述する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・入力条件には具体的な値ではなく、条件を記述する。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　※その値であることが条件である場合は、具体的な値を記述してよい。</a:t>
          </a:r>
        </a:p>
        <a:p>
          <a:pPr algn="l" rtl="0">
            <a:lnSpc>
              <a:spcPts val="1200"/>
            </a:lnSpc>
            <a:defRPr sz="1000"/>
          </a:pPr>
          <a:r>
            <a:rPr lang="ja-JP" altLang="en-US" sz="900" b="0" i="0" u="none" strike="noStrike" baseline="0">
              <a:solidFill>
                <a:sysClr val="windowText" lastClr="000000"/>
              </a:solidFill>
              <a:latin typeface="ＭＳ 明朝"/>
              <a:ea typeface="ＭＳ 明朝"/>
            </a:rPr>
            <a:t>　＜悪い例＞</a:t>
          </a:r>
        </a:p>
        <a:p>
          <a:pPr algn="l" rtl="0">
            <a:lnSpc>
              <a:spcPts val="1200"/>
            </a:lnSpc>
            <a:defRPr sz="1000"/>
          </a:pPr>
          <a:r>
            <a:rPr lang="ja-JP" altLang="en-US" sz="900" b="0" i="0" u="none" strike="noStrike" baseline="0">
              <a:solidFill>
                <a:sysClr val="windowText" lastClr="000000"/>
              </a:solidFill>
              <a:latin typeface="ＭＳ 明朝"/>
              <a:ea typeface="ＭＳ 明朝"/>
            </a:rPr>
            <a:t>　請求日が20110931の場合</a:t>
          </a:r>
        </a:p>
        <a:p>
          <a:pPr algn="l" rtl="0">
            <a:lnSpc>
              <a:spcPts val="1200"/>
            </a:lnSpc>
            <a:defRPr sz="1000"/>
          </a:pPr>
          <a:r>
            <a:rPr lang="ja-JP" altLang="en-US" sz="900" b="0" i="0" u="none" strike="noStrike" baseline="0">
              <a:solidFill>
                <a:sysClr val="windowText" lastClr="000000"/>
              </a:solidFill>
              <a:latin typeface="ＭＳ 明朝"/>
              <a:ea typeface="ＭＳ 明朝"/>
            </a:rPr>
            <a:t>　＜良い例＞</a:t>
          </a:r>
        </a:p>
        <a:p>
          <a:pPr algn="l" rtl="0">
            <a:lnSpc>
              <a:spcPts val="1200"/>
            </a:lnSpc>
            <a:defRPr sz="1000"/>
          </a:pPr>
          <a:r>
            <a:rPr lang="ja-JP" altLang="en-US" sz="900" b="0" i="0" u="none" strike="noStrike" baseline="0">
              <a:solidFill>
                <a:sysClr val="windowText" lastClr="000000"/>
              </a:solidFill>
              <a:latin typeface="ＭＳ 明朝"/>
              <a:ea typeface="ＭＳ 明朝"/>
            </a:rPr>
            <a:t>　請求日が実在日付ではない場合</a:t>
          </a:r>
        </a:p>
      </xdr:txBody>
    </xdr:sp>
    <xdr:clientData/>
  </xdr:twoCellAnchor>
  <xdr:twoCellAnchor>
    <xdr:from>
      <xdr:col>9</xdr:col>
      <xdr:colOff>133350</xdr:colOff>
      <xdr:row>18</xdr:row>
      <xdr:rowOff>161925</xdr:rowOff>
    </xdr:from>
    <xdr:to>
      <xdr:col>11</xdr:col>
      <xdr:colOff>190500</xdr:colOff>
      <xdr:row>26</xdr:row>
      <xdr:rowOff>371474</xdr:rowOff>
    </xdr:to>
    <xdr:sp macro="" textlink="">
      <xdr:nvSpPr>
        <xdr:cNvPr id="7" name="AutoShape 37">
          <a:extLst>
            <a:ext uri="{FF2B5EF4-FFF2-40B4-BE49-F238E27FC236}">
              <a16:creationId xmlns:a16="http://schemas.microsoft.com/office/drawing/2014/main" id="{85A73822-7B12-4BA2-B3D4-1143939C12F5}"/>
            </a:ext>
          </a:extLst>
        </xdr:cNvPr>
        <xdr:cNvSpPr>
          <a:spLocks/>
        </xdr:cNvSpPr>
      </xdr:nvSpPr>
      <xdr:spPr bwMode="auto">
        <a:xfrm>
          <a:off x="11991975" y="4314825"/>
          <a:ext cx="3962400" cy="2352674"/>
        </a:xfrm>
        <a:prstGeom prst="borderCallout1">
          <a:avLst>
            <a:gd name="adj1" fmla="val -2246"/>
            <a:gd name="adj2" fmla="val 55320"/>
            <a:gd name="adj3" fmla="val -111460"/>
            <a:gd name="adj4" fmla="val 57084"/>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想定結果は、テスト実施者がテスト結果をどのように検証すれば良いのか分かるように記述する。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例えば、悪い記述として次のような記述がある。</a:t>
          </a:r>
        </a:p>
        <a:p>
          <a:pPr algn="l" rtl="0">
            <a:lnSpc>
              <a:spcPts val="1200"/>
            </a:lnSpc>
            <a:defRPr sz="1000"/>
          </a:pPr>
          <a:r>
            <a:rPr lang="ja-JP" altLang="en-US" sz="900" b="0" i="0" u="none" strike="noStrike" baseline="0">
              <a:solidFill>
                <a:sysClr val="windowText" lastClr="000000"/>
              </a:solidFill>
              <a:latin typeface="ＭＳ 明朝"/>
              <a:ea typeface="ＭＳ 明朝"/>
            </a:rPr>
            <a:t>　　＜悪い例＞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「処理が正常終了する。」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「0が設定される。」</a:t>
          </a:r>
        </a:p>
        <a:p>
          <a:pPr algn="l" rtl="0">
            <a:lnSpc>
              <a:spcPts val="1200"/>
            </a:lnSpc>
            <a:defRPr sz="1000"/>
          </a:pPr>
          <a:r>
            <a:rPr lang="ja-JP" altLang="en-US" sz="900" b="0" i="0" u="none" strike="noStrike" baseline="0">
              <a:solidFill>
                <a:sysClr val="windowText" lastClr="000000"/>
              </a:solidFill>
              <a:latin typeface="ＭＳ 明朝"/>
              <a:ea typeface="ＭＳ 明朝"/>
            </a:rPr>
            <a:t>　　＜悪い点＞</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正常終了の具体的な状態が分からない。</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　　　　 どのように検証すれば良いのか分からない。</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何に0が設定されるのか分からない。</a:t>
          </a:r>
        </a:p>
        <a:p>
          <a:pPr algn="l" rtl="0">
            <a:lnSpc>
              <a:spcPts val="1200"/>
            </a:lnSpc>
            <a:defRPr sz="1000"/>
          </a:pPr>
          <a:r>
            <a:rPr lang="ja-JP" altLang="en-US" sz="900" b="0" i="0" u="none" strike="noStrike" baseline="0">
              <a:solidFill>
                <a:sysClr val="windowText" lastClr="000000"/>
              </a:solidFill>
              <a:latin typeface="ＭＳ 明朝"/>
              <a:ea typeface="ＭＳ 明朝"/>
            </a:rPr>
            <a:t>上記は、例として次のように記述すると良い。</a:t>
          </a:r>
        </a:p>
        <a:p>
          <a:pPr algn="l" rtl="0">
            <a:lnSpc>
              <a:spcPts val="1200"/>
            </a:lnSpc>
            <a:defRPr sz="1000"/>
          </a:pPr>
          <a:r>
            <a:rPr lang="ja-JP" altLang="en-US" sz="900" b="0" i="0" u="none" strike="noStrike" baseline="0">
              <a:solidFill>
                <a:sysClr val="windowText" lastClr="000000"/>
              </a:solidFill>
              <a:latin typeface="ＭＳ 明朝"/>
              <a:ea typeface="ＭＳ 明朝"/>
            </a:rPr>
            <a:t>　　＜良い例＞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終了コードが"0"である。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口座振替結果ワークテーブルの処理済みフラグに"0"が設定される。</a:t>
          </a:r>
        </a:p>
      </xdr:txBody>
    </xdr:sp>
    <xdr:clientData/>
  </xdr:twoCellAnchor>
  <xdr:twoCellAnchor>
    <xdr:from>
      <xdr:col>11</xdr:col>
      <xdr:colOff>495300</xdr:colOff>
      <xdr:row>10</xdr:row>
      <xdr:rowOff>228600</xdr:rowOff>
    </xdr:from>
    <xdr:to>
      <xdr:col>17</xdr:col>
      <xdr:colOff>352425</xdr:colOff>
      <xdr:row>19</xdr:row>
      <xdr:rowOff>104775</xdr:rowOff>
    </xdr:to>
    <xdr:grpSp>
      <xdr:nvGrpSpPr>
        <xdr:cNvPr id="8" name="グループ化 7">
          <a:extLst>
            <a:ext uri="{FF2B5EF4-FFF2-40B4-BE49-F238E27FC236}">
              <a16:creationId xmlns:a16="http://schemas.microsoft.com/office/drawing/2014/main" id="{B9DB5B44-B423-4869-BCA6-BB3C377E67EE}"/>
            </a:ext>
          </a:extLst>
        </xdr:cNvPr>
        <xdr:cNvGrpSpPr/>
      </xdr:nvGrpSpPr>
      <xdr:grpSpPr>
        <a:xfrm>
          <a:off x="16224250" y="1644650"/>
          <a:ext cx="4899025" cy="2670175"/>
          <a:chOff x="16335375" y="4752975"/>
          <a:chExt cx="4914900" cy="2733675"/>
        </a:xfrm>
      </xdr:grpSpPr>
      <xdr:sp macro="" textlink="">
        <xdr:nvSpPr>
          <xdr:cNvPr id="9" name="AutoShape 31">
            <a:extLst>
              <a:ext uri="{FF2B5EF4-FFF2-40B4-BE49-F238E27FC236}">
                <a16:creationId xmlns:a16="http://schemas.microsoft.com/office/drawing/2014/main" id="{2CD40AFB-812D-45DA-BE60-7DF7E20DCF7E}"/>
              </a:ext>
            </a:extLst>
          </xdr:cNvPr>
          <xdr:cNvSpPr>
            <a:spLocks/>
          </xdr:cNvSpPr>
        </xdr:nvSpPr>
        <xdr:spPr bwMode="auto">
          <a:xfrm>
            <a:off x="16335375" y="4752975"/>
            <a:ext cx="4914900" cy="2733675"/>
          </a:xfrm>
          <a:prstGeom prst="borderCallout1">
            <a:avLst>
              <a:gd name="adj1" fmla="val 8601"/>
              <a:gd name="adj2" fmla="val -812"/>
              <a:gd name="adj3" fmla="val -4288"/>
              <a:gd name="adj4" fmla="val -6941"/>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・テストデータシート名、データNoはテストデータとのひもづけに使用する。</a:t>
            </a:r>
          </a:p>
          <a:p>
            <a:pPr algn="l" rtl="0">
              <a:lnSpc>
                <a:spcPts val="1200"/>
              </a:lnSpc>
              <a:defRPr sz="1000"/>
            </a:pPr>
            <a:r>
              <a:rPr lang="ja-JP" altLang="en-US" sz="900" b="0" i="0" u="none" strike="noStrike" baseline="0">
                <a:solidFill>
                  <a:sysClr val="windowText" lastClr="000000"/>
                </a:solidFill>
                <a:latin typeface="ＭＳ 明朝"/>
                <a:ea typeface="ＭＳ 明朝"/>
              </a:rPr>
              <a:t>・テストデータシート名、データNoは単体テスト実施時に記載する。</a:t>
            </a:r>
          </a:p>
          <a:p>
            <a:pPr algn="l" rtl="0">
              <a:lnSpc>
                <a:spcPts val="1200"/>
              </a:lnSpc>
              <a:defRPr sz="1000"/>
            </a:pPr>
            <a:r>
              <a:rPr lang="ja-JP" altLang="en-US" sz="900" b="0" i="0" u="none" strike="noStrike" baseline="0">
                <a:solidFill>
                  <a:sysClr val="windowText" lastClr="000000"/>
                </a:solidFill>
                <a:latin typeface="ＭＳ 明朝"/>
                <a:ea typeface="ＭＳ 明朝"/>
              </a:rPr>
              <a:t>・複数ケースを1データで実施できるような場合は、同じデータNoを記載しても構わない。</a:t>
            </a:r>
          </a:p>
          <a:p>
            <a:pPr algn="l" rtl="0">
              <a:lnSpc>
                <a:spcPts val="1200"/>
              </a:lnSpc>
              <a:defRPr sz="1000"/>
            </a:pPr>
            <a:r>
              <a:rPr lang="ja-JP" altLang="en-US" sz="900" b="0" i="0" u="none" strike="noStrike" baseline="0">
                <a:solidFill>
                  <a:sysClr val="windowText" lastClr="000000"/>
                </a:solidFill>
                <a:latin typeface="ＭＳ 明朝"/>
                <a:ea typeface="ＭＳ 明朝"/>
              </a:rPr>
              <a:t>・テストデータシート名は、テストデータのExcelファイルのシート名と一致させること。</a:t>
            </a:r>
          </a:p>
          <a:p>
            <a:pPr algn="l" rtl="0">
              <a:lnSpc>
                <a:spcPts val="1100"/>
              </a:lnSpc>
              <a:defRPr sz="1000"/>
            </a:pPr>
            <a:r>
              <a:rPr lang="ja-JP" altLang="en-US" sz="900" b="0" i="0" u="none" strike="noStrike" baseline="0">
                <a:solidFill>
                  <a:sysClr val="windowText" lastClr="000000"/>
                </a:solidFill>
                <a:latin typeface="ＭＳ 明朝"/>
                <a:ea typeface="ＭＳ 明朝"/>
              </a:rPr>
              <a:t>・データNoは、テストデータのExcelファイルのテストショット一覧のNoと一致させること。</a:t>
            </a:r>
          </a:p>
        </xdr:txBody>
      </xdr:sp>
      <xdr:grpSp>
        <xdr:nvGrpSpPr>
          <xdr:cNvPr id="10" name="グループ化 9">
            <a:extLst>
              <a:ext uri="{FF2B5EF4-FFF2-40B4-BE49-F238E27FC236}">
                <a16:creationId xmlns:a16="http://schemas.microsoft.com/office/drawing/2014/main" id="{C3808196-B7EE-4EAB-834C-8BD28D91B648}"/>
              </a:ext>
            </a:extLst>
          </xdr:cNvPr>
          <xdr:cNvGrpSpPr/>
        </xdr:nvGrpSpPr>
        <xdr:grpSpPr>
          <a:xfrm>
            <a:off x="16416568" y="5791507"/>
            <a:ext cx="4687760" cy="1384197"/>
            <a:chOff x="16521343" y="2753032"/>
            <a:chExt cx="4687760" cy="1384197"/>
          </a:xfrm>
        </xdr:grpSpPr>
        <xdr:pic>
          <xdr:nvPicPr>
            <xdr:cNvPr id="11" name="Picture 52" descr="testdata">
              <a:extLst>
                <a:ext uri="{FF2B5EF4-FFF2-40B4-BE49-F238E27FC236}">
                  <a16:creationId xmlns:a16="http://schemas.microsoft.com/office/drawing/2014/main" id="{C8561E8B-1EF5-4F85-893D-1775067ACAD2}"/>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521343" y="2753032"/>
              <a:ext cx="3289812" cy="1176184"/>
            </a:xfrm>
            <a:prstGeom prst="rect">
              <a:avLst/>
            </a:prstGeom>
            <a:noFill/>
            <a:ln w="9525">
              <a:noFill/>
              <a:miter lim="800000"/>
              <a:headEnd/>
              <a:tailEnd/>
            </a:ln>
          </xdr:spPr>
        </xdr:pic>
        <xdr:sp macro="" textlink="">
          <xdr:nvSpPr>
            <xdr:cNvPr id="12" name="AutoShape 47">
              <a:extLst>
                <a:ext uri="{FF2B5EF4-FFF2-40B4-BE49-F238E27FC236}">
                  <a16:creationId xmlns:a16="http://schemas.microsoft.com/office/drawing/2014/main" id="{06B90BA3-935A-41E9-B3DB-5FB5420B6AFD}"/>
                </a:ext>
              </a:extLst>
            </xdr:cNvPr>
            <xdr:cNvSpPr>
              <a:spLocks noChangeArrowheads="1"/>
            </xdr:cNvSpPr>
          </xdr:nvSpPr>
          <xdr:spPr bwMode="auto">
            <a:xfrm>
              <a:off x="17710816" y="3774358"/>
              <a:ext cx="980998" cy="212930"/>
            </a:xfrm>
            <a:prstGeom prst="roundRect">
              <a:avLst>
                <a:gd name="adj" fmla="val 16667"/>
              </a:avLst>
            </a:prstGeom>
            <a:noFill/>
            <a:ln w="19050">
              <a:solidFill>
                <a:srgbClr val="2A00FF"/>
              </a:solidFill>
              <a:prstDash val="dash"/>
              <a:round/>
              <a:headEnd/>
              <a:tailEnd/>
            </a:ln>
          </xdr:spPr>
        </xdr:sp>
        <xdr:sp macro="" textlink="">
          <xdr:nvSpPr>
            <xdr:cNvPr id="13" name="AutoShape 49">
              <a:extLst>
                <a:ext uri="{FF2B5EF4-FFF2-40B4-BE49-F238E27FC236}">
                  <a16:creationId xmlns:a16="http://schemas.microsoft.com/office/drawing/2014/main" id="{58126321-34D2-4A92-9D79-B8A2E6558E82}"/>
                </a:ext>
              </a:extLst>
            </xdr:cNvPr>
            <xdr:cNvSpPr>
              <a:spLocks noChangeArrowheads="1"/>
            </xdr:cNvSpPr>
          </xdr:nvSpPr>
          <xdr:spPr bwMode="auto">
            <a:xfrm>
              <a:off x="16759161" y="3270148"/>
              <a:ext cx="604453" cy="638790"/>
            </a:xfrm>
            <a:prstGeom prst="roundRect">
              <a:avLst>
                <a:gd name="adj" fmla="val 16667"/>
              </a:avLst>
            </a:prstGeom>
            <a:noFill/>
            <a:ln w="19050">
              <a:solidFill>
                <a:srgbClr val="2A00FF"/>
              </a:solidFill>
              <a:prstDash val="dash"/>
              <a:round/>
              <a:headEnd/>
              <a:tailEnd/>
            </a:ln>
          </xdr:spPr>
        </xdr:sp>
        <xdr:sp macro="" textlink="">
          <xdr:nvSpPr>
            <xdr:cNvPr id="14" name="AutoShape 50">
              <a:extLst>
                <a:ext uri="{FF2B5EF4-FFF2-40B4-BE49-F238E27FC236}">
                  <a16:creationId xmlns:a16="http://schemas.microsoft.com/office/drawing/2014/main" id="{6CEB7B47-A9FF-438F-9061-757C4C70FEA5}"/>
                </a:ext>
              </a:extLst>
            </xdr:cNvPr>
            <xdr:cNvSpPr>
              <a:spLocks/>
            </xdr:cNvSpPr>
          </xdr:nvSpPr>
          <xdr:spPr bwMode="auto">
            <a:xfrm>
              <a:off x="20010105" y="3599835"/>
              <a:ext cx="1198998" cy="537394"/>
            </a:xfrm>
            <a:prstGeom prst="borderCallout1">
              <a:avLst>
                <a:gd name="adj1" fmla="val 30769"/>
                <a:gd name="adj2" fmla="val -6611"/>
                <a:gd name="adj3" fmla="val 49698"/>
                <a:gd name="adj4" fmla="val -108519"/>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ysClr val="windowText" lastClr="000000"/>
                  </a:solidFill>
                  <a:latin typeface="ＭＳ 明朝"/>
                  <a:ea typeface="ＭＳ 明朝"/>
                </a:rPr>
                <a:t>テストデータシート名と一致させる。</a:t>
              </a:r>
            </a:p>
          </xdr:txBody>
        </xdr:sp>
        <xdr:sp macro="" textlink="">
          <xdr:nvSpPr>
            <xdr:cNvPr id="15" name="AutoShape 51">
              <a:extLst>
                <a:ext uri="{FF2B5EF4-FFF2-40B4-BE49-F238E27FC236}">
                  <a16:creationId xmlns:a16="http://schemas.microsoft.com/office/drawing/2014/main" id="{3BB14472-97B2-4F08-A89A-7A664A41BE8D}"/>
                </a:ext>
              </a:extLst>
            </xdr:cNvPr>
            <xdr:cNvSpPr>
              <a:spLocks/>
            </xdr:cNvSpPr>
          </xdr:nvSpPr>
          <xdr:spPr bwMode="auto">
            <a:xfrm>
              <a:off x="19999427" y="2763172"/>
              <a:ext cx="1198998" cy="405581"/>
            </a:xfrm>
            <a:prstGeom prst="borderCallout1">
              <a:avLst>
                <a:gd name="adj1" fmla="val 30000"/>
                <a:gd name="adj2" fmla="val -6611"/>
                <a:gd name="adj3" fmla="val 145000"/>
                <a:gd name="adj4" fmla="val -228259"/>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ysClr val="windowText" lastClr="000000"/>
                  </a:solidFill>
                  <a:latin typeface="ＭＳ 明朝"/>
                  <a:ea typeface="ＭＳ 明朝"/>
                </a:rPr>
                <a:t>データNoと一致させる</a:t>
              </a:r>
            </a:p>
          </xdr:txBody>
        </xdr:sp>
      </xdr:grpSp>
    </xdr:grpSp>
    <xdr:clientData/>
  </xdr:twoCellAnchor>
  <xdr:twoCellAnchor>
    <xdr:from>
      <xdr:col>4</xdr:col>
      <xdr:colOff>0</xdr:colOff>
      <xdr:row>1</xdr:row>
      <xdr:rowOff>0</xdr:rowOff>
    </xdr:from>
    <xdr:to>
      <xdr:col>5</xdr:col>
      <xdr:colOff>2905124</xdr:colOff>
      <xdr:row>7</xdr:row>
      <xdr:rowOff>19051</xdr:rowOff>
    </xdr:to>
    <xdr:sp macro="" textlink="">
      <xdr:nvSpPr>
        <xdr:cNvPr id="16" name="Rectangle 32">
          <a:extLst>
            <a:ext uri="{FF2B5EF4-FFF2-40B4-BE49-F238E27FC236}">
              <a16:creationId xmlns:a16="http://schemas.microsoft.com/office/drawing/2014/main" id="{D930D460-44A8-4B78-87AD-E47388FE4337}"/>
            </a:ext>
          </a:extLst>
        </xdr:cNvPr>
        <xdr:cNvSpPr>
          <a:spLocks noChangeArrowheads="1"/>
        </xdr:cNvSpPr>
      </xdr:nvSpPr>
      <xdr:spPr bwMode="auto">
        <a:xfrm>
          <a:off x="2628900" y="142875"/>
          <a:ext cx="3562349" cy="876301"/>
        </a:xfrm>
        <a:prstGeom prst="rect">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・クラス単体テストのテストケースは、テストターゲットごとにシートを分けて記述する。</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・本テスト仕様書は仕様書の書き方を説明するためのサンプルであり、必要なテストケースが全て網羅されているわけではない。</a:t>
          </a:r>
        </a:p>
      </xdr:txBody>
    </xdr:sp>
    <xdr:clientData/>
  </xdr:twoCellAnchor>
  <xdr:oneCellAnchor>
    <xdr:from>
      <xdr:col>6</xdr:col>
      <xdr:colOff>0</xdr:colOff>
      <xdr:row>0</xdr:row>
      <xdr:rowOff>0</xdr:rowOff>
    </xdr:from>
    <xdr:ext cx="3067050" cy="1104900"/>
    <xdr:sp macro="" textlink="">
      <xdr:nvSpPr>
        <xdr:cNvPr id="24" name="正方形/長方形 23">
          <a:extLst>
            <a:ext uri="{FF2B5EF4-FFF2-40B4-BE49-F238E27FC236}">
              <a16:creationId xmlns:a16="http://schemas.microsoft.com/office/drawing/2014/main" id="{60D220F2-37A2-4E68-8391-CF9145994B2E}"/>
            </a:ext>
          </a:extLst>
        </xdr:cNvPr>
        <xdr:cNvSpPr/>
      </xdr:nvSpPr>
      <xdr:spPr>
        <a:xfrm>
          <a:off x="6381750" y="0"/>
          <a:ext cx="3067050" cy="1104900"/>
        </a:xfrm>
        <a:prstGeom prst="rect">
          <a:avLst/>
        </a:prstGeom>
        <a:noFill/>
      </xdr:spPr>
      <xdr:txBody>
        <a:bodyPr wrap="none" lIns="91440" tIns="45720" rIns="91440" bIns="45720">
          <a:noAutofit/>
        </a:bodyPr>
        <a:lstStyle/>
        <a:p>
          <a:pPr algn="ctr"/>
          <a:r>
            <a:rPr lang="en-US" altLang="ja-JP"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28575</xdr:rowOff>
    </xdr:from>
    <xdr:to>
      <xdr:col>5</xdr:col>
      <xdr:colOff>2809874</xdr:colOff>
      <xdr:row>5</xdr:row>
      <xdr:rowOff>123825</xdr:rowOff>
    </xdr:to>
    <xdr:sp macro="" textlink="">
      <xdr:nvSpPr>
        <xdr:cNvPr id="3" name="Rectangle 7">
          <a:extLst>
            <a:ext uri="{FF2B5EF4-FFF2-40B4-BE49-F238E27FC236}">
              <a16:creationId xmlns:a16="http://schemas.microsoft.com/office/drawing/2014/main" id="{C89DE00E-BB52-43D9-94D8-0366076FF577}"/>
            </a:ext>
          </a:extLst>
        </xdr:cNvPr>
        <xdr:cNvSpPr>
          <a:spLocks noChangeArrowheads="1"/>
        </xdr:cNvSpPr>
      </xdr:nvSpPr>
      <xdr:spPr bwMode="auto">
        <a:xfrm>
          <a:off x="2628900" y="171450"/>
          <a:ext cx="3467099" cy="666750"/>
        </a:xfrm>
        <a:prstGeom prst="rect">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defRPr sz="1000"/>
          </a:pPr>
          <a:r>
            <a:rPr lang="ja-JP" altLang="en-US" sz="900" b="0" i="0" u="none" strike="noStrike" baseline="0">
              <a:solidFill>
                <a:sysClr val="windowText" lastClr="000000"/>
              </a:solidFill>
              <a:latin typeface="ＭＳ 明朝"/>
              <a:ea typeface="ＭＳ 明朝"/>
            </a:rPr>
            <a:t>・リクエスト単体テストのテストケースは、リクエスト</a:t>
          </a:r>
          <a:r>
            <a:rPr lang="en-US" altLang="ja-JP" sz="900" b="0" i="0" u="none" strike="noStrike" baseline="0">
              <a:solidFill>
                <a:sysClr val="windowText" lastClr="000000"/>
              </a:solidFill>
              <a:latin typeface="ＭＳ 明朝"/>
              <a:ea typeface="ＭＳ 明朝"/>
            </a:rPr>
            <a:t>ID</a:t>
          </a:r>
          <a:r>
            <a:rPr lang="ja-JP" altLang="en-US" sz="900" b="0" i="0" u="none" strike="noStrike" baseline="0">
              <a:solidFill>
                <a:sysClr val="windowText" lastClr="000000"/>
              </a:solidFill>
              <a:latin typeface="ＭＳ 明朝"/>
              <a:ea typeface="ＭＳ 明朝"/>
            </a:rPr>
            <a:t>ごとにシートを分けて記述する。</a:t>
          </a:r>
        </a:p>
        <a:p>
          <a:pPr algn="l" rtl="0">
            <a:defRPr sz="1000"/>
          </a:pPr>
          <a:r>
            <a:rPr lang="ja-JP" altLang="en-US" sz="900" b="0" i="0" u="none" strike="noStrike" baseline="0">
              <a:solidFill>
                <a:sysClr val="windowText" lastClr="000000"/>
              </a:solidFill>
              <a:latin typeface="ＭＳ 明朝"/>
              <a:ea typeface="ＭＳ 明朝"/>
            </a:rPr>
            <a:t>・記述ルールはクラス単体テストのシートを参照すること。</a:t>
          </a:r>
        </a:p>
        <a:p>
          <a:pPr algn="l" rtl="0">
            <a:lnSpc>
              <a:spcPts val="1200"/>
            </a:lnSpc>
            <a:defRPr sz="1000"/>
          </a:pPr>
          <a:endParaRPr lang="ja-JP" altLang="en-US" sz="1000" b="0" i="0" u="none" strike="noStrike" baseline="0">
            <a:solidFill>
              <a:sysClr val="windowText" lastClr="000000"/>
            </a:solidFill>
            <a:latin typeface="ＭＳ 明朝"/>
            <a:ea typeface="ＭＳ 明朝"/>
          </a:endParaRPr>
        </a:p>
      </xdr:txBody>
    </xdr:sp>
    <xdr:clientData/>
  </xdr:twoCellAnchor>
  <xdr:oneCellAnchor>
    <xdr:from>
      <xdr:col>6</xdr:col>
      <xdr:colOff>0</xdr:colOff>
      <xdr:row>0</xdr:row>
      <xdr:rowOff>0</xdr:rowOff>
    </xdr:from>
    <xdr:ext cx="3067050" cy="1104900"/>
    <xdr:sp macro="" textlink="">
      <xdr:nvSpPr>
        <xdr:cNvPr id="15" name="正方形/長方形 14">
          <a:extLst>
            <a:ext uri="{FF2B5EF4-FFF2-40B4-BE49-F238E27FC236}">
              <a16:creationId xmlns:a16="http://schemas.microsoft.com/office/drawing/2014/main" id="{B32F6CB1-572D-4694-B5B6-F6F6E8B6A90C}"/>
            </a:ext>
          </a:extLst>
        </xdr:cNvPr>
        <xdr:cNvSpPr/>
      </xdr:nvSpPr>
      <xdr:spPr>
        <a:xfrm>
          <a:off x="6257925" y="0"/>
          <a:ext cx="3067050" cy="1104900"/>
        </a:xfrm>
        <a:prstGeom prst="rect">
          <a:avLst/>
        </a:prstGeom>
        <a:noFill/>
      </xdr:spPr>
      <xdr:txBody>
        <a:bodyPr wrap="none" lIns="91440" tIns="45720" rIns="91440" bIns="45720">
          <a:noAutofit/>
        </a:bodyPr>
        <a:lstStyle/>
        <a:p>
          <a:pPr algn="ctr"/>
          <a:r>
            <a:rPr lang="en-US" altLang="ja-JP"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533400</xdr:colOff>
      <xdr:row>11</xdr:row>
      <xdr:rowOff>161925</xdr:rowOff>
    </xdr:from>
    <xdr:to>
      <xdr:col>3</xdr:col>
      <xdr:colOff>676275</xdr:colOff>
      <xdr:row>12</xdr:row>
      <xdr:rowOff>647701</xdr:rowOff>
    </xdr:to>
    <xdr:sp macro="" textlink="">
      <xdr:nvSpPr>
        <xdr:cNvPr id="3" name="AutoShape 9">
          <a:extLst>
            <a:ext uri="{FF2B5EF4-FFF2-40B4-BE49-F238E27FC236}">
              <a16:creationId xmlns:a16="http://schemas.microsoft.com/office/drawing/2014/main" id="{71671B0C-8AF2-460C-9D80-C2497CFADB6B}"/>
            </a:ext>
          </a:extLst>
        </xdr:cNvPr>
        <xdr:cNvSpPr>
          <a:spLocks/>
        </xdr:cNvSpPr>
      </xdr:nvSpPr>
      <xdr:spPr bwMode="auto">
        <a:xfrm>
          <a:off x="533400" y="2171700"/>
          <a:ext cx="2543175" cy="1057276"/>
        </a:xfrm>
        <a:prstGeom prst="borderCallout1">
          <a:avLst>
            <a:gd name="adj1" fmla="val -1593"/>
            <a:gd name="adj2" fmla="val 5382"/>
            <a:gd name="adj3" fmla="val -50503"/>
            <a:gd name="adj4" fmla="val -1482"/>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ケース</a:t>
          </a:r>
          <a:r>
            <a:rPr lang="en-US" altLang="ja-JP" sz="900" b="0" i="0" u="none" strike="noStrike" baseline="0">
              <a:solidFill>
                <a:sysClr val="windowText" lastClr="000000"/>
              </a:solidFill>
              <a:latin typeface="ＭＳ 明朝"/>
              <a:ea typeface="ＭＳ 明朝"/>
            </a:rPr>
            <a:t>No</a:t>
          </a:r>
          <a:r>
            <a:rPr lang="ja-JP" altLang="en-US" sz="900" b="0" i="0" u="none" strike="noStrike" baseline="0">
              <a:solidFill>
                <a:sysClr val="windowText" lastClr="000000"/>
              </a:solidFill>
              <a:latin typeface="ＭＳ 明朝"/>
              <a:ea typeface="ＭＳ 明朝"/>
            </a:rPr>
            <a:t>は数値で以下の形式で付与する。</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A-B-C</a:t>
          </a:r>
        </a:p>
        <a:p>
          <a:pPr algn="l" rtl="0">
            <a:lnSpc>
              <a:spcPts val="1200"/>
            </a:lnSpc>
            <a:defRPr sz="1000"/>
          </a:pP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：確認観点</a:t>
          </a:r>
          <a:r>
            <a:rPr lang="en-US" altLang="ja-JP" sz="900" b="0" i="0" u="none" strike="noStrike" baseline="0">
              <a:solidFill>
                <a:sysClr val="windowText" lastClr="000000"/>
              </a:solidFill>
              <a:latin typeface="ＭＳ 明朝"/>
              <a:ea typeface="ＭＳ 明朝"/>
            </a:rPr>
            <a:t>1</a:t>
          </a:r>
          <a:r>
            <a:rPr lang="ja-JP" altLang="en-US" sz="900" b="0" i="0" u="none" strike="noStrike" baseline="0">
              <a:solidFill>
                <a:sysClr val="windowText" lastClr="000000"/>
              </a:solidFill>
              <a:latin typeface="ＭＳ 明朝"/>
              <a:ea typeface="ＭＳ 明朝"/>
            </a:rPr>
            <a:t>が変わったらインクリメント</a:t>
          </a:r>
        </a:p>
        <a:p>
          <a:pPr algn="l" rtl="0">
            <a:lnSpc>
              <a:spcPts val="1200"/>
            </a:lnSpc>
            <a:defRPr sz="1000"/>
          </a:pP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：確認観点</a:t>
          </a:r>
          <a:r>
            <a:rPr lang="en-US" altLang="ja-JP" sz="900" b="0" i="0" u="none" strike="noStrike" baseline="0">
              <a:solidFill>
                <a:sysClr val="windowText" lastClr="000000"/>
              </a:solidFill>
              <a:latin typeface="ＭＳ 明朝"/>
              <a:ea typeface="ＭＳ 明朝"/>
            </a:rPr>
            <a:t>2</a:t>
          </a:r>
          <a:r>
            <a:rPr lang="ja-JP" altLang="en-US" sz="900" b="0" i="0" u="none" strike="noStrike" baseline="0">
              <a:solidFill>
                <a:sysClr val="windowText" lastClr="000000"/>
              </a:solidFill>
              <a:latin typeface="ＭＳ 明朝"/>
              <a:ea typeface="ＭＳ 明朝"/>
            </a:rPr>
            <a:t>が変わったらインクリメント</a:t>
          </a:r>
        </a:p>
        <a:p>
          <a:pPr algn="l" rtl="0">
            <a:lnSpc>
              <a:spcPts val="1200"/>
            </a:lnSpc>
            <a:defRPr sz="1000"/>
          </a:pPr>
          <a:r>
            <a:rPr lang="en-US" altLang="ja-JP" sz="900" b="0" i="0" u="none" strike="noStrike" baseline="0">
              <a:solidFill>
                <a:sysClr val="windowText" lastClr="000000"/>
              </a:solidFill>
              <a:latin typeface="ＭＳ 明朝"/>
              <a:ea typeface="ＭＳ 明朝"/>
            </a:rPr>
            <a:t>C</a:t>
          </a:r>
          <a:r>
            <a:rPr lang="ja-JP" altLang="en-US" sz="900" b="0" i="0" u="none" strike="noStrike" baseline="0">
              <a:solidFill>
                <a:sysClr val="windowText" lastClr="000000"/>
              </a:solidFill>
              <a:latin typeface="ＭＳ 明朝"/>
              <a:ea typeface="ＭＳ 明朝"/>
            </a:rPr>
            <a:t>：テスト内容が変わったらインクリメント</a:t>
          </a:r>
        </a:p>
      </xdr:txBody>
    </xdr:sp>
    <xdr:clientData/>
  </xdr:twoCellAnchor>
  <xdr:twoCellAnchor>
    <xdr:from>
      <xdr:col>3</xdr:col>
      <xdr:colOff>1095375</xdr:colOff>
      <xdr:row>11</xdr:row>
      <xdr:rowOff>228600</xdr:rowOff>
    </xdr:from>
    <xdr:to>
      <xdr:col>6</xdr:col>
      <xdr:colOff>200025</xdr:colOff>
      <xdr:row>12</xdr:row>
      <xdr:rowOff>342901</xdr:rowOff>
    </xdr:to>
    <xdr:sp macro="" textlink="">
      <xdr:nvSpPr>
        <xdr:cNvPr id="4" name="AutoShape 9">
          <a:extLst>
            <a:ext uri="{FF2B5EF4-FFF2-40B4-BE49-F238E27FC236}">
              <a16:creationId xmlns:a16="http://schemas.microsoft.com/office/drawing/2014/main" id="{AE4ADAAE-C3DD-4AF1-83EC-043E8D5B5CC6}"/>
            </a:ext>
          </a:extLst>
        </xdr:cNvPr>
        <xdr:cNvSpPr>
          <a:spLocks/>
        </xdr:cNvSpPr>
      </xdr:nvSpPr>
      <xdr:spPr bwMode="auto">
        <a:xfrm>
          <a:off x="3495675" y="2238375"/>
          <a:ext cx="2533650" cy="685801"/>
        </a:xfrm>
        <a:prstGeom prst="borderCallout1">
          <a:avLst>
            <a:gd name="adj1" fmla="val -532"/>
            <a:gd name="adj2" fmla="val 7469"/>
            <a:gd name="adj3" fmla="val -85064"/>
            <a:gd name="adj4" fmla="val -4738"/>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単体テスト標準の「</a:t>
          </a:r>
          <a:r>
            <a:rPr lang="en-US" altLang="ja-JP" sz="900" b="0" i="0" u="none" strike="noStrike" baseline="0">
              <a:solidFill>
                <a:sysClr val="windowText" lastClr="000000"/>
              </a:solidFill>
              <a:latin typeface="ＭＳ 明朝"/>
              <a:ea typeface="ＭＳ 明朝"/>
            </a:rPr>
            <a:t>4. </a:t>
          </a:r>
          <a:r>
            <a:rPr lang="ja-JP" altLang="en-US" sz="900" b="0" i="0" u="none" strike="noStrike" baseline="0">
              <a:solidFill>
                <a:sysClr val="windowText" lastClr="000000"/>
              </a:solidFill>
              <a:latin typeface="ＭＳ 明朝"/>
              <a:ea typeface="ＭＳ 明朝"/>
            </a:rPr>
            <a:t>取引単体テスト観点」に記載されている観点表より転記すること。</a:t>
          </a:r>
        </a:p>
      </xdr:txBody>
    </xdr:sp>
    <xdr:clientData/>
  </xdr:twoCellAnchor>
  <xdr:twoCellAnchor>
    <xdr:from>
      <xdr:col>2</xdr:col>
      <xdr:colOff>762000</xdr:colOff>
      <xdr:row>1</xdr:row>
      <xdr:rowOff>47625</xdr:rowOff>
    </xdr:from>
    <xdr:to>
      <xdr:col>5</xdr:col>
      <xdr:colOff>933450</xdr:colOff>
      <xdr:row>6</xdr:row>
      <xdr:rowOff>38100</xdr:rowOff>
    </xdr:to>
    <xdr:sp macro="" textlink="">
      <xdr:nvSpPr>
        <xdr:cNvPr id="5" name="Rectangle 7">
          <a:extLst>
            <a:ext uri="{FF2B5EF4-FFF2-40B4-BE49-F238E27FC236}">
              <a16:creationId xmlns:a16="http://schemas.microsoft.com/office/drawing/2014/main" id="{4B7D586D-24D3-4297-8048-3B9F6E197287}"/>
            </a:ext>
          </a:extLst>
        </xdr:cNvPr>
        <xdr:cNvSpPr>
          <a:spLocks noChangeArrowheads="1"/>
        </xdr:cNvSpPr>
      </xdr:nvSpPr>
      <xdr:spPr bwMode="auto">
        <a:xfrm>
          <a:off x="2228850" y="190500"/>
          <a:ext cx="3476625" cy="704850"/>
        </a:xfrm>
        <a:prstGeom prst="rect">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defRPr sz="1000"/>
          </a:pPr>
          <a:r>
            <a:rPr lang="ja-JP" altLang="en-US" sz="900" b="0" i="0" u="none" strike="noStrike" baseline="0">
              <a:solidFill>
                <a:sysClr val="windowText" lastClr="000000"/>
              </a:solidFill>
              <a:latin typeface="ＭＳ 明朝"/>
              <a:ea typeface="ＭＳ 明朝"/>
            </a:rPr>
            <a:t>・取引単体テストのテストケースは</a:t>
          </a:r>
          <a:r>
            <a:rPr lang="en-US" altLang="ja-JP" sz="900" b="0" i="0" u="none" strike="noStrike" baseline="0">
              <a:solidFill>
                <a:sysClr val="windowText" lastClr="000000"/>
              </a:solidFill>
              <a:latin typeface="ＭＳ 明朝"/>
              <a:ea typeface="ＭＳ 明朝"/>
            </a:rPr>
            <a:t>1</a:t>
          </a:r>
          <a:r>
            <a:rPr lang="ja-JP" altLang="en-US" sz="900" b="0" i="0" u="none" strike="noStrike" baseline="0">
              <a:solidFill>
                <a:sysClr val="windowText" lastClr="000000"/>
              </a:solidFill>
              <a:latin typeface="ＭＳ 明朝"/>
              <a:ea typeface="ＭＳ 明朝"/>
            </a:rPr>
            <a:t>シートに記述する。</a:t>
          </a:r>
        </a:p>
        <a:p>
          <a:pPr algn="l" rtl="0">
            <a:defRPr sz="1000"/>
          </a:pPr>
          <a:r>
            <a:rPr lang="ja-JP" altLang="en-US" sz="900" b="0" i="0" u="none" strike="noStrike" baseline="0">
              <a:solidFill>
                <a:sysClr val="windowText" lastClr="000000"/>
              </a:solidFill>
              <a:latin typeface="ＭＳ 明朝"/>
              <a:ea typeface="ＭＳ 明朝"/>
            </a:rPr>
            <a:t>・記述ルールはクラス単体テストのシートを参照すること。</a:t>
          </a:r>
        </a:p>
        <a:p>
          <a:pPr algn="l" rtl="0">
            <a:lnSpc>
              <a:spcPts val="1200"/>
            </a:lnSpc>
            <a:defRPr sz="1000"/>
          </a:pPr>
          <a:endParaRPr lang="ja-JP" altLang="en-US" sz="1000" b="0" i="0" u="none" strike="noStrike" baseline="0">
            <a:solidFill>
              <a:sysClr val="windowText" lastClr="000000"/>
            </a:solidFill>
            <a:latin typeface="ＭＳ 明朝"/>
            <a:ea typeface="ＭＳ 明朝"/>
          </a:endParaRPr>
        </a:p>
      </xdr:txBody>
    </xdr:sp>
    <xdr:clientData/>
  </xdr:twoCellAnchor>
  <xdr:oneCellAnchor>
    <xdr:from>
      <xdr:col>6</xdr:col>
      <xdr:colOff>0</xdr:colOff>
      <xdr:row>0</xdr:row>
      <xdr:rowOff>0</xdr:rowOff>
    </xdr:from>
    <xdr:ext cx="3067050" cy="1104900"/>
    <xdr:sp macro="" textlink="">
      <xdr:nvSpPr>
        <xdr:cNvPr id="6" name="正方形/長方形 5">
          <a:extLst>
            <a:ext uri="{FF2B5EF4-FFF2-40B4-BE49-F238E27FC236}">
              <a16:creationId xmlns:a16="http://schemas.microsoft.com/office/drawing/2014/main" id="{6C7C2961-9271-47D4-9AEB-9B2FDCA2CB9C}"/>
            </a:ext>
          </a:extLst>
        </xdr:cNvPr>
        <xdr:cNvSpPr/>
      </xdr:nvSpPr>
      <xdr:spPr>
        <a:xfrm>
          <a:off x="5829300" y="0"/>
          <a:ext cx="3067050" cy="1104900"/>
        </a:xfrm>
        <a:prstGeom prst="rect">
          <a:avLst/>
        </a:prstGeom>
        <a:noFill/>
      </xdr:spPr>
      <xdr:txBody>
        <a:bodyPr wrap="none" lIns="91440" tIns="45720" rIns="91440" bIns="45720">
          <a:noAutofit/>
        </a:bodyPr>
        <a:lstStyle/>
        <a:p>
          <a:pPr algn="ctr"/>
          <a:r>
            <a:rPr lang="en-US" altLang="ja-JP"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6.58203125" defaultRowHeight="13"/>
  <cols>
    <col min="1" max="16384" width="6.58203125" style="1"/>
  </cols>
  <sheetData>
    <row r="1" spans="1:3" ht="13.5" customHeight="1">
      <c r="B1" s="2"/>
      <c r="C1" s="3"/>
    </row>
    <row r="2" spans="1:3" ht="19.5" customHeight="1">
      <c r="A2" s="4"/>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5"/>
      <c r="H22" s="5"/>
    </row>
    <row r="23" spans="6:11" ht="17.25" customHeight="1">
      <c r="F23" s="5"/>
      <c r="G23" s="5"/>
      <c r="H23" s="5"/>
      <c r="J23" s="6" t="s">
        <v>68</v>
      </c>
    </row>
    <row r="24" spans="6:11" ht="13.5" customHeight="1">
      <c r="F24" s="5"/>
      <c r="G24" s="5"/>
      <c r="H24" s="5"/>
    </row>
    <row r="25" spans="6:11" ht="18" customHeight="1">
      <c r="F25" s="5"/>
      <c r="G25" s="5"/>
      <c r="H25" s="5"/>
      <c r="I25" s="174">
        <f ca="1">IF(INDIRECT("変更履歴!D8")="","",MAX(INDIRECT("変更履歴!D8"):INDIRECT("変更履歴!F33")))</f>
        <v>44852</v>
      </c>
      <c r="J25" s="174"/>
      <c r="K25" s="174"/>
    </row>
    <row r="26" spans="6:11" ht="13.5" customHeight="1">
      <c r="F26" s="5"/>
      <c r="G26" s="5"/>
      <c r="H26" s="5"/>
    </row>
    <row r="27" spans="6:11" ht="13.5" customHeight="1">
      <c r="F27" s="5"/>
      <c r="G27" s="5"/>
      <c r="H27" s="5"/>
    </row>
    <row r="28" spans="6:11" ht="13.5" customHeight="1">
      <c r="F28" s="7"/>
      <c r="G28" s="5"/>
      <c r="H28" s="5"/>
    </row>
    <row r="29" spans="6:11" ht="15" customHeight="1">
      <c r="F29" s="5"/>
      <c r="H29" s="5"/>
    </row>
    <row r="30" spans="6:11" ht="13.5" customHeight="1">
      <c r="F30" s="5"/>
      <c r="G30" s="8"/>
      <c r="H30" s="5"/>
    </row>
    <row r="31" spans="6:11" ht="18.75" customHeight="1">
      <c r="F31" s="5"/>
      <c r="G31" s="8"/>
      <c r="H31" s="5"/>
    </row>
    <row r="32" spans="6:11" ht="19">
      <c r="F32" s="5"/>
      <c r="G32" s="8"/>
      <c r="H32" s="5"/>
      <c r="J32" s="9"/>
    </row>
    <row r="33" spans="6:10" ht="19">
      <c r="F33" s="5"/>
      <c r="H33" s="5"/>
      <c r="J33" s="10"/>
    </row>
    <row r="34" spans="6:10" ht="19">
      <c r="F34" s="5"/>
      <c r="H34" s="5"/>
      <c r="J34" s="9"/>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2"/>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58203125" defaultRowHeight="11"/>
  <cols>
    <col min="1" max="16384" width="3.58203125" style="22"/>
  </cols>
  <sheetData>
    <row r="1" spans="1:40" s="13" customFormat="1" ht="12" customHeight="1">
      <c r="A1" s="181" t="s">
        <v>39</v>
      </c>
      <c r="B1" s="182"/>
      <c r="C1" s="182"/>
      <c r="D1" s="183"/>
      <c r="E1" s="184" t="s">
        <v>52</v>
      </c>
      <c r="F1" s="185"/>
      <c r="G1" s="185"/>
      <c r="H1" s="185"/>
      <c r="I1" s="185"/>
      <c r="J1" s="185"/>
      <c r="K1" s="185"/>
      <c r="L1" s="185"/>
      <c r="M1" s="185"/>
      <c r="N1" s="186"/>
      <c r="O1" s="190" t="s">
        <v>40</v>
      </c>
      <c r="P1" s="191"/>
      <c r="Q1" s="191"/>
      <c r="R1" s="192"/>
      <c r="S1" s="199" t="s">
        <v>572</v>
      </c>
      <c r="T1" s="200"/>
      <c r="U1" s="200"/>
      <c r="V1" s="200"/>
      <c r="W1" s="200"/>
      <c r="X1" s="200"/>
      <c r="Y1" s="200"/>
      <c r="Z1" s="201"/>
      <c r="AA1" s="181" t="s">
        <v>41</v>
      </c>
      <c r="AB1" s="183"/>
      <c r="AC1" s="208" t="str">
        <f>IF(AF8="","",AF8)</f>
        <v>TIS</v>
      </c>
      <c r="AD1" s="209"/>
      <c r="AE1" s="209"/>
      <c r="AF1" s="210"/>
      <c r="AG1" s="175">
        <f>IF(D8="","",D8)</f>
        <v>43336</v>
      </c>
      <c r="AH1" s="176"/>
      <c r="AI1" s="177"/>
      <c r="AJ1" s="11"/>
      <c r="AK1" s="11"/>
      <c r="AL1" s="11"/>
      <c r="AM1" s="11"/>
      <c r="AN1" s="12"/>
    </row>
    <row r="2" spans="1:40" s="13" customFormat="1" ht="12" customHeight="1">
      <c r="A2" s="181" t="s">
        <v>42</v>
      </c>
      <c r="B2" s="182"/>
      <c r="C2" s="182"/>
      <c r="D2" s="183"/>
      <c r="E2" s="184" t="s">
        <v>53</v>
      </c>
      <c r="F2" s="185"/>
      <c r="G2" s="185"/>
      <c r="H2" s="185"/>
      <c r="I2" s="185"/>
      <c r="J2" s="185"/>
      <c r="K2" s="185"/>
      <c r="L2" s="185"/>
      <c r="M2" s="185"/>
      <c r="N2" s="186"/>
      <c r="O2" s="193"/>
      <c r="P2" s="194"/>
      <c r="Q2" s="194"/>
      <c r="R2" s="195"/>
      <c r="S2" s="202"/>
      <c r="T2" s="203"/>
      <c r="U2" s="203"/>
      <c r="V2" s="203"/>
      <c r="W2" s="203"/>
      <c r="X2" s="203"/>
      <c r="Y2" s="203"/>
      <c r="Z2" s="204"/>
      <c r="AA2" s="181" t="s">
        <v>43</v>
      </c>
      <c r="AB2" s="183"/>
      <c r="AC2" s="187" t="str">
        <f ca="1">IF(COUNTA(AF9:AF33)&lt;&gt;0,INDIRECT("AF"&amp;(COUNTA(AF9:AF33)+8)),"")</f>
        <v>TIS</v>
      </c>
      <c r="AD2" s="188"/>
      <c r="AE2" s="188"/>
      <c r="AF2" s="189"/>
      <c r="AG2" s="175">
        <f>IF(D9="","",MAX(D9:F33))</f>
        <v>44852</v>
      </c>
      <c r="AH2" s="176"/>
      <c r="AI2" s="177"/>
      <c r="AJ2" s="11"/>
      <c r="AK2" s="11"/>
      <c r="AL2" s="11"/>
      <c r="AM2" s="11"/>
      <c r="AN2" s="11"/>
    </row>
    <row r="3" spans="1:40" s="13" customFormat="1" ht="12" customHeight="1">
      <c r="A3" s="181" t="s">
        <v>44</v>
      </c>
      <c r="B3" s="182"/>
      <c r="C3" s="182"/>
      <c r="D3" s="183"/>
      <c r="E3" s="184" t="s">
        <v>54</v>
      </c>
      <c r="F3" s="185"/>
      <c r="G3" s="185"/>
      <c r="H3" s="185"/>
      <c r="I3" s="185"/>
      <c r="J3" s="185"/>
      <c r="K3" s="185"/>
      <c r="L3" s="185"/>
      <c r="M3" s="185"/>
      <c r="N3" s="186"/>
      <c r="O3" s="196"/>
      <c r="P3" s="197"/>
      <c r="Q3" s="197"/>
      <c r="R3" s="198"/>
      <c r="S3" s="205"/>
      <c r="T3" s="206"/>
      <c r="U3" s="206"/>
      <c r="V3" s="206"/>
      <c r="W3" s="206"/>
      <c r="X3" s="206"/>
      <c r="Y3" s="206"/>
      <c r="Z3" s="207"/>
      <c r="AA3" s="181"/>
      <c r="AB3" s="183"/>
      <c r="AC3" s="208"/>
      <c r="AD3" s="209"/>
      <c r="AE3" s="209"/>
      <c r="AF3" s="210"/>
      <c r="AG3" s="175"/>
      <c r="AH3" s="176"/>
      <c r="AI3" s="177"/>
      <c r="AJ3" s="11"/>
      <c r="AK3" s="11"/>
      <c r="AL3" s="11"/>
      <c r="AM3" s="11"/>
      <c r="AN3" s="11"/>
    </row>
    <row r="5" spans="1:40" s="14" customFormat="1" ht="22.5" customHeight="1">
      <c r="N5" s="15" t="s">
        <v>45</v>
      </c>
      <c r="AA5" s="16"/>
      <c r="AB5" s="16"/>
      <c r="AC5" s="17"/>
      <c r="AD5" s="18"/>
      <c r="AE5" s="18"/>
      <c r="AF5" s="18"/>
      <c r="AG5" s="16"/>
      <c r="AH5" s="16"/>
      <c r="AI5" s="16"/>
    </row>
    <row r="6" spans="1:40" s="14" customFormat="1" ht="15" customHeight="1">
      <c r="N6" s="15"/>
      <c r="AA6" s="16"/>
      <c r="AB6" s="16"/>
      <c r="AC6" s="17"/>
      <c r="AD6" s="18"/>
      <c r="AE6" s="18"/>
      <c r="AF6" s="18"/>
      <c r="AG6" s="16"/>
      <c r="AH6" s="16"/>
      <c r="AI6" s="16"/>
    </row>
    <row r="7" spans="1:40" s="20" customFormat="1" ht="15" customHeight="1" thickBot="1">
      <c r="A7" s="19" t="s">
        <v>46</v>
      </c>
      <c r="B7" s="178" t="s">
        <v>47</v>
      </c>
      <c r="C7" s="179"/>
      <c r="D7" s="178" t="s">
        <v>48</v>
      </c>
      <c r="E7" s="180"/>
      <c r="F7" s="179"/>
      <c r="G7" s="178" t="s">
        <v>9</v>
      </c>
      <c r="H7" s="180"/>
      <c r="I7" s="179"/>
      <c r="J7" s="178" t="s">
        <v>49</v>
      </c>
      <c r="K7" s="180"/>
      <c r="L7" s="180"/>
      <c r="M7" s="180"/>
      <c r="N7" s="180"/>
      <c r="O7" s="180"/>
      <c r="P7" s="179"/>
      <c r="Q7" s="178" t="s">
        <v>50</v>
      </c>
      <c r="R7" s="180"/>
      <c r="S7" s="180"/>
      <c r="T7" s="180"/>
      <c r="U7" s="180"/>
      <c r="V7" s="180"/>
      <c r="W7" s="180"/>
      <c r="X7" s="180"/>
      <c r="Y7" s="180"/>
      <c r="Z7" s="180"/>
      <c r="AA7" s="180"/>
      <c r="AB7" s="180"/>
      <c r="AC7" s="180"/>
      <c r="AD7" s="180"/>
      <c r="AE7" s="179"/>
      <c r="AF7" s="178" t="s">
        <v>51</v>
      </c>
      <c r="AG7" s="180"/>
      <c r="AH7" s="180"/>
      <c r="AI7" s="179"/>
    </row>
    <row r="8" spans="1:40" s="20" customFormat="1" ht="15" customHeight="1" thickTop="1">
      <c r="A8" s="24">
        <v>1</v>
      </c>
      <c r="B8" s="223" t="s">
        <v>57</v>
      </c>
      <c r="C8" s="224"/>
      <c r="D8" s="225">
        <v>43336</v>
      </c>
      <c r="E8" s="226"/>
      <c r="F8" s="227"/>
      <c r="G8" s="223" t="s">
        <v>58</v>
      </c>
      <c r="H8" s="228"/>
      <c r="I8" s="224"/>
      <c r="J8" s="229" t="s">
        <v>59</v>
      </c>
      <c r="K8" s="230"/>
      <c r="L8" s="230"/>
      <c r="M8" s="230"/>
      <c r="N8" s="230"/>
      <c r="O8" s="230"/>
      <c r="P8" s="231"/>
      <c r="Q8" s="229" t="s">
        <v>60</v>
      </c>
      <c r="R8" s="230"/>
      <c r="S8" s="230"/>
      <c r="T8" s="230"/>
      <c r="U8" s="230"/>
      <c r="V8" s="230"/>
      <c r="W8" s="230"/>
      <c r="X8" s="230"/>
      <c r="Y8" s="230"/>
      <c r="Z8" s="230"/>
      <c r="AA8" s="230"/>
      <c r="AB8" s="230"/>
      <c r="AC8" s="230"/>
      <c r="AD8" s="230"/>
      <c r="AE8" s="231"/>
      <c r="AF8" s="25" t="s">
        <v>61</v>
      </c>
      <c r="AG8" s="26"/>
      <c r="AH8" s="26"/>
      <c r="AI8" s="27"/>
    </row>
    <row r="9" spans="1:40" s="20" customFormat="1" ht="34.5" customHeight="1">
      <c r="A9" s="24">
        <v>2</v>
      </c>
      <c r="B9" s="211" t="s">
        <v>64</v>
      </c>
      <c r="C9" s="212"/>
      <c r="D9" s="213">
        <v>44852</v>
      </c>
      <c r="E9" s="214"/>
      <c r="F9" s="215"/>
      <c r="G9" s="213" t="s">
        <v>65</v>
      </c>
      <c r="H9" s="216"/>
      <c r="I9" s="212"/>
      <c r="J9" s="217" t="s">
        <v>66</v>
      </c>
      <c r="K9" s="218"/>
      <c r="L9" s="218"/>
      <c r="M9" s="218"/>
      <c r="N9" s="218"/>
      <c r="O9" s="218"/>
      <c r="P9" s="219"/>
      <c r="Q9" s="217" t="s">
        <v>67</v>
      </c>
      <c r="R9" s="220"/>
      <c r="S9" s="220"/>
      <c r="T9" s="220"/>
      <c r="U9" s="220"/>
      <c r="V9" s="220"/>
      <c r="W9" s="220"/>
      <c r="X9" s="220"/>
      <c r="Y9" s="220"/>
      <c r="Z9" s="220"/>
      <c r="AA9" s="220"/>
      <c r="AB9" s="220"/>
      <c r="AC9" s="220"/>
      <c r="AD9" s="220"/>
      <c r="AE9" s="221"/>
      <c r="AF9" s="222" t="s">
        <v>61</v>
      </c>
      <c r="AG9" s="218"/>
      <c r="AH9" s="218"/>
      <c r="AI9" s="219"/>
    </row>
    <row r="10" spans="1:40" s="20" customFormat="1" ht="15" customHeight="1">
      <c r="A10" s="21"/>
      <c r="B10" s="232"/>
      <c r="C10" s="233"/>
      <c r="D10" s="234"/>
      <c r="E10" s="235"/>
      <c r="F10" s="236"/>
      <c r="G10" s="232"/>
      <c r="H10" s="237"/>
      <c r="I10" s="233"/>
      <c r="J10" s="238"/>
      <c r="K10" s="239"/>
      <c r="L10" s="239"/>
      <c r="M10" s="239"/>
      <c r="N10" s="239"/>
      <c r="O10" s="239"/>
      <c r="P10" s="240"/>
      <c r="Q10" s="241"/>
      <c r="R10" s="242"/>
      <c r="S10" s="242"/>
      <c r="T10" s="242"/>
      <c r="U10" s="242"/>
      <c r="V10" s="242"/>
      <c r="W10" s="242"/>
      <c r="X10" s="242"/>
      <c r="Y10" s="242"/>
      <c r="Z10" s="242"/>
      <c r="AA10" s="242"/>
      <c r="AB10" s="242"/>
      <c r="AC10" s="242"/>
      <c r="AD10" s="242"/>
      <c r="AE10" s="243"/>
      <c r="AF10" s="238"/>
      <c r="AG10" s="239"/>
      <c r="AH10" s="239"/>
      <c r="AI10" s="240"/>
    </row>
    <row r="11" spans="1:40" s="20" customFormat="1" ht="15" customHeight="1">
      <c r="A11" s="21"/>
      <c r="B11" s="232"/>
      <c r="C11" s="233"/>
      <c r="D11" s="234"/>
      <c r="E11" s="235"/>
      <c r="F11" s="236"/>
      <c r="G11" s="232"/>
      <c r="H11" s="237"/>
      <c r="I11" s="233"/>
      <c r="J11" s="238"/>
      <c r="K11" s="239"/>
      <c r="L11" s="239"/>
      <c r="M11" s="239"/>
      <c r="N11" s="239"/>
      <c r="O11" s="239"/>
      <c r="P11" s="240"/>
      <c r="Q11" s="241"/>
      <c r="R11" s="242"/>
      <c r="S11" s="242"/>
      <c r="T11" s="242"/>
      <c r="U11" s="242"/>
      <c r="V11" s="242"/>
      <c r="W11" s="242"/>
      <c r="X11" s="242"/>
      <c r="Y11" s="242"/>
      <c r="Z11" s="242"/>
      <c r="AA11" s="242"/>
      <c r="AB11" s="242"/>
      <c r="AC11" s="242"/>
      <c r="AD11" s="242"/>
      <c r="AE11" s="243"/>
      <c r="AF11" s="238"/>
      <c r="AG11" s="239"/>
      <c r="AH11" s="239"/>
      <c r="AI11" s="240"/>
    </row>
    <row r="12" spans="1:40" s="20" customFormat="1" ht="15" customHeight="1">
      <c r="A12" s="21"/>
      <c r="B12" s="232"/>
      <c r="C12" s="233"/>
      <c r="D12" s="234"/>
      <c r="E12" s="235"/>
      <c r="F12" s="236"/>
      <c r="G12" s="232"/>
      <c r="H12" s="237"/>
      <c r="I12" s="233"/>
      <c r="J12" s="238"/>
      <c r="K12" s="239"/>
      <c r="L12" s="239"/>
      <c r="M12" s="239"/>
      <c r="N12" s="239"/>
      <c r="O12" s="239"/>
      <c r="P12" s="240"/>
      <c r="Q12" s="241"/>
      <c r="R12" s="242"/>
      <c r="S12" s="242"/>
      <c r="T12" s="242"/>
      <c r="U12" s="242"/>
      <c r="V12" s="242"/>
      <c r="W12" s="242"/>
      <c r="X12" s="242"/>
      <c r="Y12" s="242"/>
      <c r="Z12" s="242"/>
      <c r="AA12" s="242"/>
      <c r="AB12" s="242"/>
      <c r="AC12" s="242"/>
      <c r="AD12" s="242"/>
      <c r="AE12" s="243"/>
      <c r="AF12" s="238"/>
      <c r="AG12" s="239"/>
      <c r="AH12" s="239"/>
      <c r="AI12" s="240"/>
    </row>
    <row r="13" spans="1:40" s="20" customFormat="1" ht="15" customHeight="1">
      <c r="A13" s="21"/>
      <c r="B13" s="232"/>
      <c r="C13" s="233"/>
      <c r="D13" s="234"/>
      <c r="E13" s="235"/>
      <c r="F13" s="236"/>
      <c r="G13" s="232"/>
      <c r="H13" s="237"/>
      <c r="I13" s="233"/>
      <c r="J13" s="238"/>
      <c r="K13" s="239"/>
      <c r="L13" s="239"/>
      <c r="M13" s="239"/>
      <c r="N13" s="239"/>
      <c r="O13" s="239"/>
      <c r="P13" s="240"/>
      <c r="Q13" s="241"/>
      <c r="R13" s="242"/>
      <c r="S13" s="242"/>
      <c r="T13" s="242"/>
      <c r="U13" s="242"/>
      <c r="V13" s="242"/>
      <c r="W13" s="242"/>
      <c r="X13" s="242"/>
      <c r="Y13" s="242"/>
      <c r="Z13" s="242"/>
      <c r="AA13" s="242"/>
      <c r="AB13" s="242"/>
      <c r="AC13" s="242"/>
      <c r="AD13" s="242"/>
      <c r="AE13" s="243"/>
      <c r="AF13" s="238"/>
      <c r="AG13" s="239"/>
      <c r="AH13" s="239"/>
      <c r="AI13" s="240"/>
    </row>
    <row r="14" spans="1:40" s="20" customFormat="1" ht="15" customHeight="1">
      <c r="A14" s="21"/>
      <c r="B14" s="232"/>
      <c r="C14" s="233"/>
      <c r="D14" s="234"/>
      <c r="E14" s="235"/>
      <c r="F14" s="236"/>
      <c r="G14" s="232"/>
      <c r="H14" s="237"/>
      <c r="I14" s="233"/>
      <c r="J14" s="238"/>
      <c r="K14" s="239"/>
      <c r="L14" s="239"/>
      <c r="M14" s="239"/>
      <c r="N14" s="239"/>
      <c r="O14" s="239"/>
      <c r="P14" s="240"/>
      <c r="Q14" s="241"/>
      <c r="R14" s="242"/>
      <c r="S14" s="242"/>
      <c r="T14" s="242"/>
      <c r="U14" s="242"/>
      <c r="V14" s="242"/>
      <c r="W14" s="242"/>
      <c r="X14" s="242"/>
      <c r="Y14" s="242"/>
      <c r="Z14" s="242"/>
      <c r="AA14" s="242"/>
      <c r="AB14" s="242"/>
      <c r="AC14" s="242"/>
      <c r="AD14" s="242"/>
      <c r="AE14" s="243"/>
      <c r="AF14" s="238"/>
      <c r="AG14" s="239"/>
      <c r="AH14" s="239"/>
      <c r="AI14" s="240"/>
    </row>
    <row r="15" spans="1:40" s="20" customFormat="1" ht="15" customHeight="1">
      <c r="A15" s="21"/>
      <c r="B15" s="232"/>
      <c r="C15" s="233"/>
      <c r="D15" s="234"/>
      <c r="E15" s="235"/>
      <c r="F15" s="236"/>
      <c r="G15" s="232"/>
      <c r="H15" s="237"/>
      <c r="I15" s="233"/>
      <c r="J15" s="238"/>
      <c r="K15" s="239"/>
      <c r="L15" s="239"/>
      <c r="M15" s="239"/>
      <c r="N15" s="239"/>
      <c r="O15" s="239"/>
      <c r="P15" s="240"/>
      <c r="Q15" s="241"/>
      <c r="R15" s="242"/>
      <c r="S15" s="242"/>
      <c r="T15" s="242"/>
      <c r="U15" s="242"/>
      <c r="V15" s="242"/>
      <c r="W15" s="242"/>
      <c r="X15" s="242"/>
      <c r="Y15" s="242"/>
      <c r="Z15" s="242"/>
      <c r="AA15" s="242"/>
      <c r="AB15" s="242"/>
      <c r="AC15" s="242"/>
      <c r="AD15" s="242"/>
      <c r="AE15" s="243"/>
      <c r="AF15" s="238"/>
      <c r="AG15" s="239"/>
      <c r="AH15" s="239"/>
      <c r="AI15" s="240"/>
    </row>
    <row r="16" spans="1:40" s="20" customFormat="1" ht="15" customHeight="1">
      <c r="A16" s="21"/>
      <c r="B16" s="232"/>
      <c r="C16" s="233"/>
      <c r="D16" s="234"/>
      <c r="E16" s="235"/>
      <c r="F16" s="236"/>
      <c r="G16" s="232"/>
      <c r="H16" s="237"/>
      <c r="I16" s="233"/>
      <c r="J16" s="238"/>
      <c r="K16" s="239"/>
      <c r="L16" s="239"/>
      <c r="M16" s="239"/>
      <c r="N16" s="239"/>
      <c r="O16" s="239"/>
      <c r="P16" s="240"/>
      <c r="Q16" s="241"/>
      <c r="R16" s="242"/>
      <c r="S16" s="242"/>
      <c r="T16" s="242"/>
      <c r="U16" s="242"/>
      <c r="V16" s="242"/>
      <c r="W16" s="242"/>
      <c r="X16" s="242"/>
      <c r="Y16" s="242"/>
      <c r="Z16" s="242"/>
      <c r="AA16" s="242"/>
      <c r="AB16" s="242"/>
      <c r="AC16" s="242"/>
      <c r="AD16" s="242"/>
      <c r="AE16" s="243"/>
      <c r="AF16" s="238"/>
      <c r="AG16" s="239"/>
      <c r="AH16" s="239"/>
      <c r="AI16" s="240"/>
    </row>
    <row r="17" spans="1:35" s="20" customFormat="1" ht="15" customHeight="1">
      <c r="A17" s="21"/>
      <c r="B17" s="232"/>
      <c r="C17" s="233"/>
      <c r="D17" s="234"/>
      <c r="E17" s="235"/>
      <c r="F17" s="236"/>
      <c r="G17" s="232"/>
      <c r="H17" s="237"/>
      <c r="I17" s="233"/>
      <c r="J17" s="238"/>
      <c r="K17" s="239"/>
      <c r="L17" s="239"/>
      <c r="M17" s="239"/>
      <c r="N17" s="239"/>
      <c r="O17" s="239"/>
      <c r="P17" s="240"/>
      <c r="Q17" s="241"/>
      <c r="R17" s="242"/>
      <c r="S17" s="242"/>
      <c r="T17" s="242"/>
      <c r="U17" s="242"/>
      <c r="V17" s="242"/>
      <c r="W17" s="242"/>
      <c r="X17" s="242"/>
      <c r="Y17" s="242"/>
      <c r="Z17" s="242"/>
      <c r="AA17" s="242"/>
      <c r="AB17" s="242"/>
      <c r="AC17" s="242"/>
      <c r="AD17" s="242"/>
      <c r="AE17" s="243"/>
      <c r="AF17" s="238"/>
      <c r="AG17" s="239"/>
      <c r="AH17" s="239"/>
      <c r="AI17" s="240"/>
    </row>
    <row r="18" spans="1:35" s="20" customFormat="1" ht="15" customHeight="1">
      <c r="A18" s="21"/>
      <c r="B18" s="232"/>
      <c r="C18" s="233"/>
      <c r="D18" s="234"/>
      <c r="E18" s="235"/>
      <c r="F18" s="236"/>
      <c r="G18" s="232"/>
      <c r="H18" s="237"/>
      <c r="I18" s="233"/>
      <c r="J18" s="238"/>
      <c r="K18" s="239"/>
      <c r="L18" s="239"/>
      <c r="M18" s="239"/>
      <c r="N18" s="239"/>
      <c r="O18" s="239"/>
      <c r="P18" s="240"/>
      <c r="Q18" s="241"/>
      <c r="R18" s="242"/>
      <c r="S18" s="242"/>
      <c r="T18" s="242"/>
      <c r="U18" s="242"/>
      <c r="V18" s="242"/>
      <c r="W18" s="242"/>
      <c r="X18" s="242"/>
      <c r="Y18" s="242"/>
      <c r="Z18" s="242"/>
      <c r="AA18" s="242"/>
      <c r="AB18" s="242"/>
      <c r="AC18" s="242"/>
      <c r="AD18" s="242"/>
      <c r="AE18" s="243"/>
      <c r="AF18" s="238"/>
      <c r="AG18" s="239"/>
      <c r="AH18" s="239"/>
      <c r="AI18" s="240"/>
    </row>
    <row r="19" spans="1:35" s="20" customFormat="1" ht="15" customHeight="1">
      <c r="A19" s="21"/>
      <c r="B19" s="232"/>
      <c r="C19" s="233"/>
      <c r="D19" s="234"/>
      <c r="E19" s="235"/>
      <c r="F19" s="236"/>
      <c r="G19" s="232"/>
      <c r="H19" s="237"/>
      <c r="I19" s="233"/>
      <c r="J19" s="238"/>
      <c r="K19" s="239"/>
      <c r="L19" s="239"/>
      <c r="M19" s="239"/>
      <c r="N19" s="239"/>
      <c r="O19" s="239"/>
      <c r="P19" s="240"/>
      <c r="Q19" s="241"/>
      <c r="R19" s="242"/>
      <c r="S19" s="242"/>
      <c r="T19" s="242"/>
      <c r="U19" s="242"/>
      <c r="V19" s="242"/>
      <c r="W19" s="242"/>
      <c r="X19" s="242"/>
      <c r="Y19" s="242"/>
      <c r="Z19" s="242"/>
      <c r="AA19" s="242"/>
      <c r="AB19" s="242"/>
      <c r="AC19" s="242"/>
      <c r="AD19" s="242"/>
      <c r="AE19" s="243"/>
      <c r="AF19" s="238"/>
      <c r="AG19" s="239"/>
      <c r="AH19" s="239"/>
      <c r="AI19" s="240"/>
    </row>
    <row r="20" spans="1:35" s="20" customFormat="1" ht="15" customHeight="1">
      <c r="A20" s="21"/>
      <c r="B20" s="232"/>
      <c r="C20" s="233"/>
      <c r="D20" s="234"/>
      <c r="E20" s="235"/>
      <c r="F20" s="236"/>
      <c r="G20" s="232"/>
      <c r="H20" s="237"/>
      <c r="I20" s="233"/>
      <c r="J20" s="238"/>
      <c r="K20" s="239"/>
      <c r="L20" s="239"/>
      <c r="M20" s="239"/>
      <c r="N20" s="239"/>
      <c r="O20" s="239"/>
      <c r="P20" s="240"/>
      <c r="Q20" s="241"/>
      <c r="R20" s="242"/>
      <c r="S20" s="242"/>
      <c r="T20" s="242"/>
      <c r="U20" s="242"/>
      <c r="V20" s="242"/>
      <c r="W20" s="242"/>
      <c r="X20" s="242"/>
      <c r="Y20" s="242"/>
      <c r="Z20" s="242"/>
      <c r="AA20" s="242"/>
      <c r="AB20" s="242"/>
      <c r="AC20" s="242"/>
      <c r="AD20" s="242"/>
      <c r="AE20" s="243"/>
      <c r="AF20" s="238"/>
      <c r="AG20" s="239"/>
      <c r="AH20" s="239"/>
      <c r="AI20" s="240"/>
    </row>
    <row r="21" spans="1:35" s="20" customFormat="1" ht="15" customHeight="1">
      <c r="A21" s="21"/>
      <c r="B21" s="232"/>
      <c r="C21" s="233"/>
      <c r="D21" s="234"/>
      <c r="E21" s="235"/>
      <c r="F21" s="236"/>
      <c r="G21" s="232"/>
      <c r="H21" s="237"/>
      <c r="I21" s="233"/>
      <c r="J21" s="238"/>
      <c r="K21" s="239"/>
      <c r="L21" s="239"/>
      <c r="M21" s="239"/>
      <c r="N21" s="239"/>
      <c r="O21" s="239"/>
      <c r="P21" s="240"/>
      <c r="Q21" s="241"/>
      <c r="R21" s="242"/>
      <c r="S21" s="242"/>
      <c r="T21" s="242"/>
      <c r="U21" s="242"/>
      <c r="V21" s="242"/>
      <c r="W21" s="242"/>
      <c r="X21" s="242"/>
      <c r="Y21" s="242"/>
      <c r="Z21" s="242"/>
      <c r="AA21" s="242"/>
      <c r="AB21" s="242"/>
      <c r="AC21" s="242"/>
      <c r="AD21" s="242"/>
      <c r="AE21" s="243"/>
      <c r="AF21" s="238"/>
      <c r="AG21" s="239"/>
      <c r="AH21" s="239"/>
      <c r="AI21" s="240"/>
    </row>
    <row r="22" spans="1:35" s="20" customFormat="1" ht="15" customHeight="1">
      <c r="A22" s="21"/>
      <c r="B22" s="232"/>
      <c r="C22" s="233"/>
      <c r="D22" s="234"/>
      <c r="E22" s="235"/>
      <c r="F22" s="236"/>
      <c r="G22" s="232"/>
      <c r="H22" s="237"/>
      <c r="I22" s="233"/>
      <c r="J22" s="238"/>
      <c r="K22" s="239"/>
      <c r="L22" s="239"/>
      <c r="M22" s="239"/>
      <c r="N22" s="239"/>
      <c r="O22" s="239"/>
      <c r="P22" s="240"/>
      <c r="Q22" s="241"/>
      <c r="R22" s="242"/>
      <c r="S22" s="242"/>
      <c r="T22" s="242"/>
      <c r="U22" s="242"/>
      <c r="V22" s="242"/>
      <c r="W22" s="242"/>
      <c r="X22" s="242"/>
      <c r="Y22" s="242"/>
      <c r="Z22" s="242"/>
      <c r="AA22" s="242"/>
      <c r="AB22" s="242"/>
      <c r="AC22" s="242"/>
      <c r="AD22" s="242"/>
      <c r="AE22" s="243"/>
      <c r="AF22" s="238"/>
      <c r="AG22" s="239"/>
      <c r="AH22" s="239"/>
      <c r="AI22" s="240"/>
    </row>
    <row r="23" spans="1:35" s="20" customFormat="1" ht="15" customHeight="1">
      <c r="A23" s="21"/>
      <c r="B23" s="232"/>
      <c r="C23" s="233"/>
      <c r="D23" s="234"/>
      <c r="E23" s="235"/>
      <c r="F23" s="236"/>
      <c r="G23" s="232"/>
      <c r="H23" s="237"/>
      <c r="I23" s="233"/>
      <c r="J23" s="238"/>
      <c r="K23" s="239"/>
      <c r="L23" s="239"/>
      <c r="M23" s="239"/>
      <c r="N23" s="239"/>
      <c r="O23" s="239"/>
      <c r="P23" s="240"/>
      <c r="Q23" s="241"/>
      <c r="R23" s="242"/>
      <c r="S23" s="242"/>
      <c r="T23" s="242"/>
      <c r="U23" s="242"/>
      <c r="V23" s="242"/>
      <c r="W23" s="242"/>
      <c r="X23" s="242"/>
      <c r="Y23" s="242"/>
      <c r="Z23" s="242"/>
      <c r="AA23" s="242"/>
      <c r="AB23" s="242"/>
      <c r="AC23" s="242"/>
      <c r="AD23" s="242"/>
      <c r="AE23" s="243"/>
      <c r="AF23" s="238"/>
      <c r="AG23" s="239"/>
      <c r="AH23" s="239"/>
      <c r="AI23" s="240"/>
    </row>
    <row r="24" spans="1:35" s="20" customFormat="1" ht="15" customHeight="1">
      <c r="A24" s="21"/>
      <c r="B24" s="232"/>
      <c r="C24" s="233"/>
      <c r="D24" s="234"/>
      <c r="E24" s="235"/>
      <c r="F24" s="236"/>
      <c r="G24" s="232"/>
      <c r="H24" s="237"/>
      <c r="I24" s="233"/>
      <c r="J24" s="238"/>
      <c r="K24" s="239"/>
      <c r="L24" s="239"/>
      <c r="M24" s="239"/>
      <c r="N24" s="239"/>
      <c r="O24" s="239"/>
      <c r="P24" s="240"/>
      <c r="Q24" s="241"/>
      <c r="R24" s="242"/>
      <c r="S24" s="242"/>
      <c r="T24" s="242"/>
      <c r="U24" s="242"/>
      <c r="V24" s="242"/>
      <c r="W24" s="242"/>
      <c r="X24" s="242"/>
      <c r="Y24" s="242"/>
      <c r="Z24" s="242"/>
      <c r="AA24" s="242"/>
      <c r="AB24" s="242"/>
      <c r="AC24" s="242"/>
      <c r="AD24" s="242"/>
      <c r="AE24" s="243"/>
      <c r="AF24" s="238"/>
      <c r="AG24" s="239"/>
      <c r="AH24" s="239"/>
      <c r="AI24" s="240"/>
    </row>
    <row r="25" spans="1:35" s="20" customFormat="1" ht="15" customHeight="1">
      <c r="A25" s="21"/>
      <c r="B25" s="232"/>
      <c r="C25" s="233"/>
      <c r="D25" s="234"/>
      <c r="E25" s="235"/>
      <c r="F25" s="236"/>
      <c r="G25" s="232"/>
      <c r="H25" s="237"/>
      <c r="I25" s="233"/>
      <c r="J25" s="238"/>
      <c r="K25" s="239"/>
      <c r="L25" s="239"/>
      <c r="M25" s="239"/>
      <c r="N25" s="239"/>
      <c r="O25" s="239"/>
      <c r="P25" s="240"/>
      <c r="Q25" s="241"/>
      <c r="R25" s="242"/>
      <c r="S25" s="242"/>
      <c r="T25" s="242"/>
      <c r="U25" s="242"/>
      <c r="V25" s="242"/>
      <c r="W25" s="242"/>
      <c r="X25" s="242"/>
      <c r="Y25" s="242"/>
      <c r="Z25" s="242"/>
      <c r="AA25" s="242"/>
      <c r="AB25" s="242"/>
      <c r="AC25" s="242"/>
      <c r="AD25" s="242"/>
      <c r="AE25" s="243"/>
      <c r="AF25" s="238"/>
      <c r="AG25" s="239"/>
      <c r="AH25" s="239"/>
      <c r="AI25" s="240"/>
    </row>
    <row r="26" spans="1:35" s="20" customFormat="1" ht="15" customHeight="1">
      <c r="A26" s="21"/>
      <c r="B26" s="232"/>
      <c r="C26" s="233"/>
      <c r="D26" s="234"/>
      <c r="E26" s="235"/>
      <c r="F26" s="236"/>
      <c r="G26" s="232"/>
      <c r="H26" s="237"/>
      <c r="I26" s="233"/>
      <c r="J26" s="238"/>
      <c r="K26" s="239"/>
      <c r="L26" s="239"/>
      <c r="M26" s="239"/>
      <c r="N26" s="239"/>
      <c r="O26" s="239"/>
      <c r="P26" s="240"/>
      <c r="Q26" s="241"/>
      <c r="R26" s="242"/>
      <c r="S26" s="242"/>
      <c r="T26" s="242"/>
      <c r="U26" s="242"/>
      <c r="V26" s="242"/>
      <c r="W26" s="242"/>
      <c r="X26" s="242"/>
      <c r="Y26" s="242"/>
      <c r="Z26" s="242"/>
      <c r="AA26" s="242"/>
      <c r="AB26" s="242"/>
      <c r="AC26" s="242"/>
      <c r="AD26" s="242"/>
      <c r="AE26" s="243"/>
      <c r="AF26" s="238"/>
      <c r="AG26" s="239"/>
      <c r="AH26" s="239"/>
      <c r="AI26" s="240"/>
    </row>
    <row r="27" spans="1:35" s="20" customFormat="1" ht="15" customHeight="1">
      <c r="A27" s="21"/>
      <c r="B27" s="232"/>
      <c r="C27" s="233"/>
      <c r="D27" s="234"/>
      <c r="E27" s="235"/>
      <c r="F27" s="236"/>
      <c r="G27" s="232"/>
      <c r="H27" s="237"/>
      <c r="I27" s="233"/>
      <c r="J27" s="238"/>
      <c r="K27" s="239"/>
      <c r="L27" s="239"/>
      <c r="M27" s="239"/>
      <c r="N27" s="239"/>
      <c r="O27" s="239"/>
      <c r="P27" s="240"/>
      <c r="Q27" s="241"/>
      <c r="R27" s="242"/>
      <c r="S27" s="242"/>
      <c r="T27" s="242"/>
      <c r="U27" s="242"/>
      <c r="V27" s="242"/>
      <c r="W27" s="242"/>
      <c r="X27" s="242"/>
      <c r="Y27" s="242"/>
      <c r="Z27" s="242"/>
      <c r="AA27" s="242"/>
      <c r="AB27" s="242"/>
      <c r="AC27" s="242"/>
      <c r="AD27" s="242"/>
      <c r="AE27" s="243"/>
      <c r="AF27" s="238"/>
      <c r="AG27" s="239"/>
      <c r="AH27" s="239"/>
      <c r="AI27" s="240"/>
    </row>
    <row r="28" spans="1:35" s="20" customFormat="1" ht="15" customHeight="1">
      <c r="A28" s="21"/>
      <c r="B28" s="232"/>
      <c r="C28" s="233"/>
      <c r="D28" s="234"/>
      <c r="E28" s="235"/>
      <c r="F28" s="236"/>
      <c r="G28" s="232"/>
      <c r="H28" s="237"/>
      <c r="I28" s="233"/>
      <c r="J28" s="238"/>
      <c r="K28" s="239"/>
      <c r="L28" s="239"/>
      <c r="M28" s="239"/>
      <c r="N28" s="239"/>
      <c r="O28" s="239"/>
      <c r="P28" s="240"/>
      <c r="Q28" s="241"/>
      <c r="R28" s="242"/>
      <c r="S28" s="242"/>
      <c r="T28" s="242"/>
      <c r="U28" s="242"/>
      <c r="V28" s="242"/>
      <c r="W28" s="242"/>
      <c r="X28" s="242"/>
      <c r="Y28" s="242"/>
      <c r="Z28" s="242"/>
      <c r="AA28" s="242"/>
      <c r="AB28" s="242"/>
      <c r="AC28" s="242"/>
      <c r="AD28" s="242"/>
      <c r="AE28" s="243"/>
      <c r="AF28" s="238"/>
      <c r="AG28" s="239"/>
      <c r="AH28" s="239"/>
      <c r="AI28" s="240"/>
    </row>
    <row r="29" spans="1:35" s="20" customFormat="1" ht="15" customHeight="1">
      <c r="A29" s="21"/>
      <c r="B29" s="232"/>
      <c r="C29" s="233"/>
      <c r="D29" s="234"/>
      <c r="E29" s="235"/>
      <c r="F29" s="236"/>
      <c r="G29" s="232"/>
      <c r="H29" s="237"/>
      <c r="I29" s="233"/>
      <c r="J29" s="238"/>
      <c r="K29" s="239"/>
      <c r="L29" s="239"/>
      <c r="M29" s="239"/>
      <c r="N29" s="239"/>
      <c r="O29" s="239"/>
      <c r="P29" s="240"/>
      <c r="Q29" s="241"/>
      <c r="R29" s="242"/>
      <c r="S29" s="242"/>
      <c r="T29" s="242"/>
      <c r="U29" s="242"/>
      <c r="V29" s="242"/>
      <c r="W29" s="242"/>
      <c r="X29" s="242"/>
      <c r="Y29" s="242"/>
      <c r="Z29" s="242"/>
      <c r="AA29" s="242"/>
      <c r="AB29" s="242"/>
      <c r="AC29" s="242"/>
      <c r="AD29" s="242"/>
      <c r="AE29" s="243"/>
      <c r="AF29" s="238"/>
      <c r="AG29" s="239"/>
      <c r="AH29" s="239"/>
      <c r="AI29" s="240"/>
    </row>
    <row r="30" spans="1:35" s="20" customFormat="1" ht="15" customHeight="1">
      <c r="A30" s="21"/>
      <c r="B30" s="232"/>
      <c r="C30" s="233"/>
      <c r="D30" s="234"/>
      <c r="E30" s="235"/>
      <c r="F30" s="236"/>
      <c r="G30" s="232"/>
      <c r="H30" s="237"/>
      <c r="I30" s="233"/>
      <c r="J30" s="238"/>
      <c r="K30" s="239"/>
      <c r="L30" s="239"/>
      <c r="M30" s="239"/>
      <c r="N30" s="239"/>
      <c r="O30" s="239"/>
      <c r="P30" s="240"/>
      <c r="Q30" s="241"/>
      <c r="R30" s="242"/>
      <c r="S30" s="242"/>
      <c r="T30" s="242"/>
      <c r="U30" s="242"/>
      <c r="V30" s="242"/>
      <c r="W30" s="242"/>
      <c r="X30" s="242"/>
      <c r="Y30" s="242"/>
      <c r="Z30" s="242"/>
      <c r="AA30" s="242"/>
      <c r="AB30" s="242"/>
      <c r="AC30" s="242"/>
      <c r="AD30" s="242"/>
      <c r="AE30" s="243"/>
      <c r="AF30" s="238"/>
      <c r="AG30" s="239"/>
      <c r="AH30" s="239"/>
      <c r="AI30" s="240"/>
    </row>
    <row r="31" spans="1:35" s="20" customFormat="1" ht="15" customHeight="1">
      <c r="A31" s="21"/>
      <c r="B31" s="232"/>
      <c r="C31" s="233"/>
      <c r="D31" s="234"/>
      <c r="E31" s="235"/>
      <c r="F31" s="236"/>
      <c r="G31" s="232"/>
      <c r="H31" s="237"/>
      <c r="I31" s="233"/>
      <c r="J31" s="238"/>
      <c r="K31" s="239"/>
      <c r="L31" s="239"/>
      <c r="M31" s="239"/>
      <c r="N31" s="239"/>
      <c r="O31" s="239"/>
      <c r="P31" s="240"/>
      <c r="Q31" s="241"/>
      <c r="R31" s="242"/>
      <c r="S31" s="242"/>
      <c r="T31" s="242"/>
      <c r="U31" s="242"/>
      <c r="V31" s="242"/>
      <c r="W31" s="242"/>
      <c r="X31" s="242"/>
      <c r="Y31" s="242"/>
      <c r="Z31" s="242"/>
      <c r="AA31" s="242"/>
      <c r="AB31" s="242"/>
      <c r="AC31" s="242"/>
      <c r="AD31" s="242"/>
      <c r="AE31" s="243"/>
      <c r="AF31" s="238"/>
      <c r="AG31" s="239"/>
      <c r="AH31" s="239"/>
      <c r="AI31" s="240"/>
    </row>
    <row r="32" spans="1:35" s="20" customFormat="1" ht="15" customHeight="1">
      <c r="A32" s="21"/>
      <c r="B32" s="232"/>
      <c r="C32" s="233"/>
      <c r="D32" s="234"/>
      <c r="E32" s="235"/>
      <c r="F32" s="236"/>
      <c r="G32" s="232"/>
      <c r="H32" s="237"/>
      <c r="I32" s="233"/>
      <c r="J32" s="238"/>
      <c r="K32" s="244"/>
      <c r="L32" s="239"/>
      <c r="M32" s="239"/>
      <c r="N32" s="239"/>
      <c r="O32" s="239"/>
      <c r="P32" s="240"/>
      <c r="Q32" s="241"/>
      <c r="R32" s="242"/>
      <c r="S32" s="242"/>
      <c r="T32" s="242"/>
      <c r="U32" s="242"/>
      <c r="V32" s="242"/>
      <c r="W32" s="242"/>
      <c r="X32" s="242"/>
      <c r="Y32" s="242"/>
      <c r="Z32" s="242"/>
      <c r="AA32" s="242"/>
      <c r="AB32" s="242"/>
      <c r="AC32" s="242"/>
      <c r="AD32" s="242"/>
      <c r="AE32" s="243"/>
      <c r="AF32" s="238"/>
      <c r="AG32" s="239"/>
      <c r="AH32" s="239"/>
      <c r="AI32" s="240"/>
    </row>
    <row r="33" spans="1:35" s="20" customFormat="1" ht="15" customHeight="1">
      <c r="A33" s="21"/>
      <c r="B33" s="232"/>
      <c r="C33" s="233"/>
      <c r="D33" s="234"/>
      <c r="E33" s="235"/>
      <c r="F33" s="236"/>
      <c r="G33" s="232"/>
      <c r="H33" s="237"/>
      <c r="I33" s="233"/>
      <c r="J33" s="238"/>
      <c r="K33" s="239"/>
      <c r="L33" s="239"/>
      <c r="M33" s="239"/>
      <c r="N33" s="239"/>
      <c r="O33" s="239"/>
      <c r="P33" s="240"/>
      <c r="Q33" s="241"/>
      <c r="R33" s="242"/>
      <c r="S33" s="242"/>
      <c r="T33" s="242"/>
      <c r="U33" s="242"/>
      <c r="V33" s="242"/>
      <c r="W33" s="242"/>
      <c r="X33" s="242"/>
      <c r="Y33" s="242"/>
      <c r="Z33" s="242"/>
      <c r="AA33" s="242"/>
      <c r="AB33" s="242"/>
      <c r="AC33" s="242"/>
      <c r="AD33" s="242"/>
      <c r="AE33" s="243"/>
      <c r="AF33" s="238"/>
      <c r="AG33" s="239"/>
      <c r="AH33" s="239"/>
      <c r="AI33" s="240"/>
    </row>
    <row r="34" spans="1:35" ht="14">
      <c r="K34" s="23"/>
    </row>
  </sheetData>
  <mergeCells count="178">
    <mergeCell ref="B33:C33"/>
    <mergeCell ref="D33:F33"/>
    <mergeCell ref="G33:I33"/>
    <mergeCell ref="J33:P33"/>
    <mergeCell ref="Q33:AE33"/>
    <mergeCell ref="AF33:AI33"/>
    <mergeCell ref="B32:C32"/>
    <mergeCell ref="D32:F32"/>
    <mergeCell ref="G32:I32"/>
    <mergeCell ref="J32:P32"/>
    <mergeCell ref="Q32:AE32"/>
    <mergeCell ref="AF32:AI32"/>
    <mergeCell ref="B31:C31"/>
    <mergeCell ref="D31:F31"/>
    <mergeCell ref="G31:I31"/>
    <mergeCell ref="J31:P31"/>
    <mergeCell ref="Q31:AE31"/>
    <mergeCell ref="AF31:AI31"/>
    <mergeCell ref="B30:C30"/>
    <mergeCell ref="D30:F30"/>
    <mergeCell ref="G30:I30"/>
    <mergeCell ref="J30:P30"/>
    <mergeCell ref="Q30:AE30"/>
    <mergeCell ref="AF30:AI30"/>
    <mergeCell ref="B29:C29"/>
    <mergeCell ref="D29:F29"/>
    <mergeCell ref="G29:I29"/>
    <mergeCell ref="J29:P29"/>
    <mergeCell ref="Q29:AE29"/>
    <mergeCell ref="AF29:AI29"/>
    <mergeCell ref="B28:C28"/>
    <mergeCell ref="D28:F28"/>
    <mergeCell ref="G28:I28"/>
    <mergeCell ref="J28:P28"/>
    <mergeCell ref="Q28:AE28"/>
    <mergeCell ref="AF28:AI28"/>
    <mergeCell ref="B27:C27"/>
    <mergeCell ref="D27:F27"/>
    <mergeCell ref="G27:I27"/>
    <mergeCell ref="J27:P27"/>
    <mergeCell ref="Q27:AE27"/>
    <mergeCell ref="AF27:AI27"/>
    <mergeCell ref="B26:C26"/>
    <mergeCell ref="D26:F26"/>
    <mergeCell ref="G26:I26"/>
    <mergeCell ref="J26:P26"/>
    <mergeCell ref="Q26:AE26"/>
    <mergeCell ref="AF26:AI26"/>
    <mergeCell ref="B25:C25"/>
    <mergeCell ref="D25:F25"/>
    <mergeCell ref="G25:I25"/>
    <mergeCell ref="J25:P25"/>
    <mergeCell ref="Q25:AE25"/>
    <mergeCell ref="AF25:AI25"/>
    <mergeCell ref="B24:C24"/>
    <mergeCell ref="D24:F24"/>
    <mergeCell ref="G24:I24"/>
    <mergeCell ref="J24:P24"/>
    <mergeCell ref="Q24:AE24"/>
    <mergeCell ref="AF24:AI24"/>
    <mergeCell ref="B23:C23"/>
    <mergeCell ref="D23:F23"/>
    <mergeCell ref="G23:I23"/>
    <mergeCell ref="J23:P23"/>
    <mergeCell ref="Q23:AE23"/>
    <mergeCell ref="AF23:AI23"/>
    <mergeCell ref="B22:C22"/>
    <mergeCell ref="D22:F22"/>
    <mergeCell ref="G22:I22"/>
    <mergeCell ref="J22:P22"/>
    <mergeCell ref="Q22:AE22"/>
    <mergeCell ref="AF22:AI22"/>
    <mergeCell ref="B21:C21"/>
    <mergeCell ref="D21:F21"/>
    <mergeCell ref="G21:I21"/>
    <mergeCell ref="J21:P21"/>
    <mergeCell ref="Q21:AE21"/>
    <mergeCell ref="AF21:AI21"/>
    <mergeCell ref="B20:C20"/>
    <mergeCell ref="D20:F20"/>
    <mergeCell ref="G20:I20"/>
    <mergeCell ref="J20:P20"/>
    <mergeCell ref="Q20:AE20"/>
    <mergeCell ref="AF20:AI20"/>
    <mergeCell ref="B19:C19"/>
    <mergeCell ref="D19:F19"/>
    <mergeCell ref="G19:I19"/>
    <mergeCell ref="J19:P19"/>
    <mergeCell ref="Q19:AE19"/>
    <mergeCell ref="AF19:AI19"/>
    <mergeCell ref="B18:C18"/>
    <mergeCell ref="D18:F18"/>
    <mergeCell ref="G18:I18"/>
    <mergeCell ref="J18:P18"/>
    <mergeCell ref="Q18:AE18"/>
    <mergeCell ref="AF18:AI18"/>
    <mergeCell ref="B17:C17"/>
    <mergeCell ref="D17:F17"/>
    <mergeCell ref="G17:I17"/>
    <mergeCell ref="J17:P17"/>
    <mergeCell ref="Q17:AE17"/>
    <mergeCell ref="AF17:AI17"/>
    <mergeCell ref="B16:C16"/>
    <mergeCell ref="D16:F16"/>
    <mergeCell ref="G16:I16"/>
    <mergeCell ref="J16:P16"/>
    <mergeCell ref="Q16:AE16"/>
    <mergeCell ref="AF16:AI16"/>
    <mergeCell ref="B15:C15"/>
    <mergeCell ref="D15:F15"/>
    <mergeCell ref="G15:I15"/>
    <mergeCell ref="J15:P15"/>
    <mergeCell ref="Q15:AE15"/>
    <mergeCell ref="AF15:AI15"/>
    <mergeCell ref="B14:C14"/>
    <mergeCell ref="D14:F14"/>
    <mergeCell ref="G14:I14"/>
    <mergeCell ref="J14:P14"/>
    <mergeCell ref="Q14:AE14"/>
    <mergeCell ref="AF14:AI14"/>
    <mergeCell ref="B13:C13"/>
    <mergeCell ref="D13:F13"/>
    <mergeCell ref="G13:I13"/>
    <mergeCell ref="J13:P13"/>
    <mergeCell ref="Q13:AE13"/>
    <mergeCell ref="AF13:AI13"/>
    <mergeCell ref="B12:C12"/>
    <mergeCell ref="D12:F12"/>
    <mergeCell ref="G12:I12"/>
    <mergeCell ref="J12:P12"/>
    <mergeCell ref="Q12:AE12"/>
    <mergeCell ref="AF12:AI12"/>
    <mergeCell ref="B11:C11"/>
    <mergeCell ref="D11:F11"/>
    <mergeCell ref="G11:I11"/>
    <mergeCell ref="J11:P11"/>
    <mergeCell ref="Q11:AE11"/>
    <mergeCell ref="AF11:AI11"/>
    <mergeCell ref="B10:C10"/>
    <mergeCell ref="D10:F10"/>
    <mergeCell ref="G10:I10"/>
    <mergeCell ref="J10:P10"/>
    <mergeCell ref="Q10:AE10"/>
    <mergeCell ref="AF10:AI10"/>
    <mergeCell ref="B9:C9"/>
    <mergeCell ref="D9:F9"/>
    <mergeCell ref="G9:I9"/>
    <mergeCell ref="J9:P9"/>
    <mergeCell ref="Q9:AE9"/>
    <mergeCell ref="AF9:AI9"/>
    <mergeCell ref="B8:C8"/>
    <mergeCell ref="D8:F8"/>
    <mergeCell ref="G8:I8"/>
    <mergeCell ref="J8:P8"/>
    <mergeCell ref="Q8:AE8"/>
    <mergeCell ref="AG3:AI3"/>
    <mergeCell ref="B7:C7"/>
    <mergeCell ref="D7:F7"/>
    <mergeCell ref="G7:I7"/>
    <mergeCell ref="J7:P7"/>
    <mergeCell ref="Q7:AE7"/>
    <mergeCell ref="AF7:AI7"/>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s>
  <phoneticPr fontId="2"/>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91834-7F39-4DCA-A9F3-EDD0EDB66475}">
  <sheetPr>
    <pageSetUpPr fitToPage="1"/>
  </sheetPr>
  <dimension ref="A1:R298"/>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2" width="8.58203125" style="28" customWidth="1"/>
    <col min="3" max="3" width="8.58203125" style="29" customWidth="1"/>
    <col min="4" max="5" width="8.58203125" style="28" customWidth="1"/>
    <col min="6" max="6" width="40.58203125" style="28" customWidth="1"/>
    <col min="7" max="7" width="40.58203125" style="28" customWidth="1" outlineLevel="1"/>
    <col min="8" max="9" width="15.58203125" style="28" customWidth="1"/>
    <col min="10" max="11" width="25.58203125" style="28" customWidth="1"/>
    <col min="12" max="12" width="19.25" style="28" bestFit="1" customWidth="1"/>
    <col min="13" max="13" width="12.58203125" style="28" customWidth="1"/>
    <col min="14" max="18" width="8.58203125" style="28" customWidth="1"/>
    <col min="19" max="16384" width="9" style="28"/>
  </cols>
  <sheetData>
    <row r="1" spans="1:18">
      <c r="A1" s="28" t="s">
        <v>52</v>
      </c>
    </row>
    <row r="2" spans="1:18">
      <c r="A2" s="28" t="s">
        <v>25</v>
      </c>
    </row>
    <row r="4" spans="1:18">
      <c r="A4" s="28" t="s">
        <v>69</v>
      </c>
    </row>
    <row r="5" spans="1:18">
      <c r="A5" s="28" t="s">
        <v>55</v>
      </c>
    </row>
    <row r="6" spans="1:18">
      <c r="A6" s="28" t="s">
        <v>56</v>
      </c>
      <c r="O6" s="28" t="s">
        <v>20</v>
      </c>
      <c r="Q6" s="28" t="s">
        <v>22</v>
      </c>
    </row>
    <row r="7" spans="1:18">
      <c r="A7" s="28" t="s">
        <v>70</v>
      </c>
      <c r="O7" s="28" t="s">
        <v>21</v>
      </c>
      <c r="Q7" s="28" t="s">
        <v>23</v>
      </c>
    </row>
    <row r="8" spans="1:18" ht="11.5" thickBot="1">
      <c r="A8" s="30"/>
      <c r="B8" s="30"/>
      <c r="C8" s="31"/>
      <c r="D8" s="30"/>
      <c r="E8" s="30"/>
      <c r="F8" s="30"/>
      <c r="G8" s="30"/>
      <c r="H8" s="30"/>
      <c r="I8" s="30"/>
      <c r="J8" s="30"/>
      <c r="K8" s="30"/>
      <c r="L8" s="30"/>
      <c r="M8" s="30"/>
      <c r="N8" s="30"/>
      <c r="O8" s="30"/>
      <c r="P8" s="30"/>
      <c r="Q8" s="30"/>
      <c r="R8" s="30"/>
    </row>
    <row r="9" spans="1:18" ht="12" customHeight="1" thickTop="1"/>
    <row r="10" spans="1:18" s="35" customFormat="1">
      <c r="A10" s="45" t="s">
        <v>71</v>
      </c>
      <c r="B10" s="46" t="s">
        <v>72</v>
      </c>
      <c r="C10" s="46" t="s">
        <v>73</v>
      </c>
      <c r="D10" s="46" t="s">
        <v>74</v>
      </c>
      <c r="E10" s="46" t="s">
        <v>75</v>
      </c>
      <c r="F10" s="46" t="s">
        <v>76</v>
      </c>
      <c r="G10" s="46" t="s">
        <v>77</v>
      </c>
      <c r="H10" s="46" t="s">
        <v>78</v>
      </c>
      <c r="I10" s="46" t="s">
        <v>79</v>
      </c>
      <c r="J10" s="47" t="s">
        <v>2</v>
      </c>
      <c r="K10" s="48" t="s">
        <v>3</v>
      </c>
      <c r="L10" s="49" t="s">
        <v>80</v>
      </c>
      <c r="M10" s="49" t="s">
        <v>14</v>
      </c>
      <c r="N10" s="50" t="s">
        <v>5</v>
      </c>
      <c r="O10" s="50" t="s">
        <v>15</v>
      </c>
      <c r="P10" s="50" t="s">
        <v>6</v>
      </c>
      <c r="Q10" s="50" t="s">
        <v>7</v>
      </c>
      <c r="R10" s="51" t="s">
        <v>8</v>
      </c>
    </row>
    <row r="11" spans="1:18" ht="22">
      <c r="A11" s="52"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53" t="s">
        <v>81</v>
      </c>
      <c r="C11" s="54" t="s">
        <v>82</v>
      </c>
      <c r="D11" s="55" t="s">
        <v>83</v>
      </c>
      <c r="E11" s="54" t="s">
        <v>84</v>
      </c>
      <c r="F11" s="54" t="s">
        <v>85</v>
      </c>
      <c r="G11" s="56" t="s">
        <v>86</v>
      </c>
      <c r="H11" s="57"/>
      <c r="I11" s="57"/>
      <c r="J11" s="57"/>
      <c r="K11" s="57"/>
      <c r="L11" s="58"/>
      <c r="M11" s="58"/>
      <c r="N11" s="59"/>
      <c r="O11" s="60"/>
      <c r="P11" s="60"/>
      <c r="Q11" s="59"/>
      <c r="R11" s="61"/>
    </row>
    <row r="12" spans="1:18" ht="22">
      <c r="A12" s="52"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62"/>
      <c r="C12" s="62"/>
      <c r="D12" s="55"/>
      <c r="E12" s="54" t="s">
        <v>87</v>
      </c>
      <c r="F12" s="54" t="s">
        <v>88</v>
      </c>
      <c r="G12" s="56" t="s">
        <v>86</v>
      </c>
      <c r="H12" s="63"/>
      <c r="I12" s="63"/>
      <c r="J12" s="63"/>
      <c r="K12" s="63"/>
      <c r="L12" s="64"/>
      <c r="M12" s="64"/>
      <c r="N12" s="65"/>
      <c r="O12" s="66"/>
      <c r="P12" s="66"/>
      <c r="Q12" s="65"/>
      <c r="R12" s="67"/>
    </row>
    <row r="13" spans="1:18" s="35" customFormat="1" ht="33">
      <c r="A13" s="52"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62"/>
      <c r="C13" s="62"/>
      <c r="D13" s="54" t="s">
        <v>89</v>
      </c>
      <c r="E13" s="54" t="s">
        <v>90</v>
      </c>
      <c r="F13" s="54" t="s">
        <v>91</v>
      </c>
      <c r="G13" s="56" t="s">
        <v>86</v>
      </c>
      <c r="H13" s="63"/>
      <c r="I13" s="63"/>
      <c r="J13" s="63"/>
      <c r="K13" s="63"/>
      <c r="L13" s="64"/>
      <c r="M13" s="64"/>
      <c r="N13" s="67"/>
      <c r="O13" s="66"/>
      <c r="P13" s="67"/>
      <c r="Q13" s="66"/>
      <c r="R13" s="65"/>
    </row>
    <row r="14" spans="1:18" s="35" customFormat="1" ht="22">
      <c r="A14" s="52"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62"/>
      <c r="C14" s="62"/>
      <c r="D14" s="55"/>
      <c r="E14" s="55"/>
      <c r="F14" s="54" t="s">
        <v>92</v>
      </c>
      <c r="G14" s="56" t="s">
        <v>86</v>
      </c>
      <c r="H14" s="63"/>
      <c r="I14" s="63"/>
      <c r="J14" s="63"/>
      <c r="K14" s="63"/>
      <c r="L14" s="64"/>
      <c r="M14" s="64"/>
      <c r="N14" s="67"/>
      <c r="O14" s="66"/>
      <c r="P14" s="67"/>
      <c r="Q14" s="66"/>
      <c r="R14" s="65"/>
    </row>
    <row r="15" spans="1:18" s="35" customFormat="1" ht="22">
      <c r="A15" s="52"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62"/>
      <c r="C15" s="62"/>
      <c r="D15" s="55"/>
      <c r="E15" s="55"/>
      <c r="F15" s="56" t="s">
        <v>93</v>
      </c>
      <c r="G15" s="56" t="s">
        <v>86</v>
      </c>
      <c r="H15" s="63"/>
      <c r="I15" s="68"/>
      <c r="J15" s="63"/>
      <c r="K15" s="63"/>
      <c r="L15" s="64"/>
      <c r="M15" s="64"/>
      <c r="N15" s="65"/>
      <c r="O15" s="65"/>
      <c r="P15" s="67"/>
      <c r="Q15" s="66"/>
      <c r="R15" s="65"/>
    </row>
    <row r="16" spans="1:18" s="35" customFormat="1" ht="22">
      <c r="A16" s="52"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62"/>
      <c r="C16" s="62"/>
      <c r="D16" s="55"/>
      <c r="E16" s="55"/>
      <c r="F16" s="56" t="s">
        <v>94</v>
      </c>
      <c r="G16" s="56" t="s">
        <v>86</v>
      </c>
      <c r="H16" s="63"/>
      <c r="I16" s="68"/>
      <c r="J16" s="63"/>
      <c r="K16" s="63"/>
      <c r="L16" s="64"/>
      <c r="M16" s="64"/>
      <c r="N16" s="65"/>
      <c r="O16" s="67"/>
      <c r="P16" s="66"/>
      <c r="Q16" s="65"/>
      <c r="R16" s="67"/>
    </row>
    <row r="17" spans="1:18" s="35" customFormat="1" ht="33">
      <c r="A17" s="52"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62"/>
      <c r="C17" s="62"/>
      <c r="D17" s="69"/>
      <c r="E17" s="70"/>
      <c r="F17" s="56" t="s">
        <v>95</v>
      </c>
      <c r="G17" s="56" t="s">
        <v>86</v>
      </c>
      <c r="H17" s="63"/>
      <c r="I17" s="68"/>
      <c r="J17" s="63"/>
      <c r="K17" s="71"/>
      <c r="L17" s="64"/>
      <c r="M17" s="64"/>
      <c r="N17" s="65"/>
      <c r="O17" s="67"/>
      <c r="P17" s="66"/>
      <c r="Q17" s="65"/>
      <c r="R17" s="67"/>
    </row>
    <row r="18" spans="1:18" ht="22">
      <c r="A18" s="52"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62"/>
      <c r="C18" s="62"/>
      <c r="D18" s="72" t="s">
        <v>96</v>
      </c>
      <c r="E18" s="55" t="s">
        <v>97</v>
      </c>
      <c r="F18" s="54" t="s">
        <v>98</v>
      </c>
      <c r="G18" s="56" t="s">
        <v>86</v>
      </c>
      <c r="H18" s="63"/>
      <c r="I18" s="63"/>
      <c r="J18" s="63"/>
      <c r="K18" s="63"/>
      <c r="L18" s="64"/>
      <c r="M18" s="64"/>
      <c r="N18" s="65"/>
      <c r="O18" s="67"/>
      <c r="P18" s="66"/>
      <c r="Q18" s="65"/>
      <c r="R18" s="67"/>
    </row>
    <row r="19" spans="1:18" ht="22">
      <c r="A19" s="52"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62"/>
      <c r="C19" s="62"/>
      <c r="D19" s="72"/>
      <c r="E19" s="55"/>
      <c r="F19" s="54" t="s">
        <v>99</v>
      </c>
      <c r="G19" s="56" t="s">
        <v>86</v>
      </c>
      <c r="H19" s="63"/>
      <c r="I19" s="63"/>
      <c r="J19" s="63"/>
      <c r="K19" s="63"/>
      <c r="L19" s="64"/>
      <c r="M19" s="64"/>
      <c r="N19" s="65"/>
      <c r="O19" s="67"/>
      <c r="P19" s="66"/>
      <c r="Q19" s="65"/>
      <c r="R19" s="67"/>
    </row>
    <row r="20" spans="1:18" ht="22">
      <c r="A20" s="52"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62"/>
      <c r="C20" s="62"/>
      <c r="D20" s="72"/>
      <c r="E20" s="70"/>
      <c r="F20" s="56" t="s">
        <v>100</v>
      </c>
      <c r="G20" s="56" t="s">
        <v>86</v>
      </c>
      <c r="H20" s="63"/>
      <c r="I20" s="68"/>
      <c r="J20" s="63"/>
      <c r="K20" s="63"/>
      <c r="L20" s="64"/>
      <c r="M20" s="64"/>
      <c r="N20" s="65"/>
      <c r="O20" s="67"/>
      <c r="P20" s="66"/>
      <c r="Q20" s="65"/>
      <c r="R20" s="67"/>
    </row>
    <row r="21" spans="1:18" ht="22">
      <c r="A21" s="52"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62"/>
      <c r="C21" s="62"/>
      <c r="D21" s="72"/>
      <c r="E21" s="55" t="s">
        <v>101</v>
      </c>
      <c r="F21" s="54" t="s">
        <v>102</v>
      </c>
      <c r="G21" s="56" t="s">
        <v>86</v>
      </c>
      <c r="H21" s="63"/>
      <c r="I21" s="63"/>
      <c r="J21" s="63"/>
      <c r="K21" s="63"/>
      <c r="L21" s="64"/>
      <c r="M21" s="64"/>
      <c r="N21" s="67"/>
      <c r="O21" s="66"/>
      <c r="P21" s="67"/>
      <c r="Q21" s="65"/>
      <c r="R21" s="67"/>
    </row>
    <row r="22" spans="1:18" ht="22">
      <c r="A22" s="52"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62"/>
      <c r="C22" s="62"/>
      <c r="D22" s="72"/>
      <c r="E22" s="55"/>
      <c r="F22" s="54" t="s">
        <v>103</v>
      </c>
      <c r="G22" s="56" t="s">
        <v>86</v>
      </c>
      <c r="H22" s="63"/>
      <c r="I22" s="63"/>
      <c r="J22" s="63"/>
      <c r="K22" s="63"/>
      <c r="L22" s="64"/>
      <c r="M22" s="64"/>
      <c r="N22" s="67"/>
      <c r="O22" s="66"/>
      <c r="P22" s="67"/>
      <c r="Q22" s="65"/>
      <c r="R22" s="67"/>
    </row>
    <row r="23" spans="1:18" ht="22">
      <c r="A23" s="52"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62"/>
      <c r="C23" s="62"/>
      <c r="D23" s="72"/>
      <c r="E23" s="55"/>
      <c r="F23" s="54" t="s">
        <v>104</v>
      </c>
      <c r="G23" s="56" t="s">
        <v>86</v>
      </c>
      <c r="H23" s="63"/>
      <c r="I23" s="63"/>
      <c r="J23" s="63"/>
      <c r="K23" s="63"/>
      <c r="L23" s="64"/>
      <c r="M23" s="64"/>
      <c r="N23" s="67"/>
      <c r="O23" s="66"/>
      <c r="P23" s="67"/>
      <c r="Q23" s="65"/>
      <c r="R23" s="67"/>
    </row>
    <row r="24" spans="1:18" ht="22">
      <c r="A24" s="52"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62"/>
      <c r="C24" s="62"/>
      <c r="D24" s="69"/>
      <c r="E24" s="70"/>
      <c r="F24" s="54" t="s">
        <v>105</v>
      </c>
      <c r="G24" s="56" t="s">
        <v>86</v>
      </c>
      <c r="H24" s="63"/>
      <c r="I24" s="63"/>
      <c r="J24" s="63"/>
      <c r="K24" s="63"/>
      <c r="L24" s="64"/>
      <c r="M24" s="64"/>
      <c r="N24" s="67"/>
      <c r="O24" s="66"/>
      <c r="P24" s="67"/>
      <c r="Q24" s="65"/>
      <c r="R24" s="67"/>
    </row>
    <row r="25" spans="1:18" s="35" customFormat="1" ht="22">
      <c r="A25" s="52"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62"/>
      <c r="C25" s="62"/>
      <c r="D25" s="72" t="s">
        <v>106</v>
      </c>
      <c r="E25" s="72" t="s">
        <v>90</v>
      </c>
      <c r="F25" s="54" t="s">
        <v>107</v>
      </c>
      <c r="G25" s="56" t="s">
        <v>86</v>
      </c>
      <c r="H25" s="63"/>
      <c r="I25" s="63"/>
      <c r="J25" s="63"/>
      <c r="K25" s="63"/>
      <c r="L25" s="64"/>
      <c r="M25" s="64"/>
      <c r="N25" s="67"/>
      <c r="O25" s="66"/>
      <c r="P25" s="67"/>
      <c r="Q25" s="66"/>
      <c r="R25" s="65"/>
    </row>
    <row r="26" spans="1:18" s="35" customFormat="1">
      <c r="A26" s="52"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62"/>
      <c r="C26" s="62"/>
      <c r="D26" s="72"/>
      <c r="E26" s="55"/>
      <c r="F26" s="54" t="s">
        <v>108</v>
      </c>
      <c r="G26" s="56" t="s">
        <v>86</v>
      </c>
      <c r="H26" s="63"/>
      <c r="I26" s="63"/>
      <c r="J26" s="63"/>
      <c r="K26" s="63"/>
      <c r="L26" s="64"/>
      <c r="M26" s="64"/>
      <c r="N26" s="65"/>
      <c r="O26" s="65"/>
      <c r="P26" s="67"/>
      <c r="Q26" s="66"/>
      <c r="R26" s="65"/>
    </row>
    <row r="27" spans="1:18" s="35" customFormat="1" ht="33">
      <c r="A27" s="52"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62"/>
      <c r="C27" s="62"/>
      <c r="D27" s="73" t="s">
        <v>109</v>
      </c>
      <c r="E27" s="54" t="s">
        <v>110</v>
      </c>
      <c r="F27" s="54" t="s">
        <v>111</v>
      </c>
      <c r="G27" s="56" t="s">
        <v>86</v>
      </c>
      <c r="H27" s="63"/>
      <c r="I27" s="63"/>
      <c r="J27" s="63"/>
      <c r="K27" s="63"/>
      <c r="L27" s="64"/>
      <c r="M27" s="64"/>
      <c r="N27" s="67"/>
      <c r="O27" s="66"/>
      <c r="P27" s="67"/>
      <c r="Q27" s="66"/>
      <c r="R27" s="65"/>
    </row>
    <row r="28" spans="1:18" s="35" customFormat="1" ht="22">
      <c r="A28" s="52"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62"/>
      <c r="C28" s="62"/>
      <c r="D28" s="72"/>
      <c r="E28" s="55"/>
      <c r="F28" s="54" t="s">
        <v>112</v>
      </c>
      <c r="G28" s="56" t="s">
        <v>86</v>
      </c>
      <c r="H28" s="63"/>
      <c r="I28" s="63"/>
      <c r="J28" s="63"/>
      <c r="K28" s="63"/>
      <c r="L28" s="64"/>
      <c r="M28" s="64"/>
      <c r="N28" s="65"/>
      <c r="O28" s="65"/>
      <c r="P28" s="67"/>
      <c r="Q28" s="66"/>
      <c r="R28" s="65"/>
    </row>
    <row r="29" spans="1:18" ht="22">
      <c r="A29" s="52"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62"/>
      <c r="C29" s="62"/>
      <c r="D29" s="55"/>
      <c r="E29" s="54" t="s">
        <v>113</v>
      </c>
      <c r="F29" s="54" t="s">
        <v>114</v>
      </c>
      <c r="G29" s="56" t="s">
        <v>86</v>
      </c>
      <c r="H29" s="63"/>
      <c r="I29" s="63"/>
      <c r="J29" s="63"/>
      <c r="K29" s="63"/>
      <c r="L29" s="64"/>
      <c r="M29" s="64"/>
      <c r="N29" s="67"/>
      <c r="O29" s="66"/>
      <c r="P29" s="67"/>
      <c r="Q29" s="67"/>
      <c r="R29" s="67"/>
    </row>
    <row r="30" spans="1:18" ht="22">
      <c r="A30" s="52"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62"/>
      <c r="C30" s="62"/>
      <c r="D30" s="72"/>
      <c r="E30" s="55"/>
      <c r="F30" s="54" t="s">
        <v>115</v>
      </c>
      <c r="G30" s="56" t="s">
        <v>86</v>
      </c>
      <c r="H30" s="63"/>
      <c r="I30" s="63"/>
      <c r="J30" s="63"/>
      <c r="K30" s="63"/>
      <c r="L30" s="64"/>
      <c r="M30" s="64"/>
      <c r="N30" s="67"/>
      <c r="O30" s="67"/>
      <c r="P30" s="67"/>
      <c r="Q30" s="67"/>
      <c r="R30" s="67"/>
    </row>
    <row r="31" spans="1:18" ht="22">
      <c r="A31" s="52"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62"/>
      <c r="C31" s="62"/>
      <c r="D31" s="72"/>
      <c r="E31" s="55"/>
      <c r="F31" s="54" t="s">
        <v>116</v>
      </c>
      <c r="G31" s="56" t="s">
        <v>86</v>
      </c>
      <c r="H31" s="63"/>
      <c r="I31" s="63"/>
      <c r="J31" s="63"/>
      <c r="K31" s="63"/>
      <c r="L31" s="64"/>
      <c r="M31" s="64"/>
      <c r="N31" s="67"/>
      <c r="O31" s="66"/>
      <c r="P31" s="67"/>
      <c r="Q31" s="67"/>
      <c r="R31" s="67"/>
    </row>
    <row r="32" spans="1:18" ht="22">
      <c r="A32" s="52"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62"/>
      <c r="C32" s="62"/>
      <c r="D32" s="72"/>
      <c r="E32" s="55"/>
      <c r="F32" s="54" t="s">
        <v>117</v>
      </c>
      <c r="G32" s="56" t="s">
        <v>86</v>
      </c>
      <c r="H32" s="63"/>
      <c r="I32" s="63"/>
      <c r="J32" s="63"/>
      <c r="K32" s="63"/>
      <c r="L32" s="64"/>
      <c r="M32" s="64"/>
      <c r="N32" s="67"/>
      <c r="O32" s="67"/>
      <c r="P32" s="67"/>
      <c r="Q32" s="67"/>
      <c r="R32" s="67"/>
    </row>
    <row r="33" spans="1:18" ht="22">
      <c r="A33" s="52"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62"/>
      <c r="C33" s="62"/>
      <c r="D33" s="72"/>
      <c r="E33" s="54" t="s">
        <v>118</v>
      </c>
      <c r="F33" s="56" t="s">
        <v>119</v>
      </c>
      <c r="G33" s="56" t="s">
        <v>86</v>
      </c>
      <c r="H33" s="63"/>
      <c r="I33" s="68"/>
      <c r="J33" s="63"/>
      <c r="K33" s="63"/>
      <c r="L33" s="64"/>
      <c r="M33" s="64"/>
      <c r="N33" s="67"/>
      <c r="O33" s="67"/>
      <c r="P33" s="67"/>
      <c r="Q33" s="67"/>
      <c r="R33" s="67"/>
    </row>
    <row r="34" spans="1:18" ht="22">
      <c r="A34" s="52"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62"/>
      <c r="C34" s="62"/>
      <c r="D34" s="72"/>
      <c r="E34" s="70"/>
      <c r="F34" s="56" t="s">
        <v>120</v>
      </c>
      <c r="G34" s="56" t="s">
        <v>86</v>
      </c>
      <c r="H34" s="63"/>
      <c r="I34" s="68"/>
      <c r="J34" s="63"/>
      <c r="K34" s="63"/>
      <c r="L34" s="64"/>
      <c r="M34" s="64"/>
      <c r="N34" s="67"/>
      <c r="O34" s="67"/>
      <c r="P34" s="67"/>
      <c r="Q34" s="67"/>
      <c r="R34" s="67"/>
    </row>
    <row r="35" spans="1:18" ht="44">
      <c r="A35" s="52"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62"/>
      <c r="C35" s="74"/>
      <c r="D35" s="55"/>
      <c r="E35" s="54" t="s">
        <v>121</v>
      </c>
      <c r="F35" s="54" t="s">
        <v>122</v>
      </c>
      <c r="G35" s="56" t="s">
        <v>86</v>
      </c>
      <c r="H35" s="68"/>
      <c r="I35" s="68"/>
      <c r="J35" s="68"/>
      <c r="K35" s="63"/>
      <c r="L35" s="64"/>
      <c r="M35" s="64"/>
      <c r="N35" s="67"/>
      <c r="O35" s="66"/>
      <c r="P35" s="67"/>
      <c r="Q35" s="67"/>
      <c r="R35" s="67"/>
    </row>
    <row r="36" spans="1:18" ht="33">
      <c r="A36" s="52"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62"/>
      <c r="C36" s="73" t="s">
        <v>123</v>
      </c>
      <c r="D36" s="73" t="s">
        <v>124</v>
      </c>
      <c r="E36" s="54" t="s">
        <v>124</v>
      </c>
      <c r="F36" s="56" t="s">
        <v>125</v>
      </c>
      <c r="G36" s="56" t="s">
        <v>86</v>
      </c>
      <c r="H36" s="56"/>
      <c r="I36" s="56"/>
      <c r="J36" s="57"/>
      <c r="K36" s="75"/>
      <c r="L36" s="58"/>
      <c r="M36" s="58"/>
      <c r="N36" s="61"/>
      <c r="O36" s="61"/>
      <c r="P36" s="61"/>
      <c r="Q36" s="61"/>
      <c r="R36" s="61"/>
    </row>
    <row r="37" spans="1:18" ht="33">
      <c r="A37" s="52"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62"/>
      <c r="C37" s="62"/>
      <c r="D37" s="72"/>
      <c r="E37" s="55"/>
      <c r="F37" s="56" t="s">
        <v>126</v>
      </c>
      <c r="G37" s="56" t="s">
        <v>86</v>
      </c>
      <c r="H37" s="56"/>
      <c r="I37" s="56"/>
      <c r="J37" s="57"/>
      <c r="K37" s="75"/>
      <c r="L37" s="58"/>
      <c r="M37" s="58"/>
      <c r="N37" s="61"/>
      <c r="O37" s="61"/>
      <c r="P37" s="61"/>
      <c r="Q37" s="61"/>
      <c r="R37" s="61"/>
    </row>
    <row r="38" spans="1:18" ht="22">
      <c r="A38" s="52"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62"/>
      <c r="C38" s="62"/>
      <c r="D38" s="72"/>
      <c r="E38" s="55"/>
      <c r="F38" s="54" t="s">
        <v>127</v>
      </c>
      <c r="G38" s="56" t="s">
        <v>86</v>
      </c>
      <c r="H38" s="56"/>
      <c r="I38" s="57"/>
      <c r="J38" s="57"/>
      <c r="K38" s="57"/>
      <c r="L38" s="58"/>
      <c r="M38" s="58"/>
      <c r="N38" s="61"/>
      <c r="O38" s="60"/>
      <c r="P38" s="61"/>
      <c r="Q38" s="61"/>
      <c r="R38" s="61"/>
    </row>
    <row r="39" spans="1:18" s="35" customFormat="1" ht="22">
      <c r="A39" s="52"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62"/>
      <c r="C39" s="62"/>
      <c r="D39" s="69"/>
      <c r="E39" s="70"/>
      <c r="F39" s="76" t="s">
        <v>128</v>
      </c>
      <c r="G39" s="56" t="s">
        <v>86</v>
      </c>
      <c r="H39" s="56"/>
      <c r="I39" s="57"/>
      <c r="J39" s="57"/>
      <c r="K39" s="57"/>
      <c r="L39" s="58"/>
      <c r="M39" s="58"/>
      <c r="N39" s="59"/>
      <c r="O39" s="60"/>
      <c r="P39" s="60"/>
      <c r="Q39" s="59"/>
      <c r="R39" s="61"/>
    </row>
    <row r="40" spans="1:18" s="35" customFormat="1" ht="33">
      <c r="A40" s="52"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62"/>
      <c r="C40" s="62"/>
      <c r="D40" s="72" t="s">
        <v>129</v>
      </c>
      <c r="E40" s="55" t="s">
        <v>90</v>
      </c>
      <c r="F40" s="56" t="s">
        <v>130</v>
      </c>
      <c r="G40" s="56" t="s">
        <v>86</v>
      </c>
      <c r="H40" s="56"/>
      <c r="I40" s="56"/>
      <c r="J40" s="57"/>
      <c r="K40" s="77"/>
      <c r="L40" s="58"/>
      <c r="M40" s="58"/>
      <c r="N40" s="59"/>
      <c r="O40" s="61"/>
      <c r="P40" s="60"/>
      <c r="Q40" s="59"/>
      <c r="R40" s="61"/>
    </row>
    <row r="41" spans="1:18" s="35" customFormat="1">
      <c r="A41" s="52"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78"/>
      <c r="C41" s="78"/>
      <c r="D41" s="69"/>
      <c r="E41" s="70"/>
      <c r="F41" s="56" t="s">
        <v>131</v>
      </c>
      <c r="G41" s="56" t="s">
        <v>86</v>
      </c>
      <c r="H41" s="56"/>
      <c r="I41" s="56"/>
      <c r="J41" s="57"/>
      <c r="K41" s="61"/>
      <c r="L41" s="58"/>
      <c r="M41" s="58"/>
      <c r="N41" s="59"/>
      <c r="O41" s="61"/>
      <c r="P41" s="60"/>
      <c r="Q41" s="59"/>
      <c r="R41" s="61"/>
    </row>
    <row r="42" spans="1:18" s="35" customFormat="1" ht="22">
      <c r="A42" s="52"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79" t="s">
        <v>132</v>
      </c>
      <c r="C42" s="80" t="s">
        <v>133</v>
      </c>
      <c r="D42" s="143" t="s">
        <v>134</v>
      </c>
      <c r="E42" s="143" t="s">
        <v>135</v>
      </c>
      <c r="F42" s="144" t="s">
        <v>136</v>
      </c>
      <c r="G42" s="144"/>
      <c r="H42" s="36" t="s">
        <v>178</v>
      </c>
      <c r="I42" s="36" t="s">
        <v>533</v>
      </c>
      <c r="J42" s="145" t="s">
        <v>538</v>
      </c>
      <c r="K42" s="146" t="s">
        <v>536</v>
      </c>
      <c r="L42" s="147" t="s">
        <v>532</v>
      </c>
      <c r="M42" s="147" t="s">
        <v>167</v>
      </c>
      <c r="N42" s="148"/>
      <c r="O42" s="149"/>
      <c r="P42" s="148"/>
      <c r="Q42" s="150"/>
      <c r="R42" s="148"/>
    </row>
    <row r="43" spans="1:18" s="35" customFormat="1" ht="22">
      <c r="A43" s="52"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82"/>
      <c r="C43" s="83"/>
      <c r="D43" s="151"/>
      <c r="E43" s="151"/>
      <c r="F43" s="152" t="s">
        <v>138</v>
      </c>
      <c r="G43" s="144"/>
      <c r="H43" s="36" t="s">
        <v>178</v>
      </c>
      <c r="I43" s="36" t="s">
        <v>533</v>
      </c>
      <c r="J43" s="145" t="s">
        <v>539</v>
      </c>
      <c r="K43" s="146" t="s">
        <v>537</v>
      </c>
      <c r="L43" s="147" t="s">
        <v>532</v>
      </c>
      <c r="M43" s="147" t="s">
        <v>169</v>
      </c>
      <c r="N43" s="148"/>
      <c r="O43" s="149"/>
      <c r="P43" s="148"/>
      <c r="Q43" s="150"/>
      <c r="R43" s="148"/>
    </row>
    <row r="44" spans="1:18" s="35" customFormat="1" ht="33">
      <c r="A44" s="52"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82"/>
      <c r="C44" s="83"/>
      <c r="D44" s="84"/>
      <c r="E44" s="86"/>
      <c r="F44" s="68" t="s">
        <v>139</v>
      </c>
      <c r="G44" s="56" t="s">
        <v>183</v>
      </c>
      <c r="H44" s="68"/>
      <c r="I44" s="68"/>
      <c r="J44" s="81"/>
      <c r="K44" s="81"/>
      <c r="L44" s="64"/>
      <c r="M44" s="64"/>
      <c r="N44" s="65"/>
      <c r="O44" s="67"/>
      <c r="P44" s="66"/>
      <c r="Q44" s="65"/>
      <c r="R44" s="67"/>
    </row>
    <row r="45" spans="1:18" s="35" customFormat="1" ht="22">
      <c r="A45" s="52"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82"/>
      <c r="C45" s="83"/>
      <c r="D45" s="84"/>
      <c r="E45" s="84" t="s">
        <v>140</v>
      </c>
      <c r="F45" s="68" t="s">
        <v>141</v>
      </c>
      <c r="G45" s="56" t="s">
        <v>183</v>
      </c>
      <c r="H45" s="68"/>
      <c r="I45" s="68"/>
      <c r="J45" s="81"/>
      <c r="K45" s="71"/>
      <c r="L45" s="64"/>
      <c r="M45" s="64"/>
      <c r="N45" s="65"/>
      <c r="O45" s="67"/>
      <c r="P45" s="66"/>
      <c r="Q45" s="65"/>
      <c r="R45" s="67"/>
    </row>
    <row r="46" spans="1:18" s="35" customFormat="1" ht="22">
      <c r="A46" s="52"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82"/>
      <c r="C46" s="83"/>
      <c r="D46" s="84"/>
      <c r="E46" s="84"/>
      <c r="F46" s="68" t="s">
        <v>142</v>
      </c>
      <c r="G46" s="56" t="s">
        <v>183</v>
      </c>
      <c r="H46" s="68"/>
      <c r="I46" s="68"/>
      <c r="J46" s="81"/>
      <c r="K46" s="71"/>
      <c r="L46" s="64"/>
      <c r="M46" s="64"/>
      <c r="N46" s="65"/>
      <c r="O46" s="67"/>
      <c r="P46" s="66"/>
      <c r="Q46" s="65"/>
      <c r="R46" s="67"/>
    </row>
    <row r="47" spans="1:18" s="35" customFormat="1" ht="33">
      <c r="A47" s="52"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82"/>
      <c r="C47" s="83"/>
      <c r="D47" s="84"/>
      <c r="E47" s="86"/>
      <c r="F47" s="68" t="s">
        <v>139</v>
      </c>
      <c r="G47" s="56" t="s">
        <v>183</v>
      </c>
      <c r="H47" s="68"/>
      <c r="I47" s="68"/>
      <c r="J47" s="81"/>
      <c r="K47" s="71"/>
      <c r="L47" s="64"/>
      <c r="M47" s="64"/>
      <c r="N47" s="65"/>
      <c r="O47" s="67"/>
      <c r="P47" s="66"/>
      <c r="Q47" s="65"/>
      <c r="R47" s="67"/>
    </row>
    <row r="48" spans="1:18" s="35" customFormat="1" ht="22">
      <c r="A48" s="52"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82"/>
      <c r="C48" s="83"/>
      <c r="D48" s="84"/>
      <c r="E48" s="84" t="s">
        <v>143</v>
      </c>
      <c r="F48" s="85" t="s">
        <v>144</v>
      </c>
      <c r="G48" s="56" t="s">
        <v>183</v>
      </c>
      <c r="H48" s="68"/>
      <c r="I48" s="68"/>
      <c r="J48" s="81"/>
      <c r="K48" s="71"/>
      <c r="L48" s="64"/>
      <c r="M48" s="64"/>
      <c r="N48" s="67"/>
      <c r="O48" s="66"/>
      <c r="P48" s="67"/>
      <c r="Q48" s="65"/>
      <c r="R48" s="67"/>
    </row>
    <row r="49" spans="1:18" s="35" customFormat="1" ht="22">
      <c r="A49" s="52"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82"/>
      <c r="C49" s="83"/>
      <c r="D49" s="84"/>
      <c r="E49" s="84"/>
      <c r="F49" s="85" t="s">
        <v>145</v>
      </c>
      <c r="G49" s="56" t="s">
        <v>183</v>
      </c>
      <c r="H49" s="68"/>
      <c r="I49" s="68"/>
      <c r="J49" s="81"/>
      <c r="K49" s="71"/>
      <c r="L49" s="64"/>
      <c r="M49" s="64"/>
      <c r="N49" s="67"/>
      <c r="O49" s="66"/>
      <c r="P49" s="67"/>
      <c r="Q49" s="65"/>
      <c r="R49" s="67"/>
    </row>
    <row r="50" spans="1:18" s="35" customFormat="1" ht="22">
      <c r="A50" s="52"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82"/>
      <c r="C50" s="83"/>
      <c r="D50" s="84"/>
      <c r="E50" s="85" t="s">
        <v>146</v>
      </c>
      <c r="F50" s="68" t="s">
        <v>147</v>
      </c>
      <c r="G50" s="56" t="s">
        <v>183</v>
      </c>
      <c r="H50" s="68"/>
      <c r="I50" s="68"/>
      <c r="J50" s="81"/>
      <c r="K50" s="71"/>
      <c r="L50" s="64"/>
      <c r="M50" s="64"/>
      <c r="N50" s="65"/>
      <c r="O50" s="67"/>
      <c r="P50" s="66"/>
      <c r="Q50" s="65"/>
      <c r="R50" s="67"/>
    </row>
    <row r="51" spans="1:18" s="35" customFormat="1" ht="22">
      <c r="A51" s="52"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82"/>
      <c r="C51" s="83"/>
      <c r="D51" s="84"/>
      <c r="E51" s="84"/>
      <c r="F51" s="68" t="s">
        <v>148</v>
      </c>
      <c r="G51" s="56" t="s">
        <v>183</v>
      </c>
      <c r="H51" s="68"/>
      <c r="I51" s="68"/>
      <c r="J51" s="81"/>
      <c r="K51" s="71"/>
      <c r="L51" s="64"/>
      <c r="M51" s="64"/>
      <c r="N51" s="65"/>
      <c r="O51" s="67"/>
      <c r="P51" s="66"/>
      <c r="Q51" s="65"/>
      <c r="R51" s="67"/>
    </row>
    <row r="52" spans="1:18" s="35" customFormat="1" ht="22">
      <c r="A52" s="52"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82"/>
      <c r="C52" s="83"/>
      <c r="D52" s="84"/>
      <c r="E52" s="84"/>
      <c r="F52" s="68" t="s">
        <v>149</v>
      </c>
      <c r="G52" s="56" t="s">
        <v>183</v>
      </c>
      <c r="H52" s="68"/>
      <c r="I52" s="68"/>
      <c r="J52" s="81"/>
      <c r="K52" s="71"/>
      <c r="L52" s="64"/>
      <c r="M52" s="64"/>
      <c r="N52" s="65"/>
      <c r="O52" s="67"/>
      <c r="P52" s="66"/>
      <c r="Q52" s="65"/>
      <c r="R52" s="67"/>
    </row>
    <row r="53" spans="1:18" s="35" customFormat="1" ht="22">
      <c r="A53" s="52"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82"/>
      <c r="C53" s="83"/>
      <c r="D53" s="84"/>
      <c r="E53" s="84"/>
      <c r="F53" s="68" t="s">
        <v>150</v>
      </c>
      <c r="G53" s="56" t="s">
        <v>183</v>
      </c>
      <c r="H53" s="68"/>
      <c r="I53" s="68"/>
      <c r="J53" s="81"/>
      <c r="K53" s="71"/>
      <c r="L53" s="64"/>
      <c r="M53" s="64"/>
      <c r="N53" s="65"/>
      <c r="O53" s="67"/>
      <c r="P53" s="66"/>
      <c r="Q53" s="65"/>
      <c r="R53" s="67"/>
    </row>
    <row r="54" spans="1:18" s="35" customFormat="1" ht="22">
      <c r="A54" s="52"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82"/>
      <c r="C54" s="83"/>
      <c r="D54" s="84"/>
      <c r="E54" s="84"/>
      <c r="F54" s="68" t="s">
        <v>151</v>
      </c>
      <c r="G54" s="56" t="s">
        <v>183</v>
      </c>
      <c r="H54" s="68"/>
      <c r="I54" s="68"/>
      <c r="J54" s="81"/>
      <c r="K54" s="71"/>
      <c r="L54" s="64"/>
      <c r="M54" s="64"/>
      <c r="N54" s="65"/>
      <c r="O54" s="67"/>
      <c r="P54" s="66"/>
      <c r="Q54" s="65"/>
      <c r="R54" s="67"/>
    </row>
    <row r="55" spans="1:18" s="35" customFormat="1" ht="22">
      <c r="A55" s="52"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82"/>
      <c r="C55" s="83"/>
      <c r="D55" s="84"/>
      <c r="E55" s="86"/>
      <c r="F55" s="68" t="s">
        <v>152</v>
      </c>
      <c r="G55" s="56" t="s">
        <v>183</v>
      </c>
      <c r="H55" s="68"/>
      <c r="I55" s="68"/>
      <c r="J55" s="81"/>
      <c r="K55" s="71"/>
      <c r="L55" s="64"/>
      <c r="M55" s="64"/>
      <c r="N55" s="65"/>
      <c r="O55" s="67"/>
      <c r="P55" s="66"/>
      <c r="Q55" s="65"/>
      <c r="R55" s="67"/>
    </row>
    <row r="56" spans="1:18" s="35" customFormat="1" ht="33">
      <c r="A56" s="52"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82"/>
      <c r="C56" s="83"/>
      <c r="D56" s="84"/>
      <c r="E56" s="86" t="s">
        <v>153</v>
      </c>
      <c r="F56" s="68" t="s">
        <v>154</v>
      </c>
      <c r="G56" s="56" t="s">
        <v>183</v>
      </c>
      <c r="H56" s="68"/>
      <c r="I56" s="68"/>
      <c r="J56" s="81"/>
      <c r="K56" s="71"/>
      <c r="L56" s="64"/>
      <c r="M56" s="64"/>
      <c r="N56" s="65"/>
      <c r="O56" s="67"/>
      <c r="P56" s="66"/>
      <c r="Q56" s="65"/>
      <c r="R56" s="67"/>
    </row>
    <row r="57" spans="1:18" s="35" customFormat="1" ht="22">
      <c r="A57" s="52"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82"/>
      <c r="C57" s="83"/>
      <c r="D57" s="84"/>
      <c r="E57" s="86" t="s">
        <v>155</v>
      </c>
      <c r="F57" s="68" t="s">
        <v>156</v>
      </c>
      <c r="G57" s="56" t="s">
        <v>183</v>
      </c>
      <c r="H57" s="68"/>
      <c r="I57" s="68"/>
      <c r="J57" s="81"/>
      <c r="K57" s="71"/>
      <c r="L57" s="64"/>
      <c r="M57" s="64"/>
      <c r="N57" s="65"/>
      <c r="O57" s="67"/>
      <c r="P57" s="66"/>
      <c r="Q57" s="65"/>
      <c r="R57" s="67"/>
    </row>
    <row r="58" spans="1:18" s="35" customFormat="1" ht="22">
      <c r="A58" s="52"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82"/>
      <c r="C58" s="83"/>
      <c r="D58" s="86"/>
      <c r="E58" s="86" t="s">
        <v>157</v>
      </c>
      <c r="F58" s="68" t="s">
        <v>158</v>
      </c>
      <c r="G58" s="56" t="s">
        <v>183</v>
      </c>
      <c r="H58" s="68"/>
      <c r="I58" s="68"/>
      <c r="J58" s="81"/>
      <c r="K58" s="71"/>
      <c r="L58" s="64"/>
      <c r="M58" s="64"/>
      <c r="N58" s="65"/>
      <c r="O58" s="67"/>
      <c r="P58" s="66"/>
      <c r="Q58" s="65"/>
      <c r="R58" s="67"/>
    </row>
    <row r="59" spans="1:18" s="35" customFormat="1" ht="22">
      <c r="A59" s="52"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82"/>
      <c r="C59" s="83"/>
      <c r="D59" s="55" t="s">
        <v>159</v>
      </c>
      <c r="E59" s="55" t="s">
        <v>90</v>
      </c>
      <c r="F59" s="56" t="s">
        <v>160</v>
      </c>
      <c r="G59" s="56" t="s">
        <v>534</v>
      </c>
      <c r="H59" s="56"/>
      <c r="I59" s="56"/>
      <c r="J59" s="88"/>
      <c r="K59" s="77"/>
      <c r="L59" s="58"/>
      <c r="M59" s="58"/>
      <c r="N59" s="59"/>
      <c r="O59" s="61"/>
      <c r="P59" s="60"/>
      <c r="Q59" s="59"/>
      <c r="R59" s="61"/>
    </row>
    <row r="60" spans="1:18" s="35" customFormat="1" ht="22">
      <c r="A60" s="52"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82"/>
      <c r="C60" s="82"/>
      <c r="D60" s="55"/>
      <c r="E60" s="55"/>
      <c r="F60" s="54" t="s">
        <v>161</v>
      </c>
      <c r="G60" s="56" t="s">
        <v>534</v>
      </c>
      <c r="H60" s="56"/>
      <c r="I60" s="56"/>
      <c r="J60" s="88"/>
      <c r="K60" s="77"/>
      <c r="L60" s="58"/>
      <c r="M60" s="58"/>
      <c r="N60" s="61"/>
      <c r="O60" s="60"/>
      <c r="P60" s="61"/>
      <c r="Q60" s="59"/>
      <c r="R60" s="61"/>
    </row>
    <row r="61" spans="1:18" s="35" customFormat="1" ht="22">
      <c r="A61" s="52"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82"/>
      <c r="C61" s="82"/>
      <c r="D61" s="55"/>
      <c r="E61" s="55"/>
      <c r="F61" s="56" t="s">
        <v>162</v>
      </c>
      <c r="G61" s="56" t="s">
        <v>534</v>
      </c>
      <c r="H61" s="56"/>
      <c r="I61" s="56"/>
      <c r="J61" s="88"/>
      <c r="K61" s="77"/>
      <c r="L61" s="58"/>
      <c r="M61" s="58"/>
      <c r="N61" s="59"/>
      <c r="O61" s="61"/>
      <c r="P61" s="60"/>
      <c r="Q61" s="59"/>
      <c r="R61" s="61"/>
    </row>
    <row r="62" spans="1:18" s="35" customFormat="1" ht="22">
      <c r="A62" s="52"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82"/>
      <c r="C62" s="82"/>
      <c r="D62" s="55"/>
      <c r="E62" s="55"/>
      <c r="F62" s="56" t="s">
        <v>163</v>
      </c>
      <c r="G62" s="56" t="s">
        <v>534</v>
      </c>
      <c r="H62" s="56"/>
      <c r="I62" s="56"/>
      <c r="J62" s="88"/>
      <c r="K62" s="77"/>
      <c r="L62" s="58"/>
      <c r="M62" s="58"/>
      <c r="N62" s="59"/>
      <c r="O62" s="61"/>
      <c r="P62" s="60"/>
      <c r="Q62" s="59"/>
      <c r="R62" s="61"/>
    </row>
    <row r="63" spans="1:18" s="35" customFormat="1" ht="22">
      <c r="A63" s="52"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82"/>
      <c r="C63" s="82"/>
      <c r="D63" s="55"/>
      <c r="E63" s="70"/>
      <c r="F63" s="56" t="s">
        <v>164</v>
      </c>
      <c r="G63" s="56" t="s">
        <v>534</v>
      </c>
      <c r="H63" s="56"/>
      <c r="I63" s="56"/>
      <c r="J63" s="88"/>
      <c r="K63" s="77"/>
      <c r="L63" s="58"/>
      <c r="M63" s="58"/>
      <c r="N63" s="59"/>
      <c r="O63" s="61"/>
      <c r="P63" s="60"/>
      <c r="Q63" s="59"/>
      <c r="R63" s="61"/>
    </row>
    <row r="64" spans="1:18" s="35" customFormat="1" ht="33">
      <c r="A64" s="52"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82"/>
      <c r="C64" s="82"/>
      <c r="D64" s="55"/>
      <c r="E64" s="55" t="s">
        <v>165</v>
      </c>
      <c r="F64" s="56" t="s">
        <v>166</v>
      </c>
      <c r="G64" s="56" t="s">
        <v>534</v>
      </c>
      <c r="H64" s="56"/>
      <c r="I64" s="56"/>
      <c r="J64" s="88"/>
      <c r="K64" s="77"/>
      <c r="L64" s="58"/>
      <c r="M64" s="58"/>
      <c r="N64" s="59"/>
      <c r="O64" s="61"/>
      <c r="P64" s="60"/>
      <c r="Q64" s="59"/>
      <c r="R64" s="61"/>
    </row>
    <row r="65" spans="1:18" s="35" customFormat="1" ht="33">
      <c r="A65" s="52"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82"/>
      <c r="C65" s="82"/>
      <c r="D65" s="55"/>
      <c r="E65" s="55"/>
      <c r="F65" s="54" t="s">
        <v>168</v>
      </c>
      <c r="G65" s="56" t="s">
        <v>534</v>
      </c>
      <c r="H65" s="56"/>
      <c r="I65" s="56"/>
      <c r="J65" s="88"/>
      <c r="K65" s="77"/>
      <c r="L65" s="58"/>
      <c r="M65" s="58"/>
      <c r="N65" s="59"/>
      <c r="O65" s="61"/>
      <c r="P65" s="60"/>
      <c r="Q65" s="59"/>
      <c r="R65" s="61"/>
    </row>
    <row r="66" spans="1:18" s="35" customFormat="1">
      <c r="A66" s="52"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21-2-1</v>
      </c>
      <c r="B66" s="82"/>
      <c r="C66" s="82"/>
      <c r="D66" s="55"/>
      <c r="E66" s="55"/>
      <c r="F66" s="70"/>
      <c r="G66" s="56" t="s">
        <v>534</v>
      </c>
      <c r="H66" s="56"/>
      <c r="I66" s="56"/>
      <c r="J66" s="88"/>
      <c r="K66" s="77"/>
      <c r="L66" s="58"/>
      <c r="M66" s="58"/>
      <c r="N66" s="59"/>
      <c r="O66" s="61"/>
      <c r="P66" s="60"/>
      <c r="Q66" s="59"/>
      <c r="R66" s="61"/>
    </row>
    <row r="67" spans="1:18" s="35" customFormat="1" ht="33">
      <c r="A67" s="52"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21-3-1</v>
      </c>
      <c r="B67" s="82"/>
      <c r="C67" s="82"/>
      <c r="D67" s="55"/>
      <c r="E67" s="55"/>
      <c r="F67" s="56" t="s">
        <v>170</v>
      </c>
      <c r="G67" s="56" t="s">
        <v>534</v>
      </c>
      <c r="H67" s="56"/>
      <c r="I67" s="56"/>
      <c r="J67" s="88"/>
      <c r="K67" s="77"/>
      <c r="L67" s="58"/>
      <c r="M67" s="58"/>
      <c r="N67" s="59"/>
      <c r="O67" s="61"/>
      <c r="P67" s="60"/>
      <c r="Q67" s="59"/>
      <c r="R67" s="61"/>
    </row>
    <row r="68" spans="1:18" s="35" customFormat="1" ht="33">
      <c r="A68" s="52"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21-4-1</v>
      </c>
      <c r="B68" s="82"/>
      <c r="C68" s="82"/>
      <c r="D68" s="55"/>
      <c r="E68" s="55"/>
      <c r="F68" s="56" t="s">
        <v>171</v>
      </c>
      <c r="G68" s="56" t="s">
        <v>534</v>
      </c>
      <c r="H68" s="56"/>
      <c r="I68" s="56"/>
      <c r="J68" s="88"/>
      <c r="K68" s="77"/>
      <c r="L68" s="58"/>
      <c r="M68" s="58"/>
      <c r="N68" s="59"/>
      <c r="O68" s="61"/>
      <c r="P68" s="60"/>
      <c r="Q68" s="59"/>
      <c r="R68" s="61"/>
    </row>
    <row r="69" spans="1:18" s="35" customFormat="1" ht="33">
      <c r="A69" s="52"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21-5-1</v>
      </c>
      <c r="B69" s="82"/>
      <c r="C69" s="82"/>
      <c r="D69" s="55"/>
      <c r="E69" s="55"/>
      <c r="F69" s="56" t="s">
        <v>172</v>
      </c>
      <c r="G69" s="56" t="s">
        <v>534</v>
      </c>
      <c r="H69" s="56"/>
      <c r="I69" s="56"/>
      <c r="J69" s="88"/>
      <c r="K69" s="77"/>
      <c r="L69" s="58"/>
      <c r="M69" s="58"/>
      <c r="N69" s="59"/>
      <c r="O69" s="61"/>
      <c r="P69" s="60"/>
      <c r="Q69" s="59"/>
      <c r="R69" s="61"/>
    </row>
    <row r="70" spans="1:18" s="35" customFormat="1" ht="22">
      <c r="A70" s="52"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21-6-1</v>
      </c>
      <c r="B70" s="82"/>
      <c r="C70" s="82"/>
      <c r="D70" s="55"/>
      <c r="E70" s="55"/>
      <c r="F70" s="56" t="s">
        <v>173</v>
      </c>
      <c r="G70" s="56" t="s">
        <v>534</v>
      </c>
      <c r="H70" s="56"/>
      <c r="I70" s="56"/>
      <c r="J70" s="88"/>
      <c r="K70" s="77"/>
      <c r="L70" s="58"/>
      <c r="M70" s="58"/>
      <c r="N70" s="59"/>
      <c r="O70" s="61"/>
      <c r="P70" s="60"/>
      <c r="Q70" s="59"/>
      <c r="R70" s="61"/>
    </row>
    <row r="71" spans="1:18" s="35" customFormat="1" ht="22">
      <c r="A71" s="52"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21-7-1</v>
      </c>
      <c r="B71" s="82"/>
      <c r="C71" s="82"/>
      <c r="D71" s="55"/>
      <c r="E71" s="55"/>
      <c r="F71" s="56" t="s">
        <v>174</v>
      </c>
      <c r="G71" s="56" t="s">
        <v>534</v>
      </c>
      <c r="H71" s="56"/>
      <c r="I71" s="56"/>
      <c r="J71" s="88"/>
      <c r="K71" s="77"/>
      <c r="L71" s="58"/>
      <c r="M71" s="58"/>
      <c r="N71" s="59"/>
      <c r="O71" s="61"/>
      <c r="P71" s="60"/>
      <c r="Q71" s="59"/>
      <c r="R71" s="61"/>
    </row>
    <row r="72" spans="1:18" s="35" customFormat="1" ht="33">
      <c r="A72" s="52"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21-8-1</v>
      </c>
      <c r="B72" s="82"/>
      <c r="C72" s="82"/>
      <c r="D72" s="55"/>
      <c r="E72" s="70"/>
      <c r="F72" s="56" t="s">
        <v>175</v>
      </c>
      <c r="G72" s="56" t="s">
        <v>534</v>
      </c>
      <c r="H72" s="56"/>
      <c r="I72" s="56"/>
      <c r="J72" s="88"/>
      <c r="K72" s="77"/>
      <c r="L72" s="58"/>
      <c r="M72" s="58"/>
      <c r="N72" s="59"/>
      <c r="O72" s="61"/>
      <c r="P72" s="60"/>
      <c r="Q72" s="59"/>
      <c r="R72" s="61"/>
    </row>
    <row r="73" spans="1:18" s="35" customFormat="1" ht="22">
      <c r="A73" s="52"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22-1-1</v>
      </c>
      <c r="B73" s="82"/>
      <c r="C73" s="82"/>
      <c r="D73" s="55"/>
      <c r="E73" s="54" t="s">
        <v>176</v>
      </c>
      <c r="F73" s="54" t="s">
        <v>177</v>
      </c>
      <c r="G73" s="56" t="s">
        <v>534</v>
      </c>
      <c r="H73" s="54"/>
      <c r="I73" s="54"/>
      <c r="J73" s="88"/>
      <c r="K73" s="77"/>
      <c r="L73" s="58"/>
      <c r="M73" s="58"/>
      <c r="N73" s="61"/>
      <c r="O73" s="60"/>
      <c r="P73" s="61"/>
      <c r="Q73" s="59"/>
      <c r="R73" s="61"/>
    </row>
    <row r="74" spans="1:18" s="35" customFormat="1">
      <c r="A74" s="52"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23-1-1</v>
      </c>
      <c r="B74" s="82"/>
      <c r="C74" s="89"/>
      <c r="D74" s="55"/>
      <c r="E74" s="54" t="s">
        <v>179</v>
      </c>
      <c r="F74" s="54" t="s">
        <v>180</v>
      </c>
      <c r="G74" s="56" t="s">
        <v>534</v>
      </c>
      <c r="H74" s="54"/>
      <c r="I74" s="54"/>
      <c r="J74" s="88"/>
      <c r="K74" s="77"/>
      <c r="L74" s="58"/>
      <c r="M74" s="58"/>
      <c r="N74" s="59"/>
      <c r="O74" s="61"/>
      <c r="P74" s="60"/>
      <c r="Q74" s="59"/>
      <c r="R74" s="61"/>
    </row>
    <row r="75" spans="1:18" s="35" customFormat="1">
      <c r="A75" s="52"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23-2-1</v>
      </c>
      <c r="B75" s="82"/>
      <c r="C75" s="89"/>
      <c r="D75" s="55"/>
      <c r="E75" s="55"/>
      <c r="F75" s="56" t="s">
        <v>181</v>
      </c>
      <c r="G75" s="56" t="s">
        <v>534</v>
      </c>
      <c r="H75" s="56"/>
      <c r="I75" s="56"/>
      <c r="J75" s="88"/>
      <c r="K75" s="77"/>
      <c r="L75" s="58"/>
      <c r="M75" s="58"/>
      <c r="N75" s="59"/>
      <c r="O75" s="61"/>
      <c r="P75" s="60"/>
      <c r="Q75" s="59"/>
      <c r="R75" s="61"/>
    </row>
    <row r="76" spans="1:18">
      <c r="A76" s="52"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23-3-1</v>
      </c>
      <c r="B76" s="82"/>
      <c r="C76" s="89"/>
      <c r="D76" s="55"/>
      <c r="E76" s="55"/>
      <c r="F76" s="56" t="s">
        <v>182</v>
      </c>
      <c r="G76" s="56" t="s">
        <v>534</v>
      </c>
      <c r="H76" s="56"/>
      <c r="I76" s="56"/>
      <c r="J76" s="88"/>
      <c r="K76" s="61"/>
      <c r="L76" s="58"/>
      <c r="M76" s="58"/>
      <c r="N76" s="61"/>
      <c r="O76" s="61"/>
      <c r="P76" s="61"/>
      <c r="Q76" s="61"/>
      <c r="R76" s="61"/>
    </row>
    <row r="77" spans="1:18">
      <c r="A77" s="52"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23-4-1</v>
      </c>
      <c r="B77" s="82"/>
      <c r="C77" s="89"/>
      <c r="D77" s="55"/>
      <c r="E77" s="55"/>
      <c r="F77" s="56" t="s">
        <v>184</v>
      </c>
      <c r="G77" s="56" t="s">
        <v>534</v>
      </c>
      <c r="H77" s="56"/>
      <c r="I77" s="56"/>
      <c r="J77" s="88"/>
      <c r="K77" s="61"/>
      <c r="L77" s="58"/>
      <c r="M77" s="58"/>
      <c r="N77" s="61"/>
      <c r="O77" s="61"/>
      <c r="P77" s="61"/>
      <c r="Q77" s="61"/>
      <c r="R77" s="61"/>
    </row>
    <row r="78" spans="1:18" ht="22">
      <c r="A78" s="52"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23-5-1</v>
      </c>
      <c r="B78" s="83"/>
      <c r="C78" s="90"/>
      <c r="D78" s="70"/>
      <c r="E78" s="70"/>
      <c r="F78" s="56" t="s">
        <v>185</v>
      </c>
      <c r="G78" s="56" t="s">
        <v>534</v>
      </c>
      <c r="H78" s="56"/>
      <c r="I78" s="56"/>
      <c r="J78" s="88"/>
      <c r="K78" s="61"/>
      <c r="L78" s="58"/>
      <c r="M78" s="58"/>
      <c r="N78" s="61"/>
      <c r="O78" s="61"/>
      <c r="P78" s="61"/>
      <c r="Q78" s="61"/>
      <c r="R78" s="61"/>
    </row>
    <row r="79" spans="1:18" ht="22">
      <c r="A79" s="52"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24-1-1</v>
      </c>
      <c r="B79" s="83"/>
      <c r="C79" s="153" t="s">
        <v>186</v>
      </c>
      <c r="D79" s="152" t="s">
        <v>187</v>
      </c>
      <c r="E79" s="152" t="s">
        <v>90</v>
      </c>
      <c r="F79" s="152" t="s">
        <v>188</v>
      </c>
      <c r="G79" s="152" t="s">
        <v>137</v>
      </c>
      <c r="H79" s="36" t="s">
        <v>178</v>
      </c>
      <c r="I79" s="36" t="s">
        <v>533</v>
      </c>
      <c r="J79" s="145" t="s">
        <v>540</v>
      </c>
      <c r="K79" s="146" t="s">
        <v>536</v>
      </c>
      <c r="L79" s="147" t="s">
        <v>532</v>
      </c>
      <c r="M79" s="147" t="s">
        <v>167</v>
      </c>
      <c r="N79" s="148"/>
      <c r="O79" s="149"/>
      <c r="P79" s="148"/>
      <c r="Q79" s="148"/>
      <c r="R79" s="148"/>
    </row>
    <row r="80" spans="1:18" ht="44">
      <c r="A80" s="52"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24-1-2</v>
      </c>
      <c r="B80" s="82"/>
      <c r="C80" s="157"/>
      <c r="D80" s="151"/>
      <c r="E80" s="151"/>
      <c r="F80" s="151"/>
      <c r="G80" s="151"/>
      <c r="H80" s="36" t="s">
        <v>178</v>
      </c>
      <c r="I80" s="36" t="s">
        <v>533</v>
      </c>
      <c r="J80" s="37" t="s">
        <v>542</v>
      </c>
      <c r="K80" s="37" t="s">
        <v>544</v>
      </c>
      <c r="L80" s="147" t="s">
        <v>532</v>
      </c>
      <c r="M80" s="147" t="s">
        <v>34</v>
      </c>
      <c r="N80" s="148"/>
      <c r="O80" s="149"/>
      <c r="P80" s="148"/>
      <c r="Q80" s="148"/>
      <c r="R80" s="148"/>
    </row>
    <row r="81" spans="1:18" ht="44">
      <c r="A81" s="52"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24-1-3</v>
      </c>
      <c r="B81" s="82"/>
      <c r="C81" s="157"/>
      <c r="D81" s="151"/>
      <c r="E81" s="151"/>
      <c r="F81" s="158"/>
      <c r="G81" s="158"/>
      <c r="H81" s="36" t="s">
        <v>178</v>
      </c>
      <c r="I81" s="36" t="s">
        <v>533</v>
      </c>
      <c r="J81" s="37" t="s">
        <v>543</v>
      </c>
      <c r="K81" s="37" t="s">
        <v>545</v>
      </c>
      <c r="L81" s="147" t="s">
        <v>532</v>
      </c>
      <c r="M81" s="147" t="s">
        <v>38</v>
      </c>
      <c r="N81" s="148"/>
      <c r="O81" s="149"/>
      <c r="P81" s="148"/>
      <c r="Q81" s="148"/>
      <c r="R81" s="148"/>
    </row>
    <row r="82" spans="1:18" ht="33">
      <c r="A82" s="52"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24-2-1</v>
      </c>
      <c r="B82" s="82"/>
      <c r="C82" s="154"/>
      <c r="D82" s="151"/>
      <c r="E82" s="151"/>
      <c r="F82" s="152" t="s">
        <v>189</v>
      </c>
      <c r="G82" s="144" t="s">
        <v>137</v>
      </c>
      <c r="H82" s="36" t="s">
        <v>178</v>
      </c>
      <c r="I82" s="36" t="s">
        <v>533</v>
      </c>
      <c r="J82" s="145" t="s">
        <v>541</v>
      </c>
      <c r="K82" s="146" t="s">
        <v>537</v>
      </c>
      <c r="L82" s="147" t="s">
        <v>532</v>
      </c>
      <c r="M82" s="147" t="s">
        <v>169</v>
      </c>
      <c r="N82" s="148"/>
      <c r="O82" s="149"/>
      <c r="P82" s="148"/>
      <c r="Q82" s="148"/>
      <c r="R82" s="148"/>
    </row>
    <row r="83" spans="1:18">
      <c r="A83" s="52"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25-1-1</v>
      </c>
      <c r="B83" s="82"/>
      <c r="C83" s="154"/>
      <c r="D83" s="151"/>
      <c r="E83" s="85" t="s">
        <v>190</v>
      </c>
      <c r="F83" s="85" t="s">
        <v>191</v>
      </c>
      <c r="G83" s="56" t="s">
        <v>535</v>
      </c>
      <c r="H83" s="68"/>
      <c r="I83" s="68"/>
      <c r="J83" s="81"/>
      <c r="K83" s="67"/>
      <c r="L83" s="64"/>
      <c r="M83" s="64"/>
      <c r="N83" s="67"/>
      <c r="O83" s="67"/>
      <c r="P83" s="67"/>
      <c r="Q83" s="67"/>
      <c r="R83" s="67"/>
    </row>
    <row r="84" spans="1:18" ht="33">
      <c r="A84" s="52"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26-1-1</v>
      </c>
      <c r="B84" s="82"/>
      <c r="C84" s="154"/>
      <c r="D84" s="151"/>
      <c r="E84" s="152" t="s">
        <v>192</v>
      </c>
      <c r="F84" s="144" t="s">
        <v>193</v>
      </c>
      <c r="G84" s="144"/>
      <c r="H84" s="36" t="s">
        <v>178</v>
      </c>
      <c r="I84" s="36" t="s">
        <v>533</v>
      </c>
      <c r="J84" s="145" t="s">
        <v>546</v>
      </c>
      <c r="K84" s="146" t="s">
        <v>547</v>
      </c>
      <c r="L84" s="147" t="s">
        <v>532</v>
      </c>
      <c r="M84" s="147" t="s">
        <v>33</v>
      </c>
      <c r="N84" s="148"/>
      <c r="O84" s="148"/>
      <c r="P84" s="148"/>
      <c r="Q84" s="148"/>
      <c r="R84" s="148"/>
    </row>
    <row r="85" spans="1:18" ht="33">
      <c r="A85" s="52"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26-2-1</v>
      </c>
      <c r="B85" s="82"/>
      <c r="C85" s="154"/>
      <c r="D85" s="151"/>
      <c r="E85" s="158"/>
      <c r="F85" s="68" t="s">
        <v>194</v>
      </c>
      <c r="G85" s="56" t="s">
        <v>183</v>
      </c>
      <c r="H85" s="68"/>
      <c r="I85" s="68"/>
      <c r="J85" s="81"/>
      <c r="K85" s="67"/>
      <c r="L85" s="64"/>
      <c r="M85" s="64"/>
      <c r="N85" s="67"/>
      <c r="O85" s="67"/>
      <c r="P85" s="67"/>
      <c r="Q85" s="67"/>
      <c r="R85" s="67"/>
    </row>
    <row r="86" spans="1:18" ht="22">
      <c r="A86" s="52"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27-1-1</v>
      </c>
      <c r="B86" s="82"/>
      <c r="C86" s="154"/>
      <c r="D86" s="151"/>
      <c r="E86" s="86" t="s">
        <v>195</v>
      </c>
      <c r="F86" s="68" t="s">
        <v>196</v>
      </c>
      <c r="G86" s="56" t="s">
        <v>535</v>
      </c>
      <c r="H86" s="68"/>
      <c r="I86" s="68"/>
      <c r="J86" s="81"/>
      <c r="K86" s="67"/>
      <c r="L86" s="64"/>
      <c r="M86" s="64"/>
      <c r="N86" s="67"/>
      <c r="O86" s="67"/>
      <c r="P86" s="67"/>
      <c r="Q86" s="67"/>
      <c r="R86" s="67"/>
    </row>
    <row r="87" spans="1:18" ht="22">
      <c r="A87" s="52"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28-1-1</v>
      </c>
      <c r="B87" s="82"/>
      <c r="C87" s="155"/>
      <c r="D87" s="158"/>
      <c r="E87" s="86" t="s">
        <v>197</v>
      </c>
      <c r="F87" s="68" t="s">
        <v>198</v>
      </c>
      <c r="G87" s="56" t="s">
        <v>183</v>
      </c>
      <c r="H87" s="68"/>
      <c r="I87" s="68"/>
      <c r="J87" s="81"/>
      <c r="K87" s="67"/>
      <c r="L87" s="64"/>
      <c r="M87" s="64"/>
      <c r="N87" s="67"/>
      <c r="O87" s="67"/>
      <c r="P87" s="67"/>
      <c r="Q87" s="67"/>
      <c r="R87" s="67"/>
    </row>
    <row r="88" spans="1:18" ht="22">
      <c r="A88" s="52"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29-1-1</v>
      </c>
      <c r="B88" s="82"/>
      <c r="C88" s="55" t="s">
        <v>199</v>
      </c>
      <c r="D88" s="55" t="s">
        <v>187</v>
      </c>
      <c r="E88" s="56" t="s">
        <v>90</v>
      </c>
      <c r="F88" s="56" t="s">
        <v>200</v>
      </c>
      <c r="G88" s="56" t="s">
        <v>534</v>
      </c>
      <c r="H88" s="56"/>
      <c r="I88" s="56"/>
      <c r="J88" s="88"/>
      <c r="K88" s="61"/>
      <c r="L88" s="58"/>
      <c r="M88" s="58"/>
      <c r="N88" s="61"/>
      <c r="O88" s="61"/>
      <c r="P88" s="61"/>
      <c r="Q88" s="61"/>
      <c r="R88" s="61"/>
    </row>
    <row r="89" spans="1:18">
      <c r="A89" s="52"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30-1-1</v>
      </c>
      <c r="B89" s="82"/>
      <c r="C89" s="156"/>
      <c r="D89" s="55"/>
      <c r="E89" s="70" t="s">
        <v>190</v>
      </c>
      <c r="F89" s="56" t="s">
        <v>201</v>
      </c>
      <c r="G89" s="56" t="s">
        <v>534</v>
      </c>
      <c r="H89" s="56"/>
      <c r="I89" s="56"/>
      <c r="J89" s="88"/>
      <c r="K89" s="61"/>
      <c r="L89" s="58"/>
      <c r="M89" s="58"/>
      <c r="N89" s="61"/>
      <c r="O89" s="61"/>
      <c r="P89" s="61"/>
      <c r="Q89" s="61"/>
      <c r="R89" s="61"/>
    </row>
    <row r="90" spans="1:18" ht="33">
      <c r="A90" s="52"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31-1-1</v>
      </c>
      <c r="B90" s="82"/>
      <c r="C90" s="106"/>
      <c r="D90" s="70"/>
      <c r="E90" s="70" t="s">
        <v>202</v>
      </c>
      <c r="F90" s="56" t="s">
        <v>203</v>
      </c>
      <c r="G90" s="56" t="s">
        <v>534</v>
      </c>
      <c r="H90" s="56"/>
      <c r="I90" s="56"/>
      <c r="J90" s="88"/>
      <c r="K90" s="61"/>
      <c r="L90" s="58"/>
      <c r="M90" s="58"/>
      <c r="N90" s="61"/>
      <c r="O90" s="61"/>
      <c r="P90" s="61"/>
      <c r="Q90" s="61"/>
      <c r="R90" s="61"/>
    </row>
    <row r="91" spans="1:18" ht="22">
      <c r="A91" s="52"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32-1-1</v>
      </c>
      <c r="B91" s="82"/>
      <c r="C91" s="93" t="s">
        <v>205</v>
      </c>
      <c r="D91" s="84" t="s">
        <v>187</v>
      </c>
      <c r="E91" s="85" t="s">
        <v>90</v>
      </c>
      <c r="F91" s="85" t="s">
        <v>206</v>
      </c>
      <c r="G91" s="56" t="s">
        <v>207</v>
      </c>
      <c r="H91" s="68"/>
      <c r="I91" s="68"/>
      <c r="J91" s="81"/>
      <c r="K91" s="67"/>
      <c r="L91" s="64"/>
      <c r="M91" s="64"/>
      <c r="N91" s="67"/>
      <c r="O91" s="66"/>
      <c r="P91" s="67"/>
      <c r="Q91" s="67"/>
      <c r="R91" s="67"/>
    </row>
    <row r="92" spans="1:18" ht="33">
      <c r="A92" s="52"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32-2-1</v>
      </c>
      <c r="B92" s="82"/>
      <c r="C92" s="91"/>
      <c r="D92" s="84"/>
      <c r="E92" s="86"/>
      <c r="F92" s="68" t="s">
        <v>208</v>
      </c>
      <c r="G92" s="56" t="s">
        <v>207</v>
      </c>
      <c r="H92" s="68"/>
      <c r="I92" s="68"/>
      <c r="J92" s="81"/>
      <c r="K92" s="67"/>
      <c r="L92" s="64"/>
      <c r="M92" s="64"/>
      <c r="N92" s="67"/>
      <c r="O92" s="67"/>
      <c r="P92" s="67"/>
      <c r="Q92" s="67"/>
      <c r="R92" s="67"/>
    </row>
    <row r="93" spans="1:18">
      <c r="A93" s="52"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33-1-1</v>
      </c>
      <c r="B93" s="82"/>
      <c r="C93" s="91"/>
      <c r="D93" s="84"/>
      <c r="E93" s="68" t="s">
        <v>190</v>
      </c>
      <c r="F93" s="68" t="s">
        <v>209</v>
      </c>
      <c r="G93" s="56" t="s">
        <v>207</v>
      </c>
      <c r="H93" s="68"/>
      <c r="I93" s="68"/>
      <c r="J93" s="81"/>
      <c r="K93" s="67"/>
      <c r="L93" s="64"/>
      <c r="M93" s="64"/>
      <c r="N93" s="67"/>
      <c r="O93" s="67"/>
      <c r="P93" s="67"/>
      <c r="Q93" s="67"/>
      <c r="R93" s="67"/>
    </row>
    <row r="94" spans="1:18" ht="33">
      <c r="A94" s="52"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34-1-1</v>
      </c>
      <c r="B94" s="82"/>
      <c r="C94" s="91"/>
      <c r="D94" s="84"/>
      <c r="E94" s="84" t="s">
        <v>192</v>
      </c>
      <c r="F94" s="68" t="s">
        <v>210</v>
      </c>
      <c r="G94" s="56" t="s">
        <v>207</v>
      </c>
      <c r="H94" s="68"/>
      <c r="I94" s="68"/>
      <c r="J94" s="81"/>
      <c r="K94" s="67"/>
      <c r="L94" s="64"/>
      <c r="M94" s="64"/>
      <c r="N94" s="67"/>
      <c r="O94" s="67"/>
      <c r="P94" s="67"/>
      <c r="Q94" s="67"/>
      <c r="R94" s="67"/>
    </row>
    <row r="95" spans="1:18" ht="33">
      <c r="A95" s="52"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34-2-1</v>
      </c>
      <c r="B95" s="82"/>
      <c r="C95" s="91"/>
      <c r="D95" s="84"/>
      <c r="E95" s="86"/>
      <c r="F95" s="68" t="s">
        <v>211</v>
      </c>
      <c r="G95" s="56" t="s">
        <v>207</v>
      </c>
      <c r="H95" s="68"/>
      <c r="I95" s="68"/>
      <c r="J95" s="81"/>
      <c r="K95" s="67"/>
      <c r="L95" s="64"/>
      <c r="M95" s="64"/>
      <c r="N95" s="67"/>
      <c r="O95" s="67"/>
      <c r="P95" s="67"/>
      <c r="Q95" s="67"/>
      <c r="R95" s="67"/>
    </row>
    <row r="96" spans="1:18" ht="33">
      <c r="A96" s="52"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35-1-1</v>
      </c>
      <c r="B96" s="82"/>
      <c r="C96" s="92"/>
      <c r="D96" s="86"/>
      <c r="E96" s="86" t="s">
        <v>202</v>
      </c>
      <c r="F96" s="68" t="s">
        <v>212</v>
      </c>
      <c r="G96" s="56" t="s">
        <v>207</v>
      </c>
      <c r="H96" s="68"/>
      <c r="I96" s="68"/>
      <c r="J96" s="81"/>
      <c r="K96" s="67"/>
      <c r="L96" s="64"/>
      <c r="M96" s="64"/>
      <c r="N96" s="67"/>
      <c r="O96" s="67"/>
      <c r="P96" s="67"/>
      <c r="Q96" s="67"/>
      <c r="R96" s="67"/>
    </row>
    <row r="97" spans="1:18" ht="22">
      <c r="A97" s="52"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36-1-1</v>
      </c>
      <c r="B97" s="82"/>
      <c r="C97" s="84" t="s">
        <v>213</v>
      </c>
      <c r="D97" s="84" t="s">
        <v>187</v>
      </c>
      <c r="E97" s="84" t="s">
        <v>214</v>
      </c>
      <c r="F97" s="68" t="s">
        <v>215</v>
      </c>
      <c r="G97" s="56" t="s">
        <v>216</v>
      </c>
      <c r="H97" s="68"/>
      <c r="I97" s="68"/>
      <c r="J97" s="81"/>
      <c r="K97" s="67"/>
      <c r="L97" s="64"/>
      <c r="M97" s="64"/>
      <c r="N97" s="67"/>
      <c r="O97" s="67"/>
      <c r="P97" s="67"/>
      <c r="Q97" s="67"/>
      <c r="R97" s="67"/>
    </row>
    <row r="98" spans="1:18" ht="33">
      <c r="A98" s="52"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36-2-1</v>
      </c>
      <c r="B98" s="82"/>
      <c r="C98" s="94"/>
      <c r="D98" s="84"/>
      <c r="E98" s="84"/>
      <c r="F98" s="68" t="s">
        <v>217</v>
      </c>
      <c r="G98" s="56" t="s">
        <v>216</v>
      </c>
      <c r="H98" s="68"/>
      <c r="I98" s="68"/>
      <c r="J98" s="81"/>
      <c r="K98" s="67"/>
      <c r="L98" s="64"/>
      <c r="M98" s="64"/>
      <c r="N98" s="67"/>
      <c r="O98" s="67"/>
      <c r="P98" s="67"/>
      <c r="Q98" s="67"/>
      <c r="R98" s="67"/>
    </row>
    <row r="99" spans="1:18">
      <c r="A99" s="52"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36-3-1</v>
      </c>
      <c r="B99" s="82"/>
      <c r="C99" s="94"/>
      <c r="D99" s="84"/>
      <c r="E99" s="84"/>
      <c r="F99" s="68" t="s">
        <v>218</v>
      </c>
      <c r="G99" s="56" t="s">
        <v>216</v>
      </c>
      <c r="H99" s="68"/>
      <c r="I99" s="68"/>
      <c r="J99" s="81"/>
      <c r="K99" s="67"/>
      <c r="L99" s="64"/>
      <c r="M99" s="64"/>
      <c r="N99" s="67"/>
      <c r="O99" s="67"/>
      <c r="P99" s="67"/>
      <c r="Q99" s="67"/>
      <c r="R99" s="67"/>
    </row>
    <row r="100" spans="1:18" ht="33">
      <c r="A100" s="52"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36-4-1</v>
      </c>
      <c r="B100" s="82"/>
      <c r="C100" s="91"/>
      <c r="D100" s="84"/>
      <c r="E100" s="84"/>
      <c r="F100" s="68" t="s">
        <v>219</v>
      </c>
      <c r="G100" s="56" t="s">
        <v>216</v>
      </c>
      <c r="H100" s="68"/>
      <c r="I100" s="68"/>
      <c r="J100" s="81"/>
      <c r="K100" s="67"/>
      <c r="L100" s="64"/>
      <c r="M100" s="64"/>
      <c r="N100" s="67"/>
      <c r="O100" s="67"/>
      <c r="P100" s="67"/>
      <c r="Q100" s="67"/>
      <c r="R100" s="67"/>
    </row>
    <row r="101" spans="1:18" ht="33">
      <c r="A101" s="52"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36-5-1</v>
      </c>
      <c r="B101" s="82"/>
      <c r="C101" s="91"/>
      <c r="D101" s="84"/>
      <c r="E101" s="86"/>
      <c r="F101" s="68" t="s">
        <v>220</v>
      </c>
      <c r="G101" s="56" t="s">
        <v>216</v>
      </c>
      <c r="H101" s="68"/>
      <c r="I101" s="68"/>
      <c r="J101" s="81"/>
      <c r="K101" s="67"/>
      <c r="L101" s="64"/>
      <c r="M101" s="64"/>
      <c r="N101" s="67"/>
      <c r="O101" s="67"/>
      <c r="P101" s="67"/>
      <c r="Q101" s="67"/>
      <c r="R101" s="67"/>
    </row>
    <row r="102" spans="1:18" ht="22">
      <c r="A102" s="52"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37-1-1</v>
      </c>
      <c r="B102" s="82"/>
      <c r="C102" s="94"/>
      <c r="D102" s="84"/>
      <c r="E102" s="84" t="s">
        <v>221</v>
      </c>
      <c r="F102" s="68" t="s">
        <v>222</v>
      </c>
      <c r="G102" s="56" t="s">
        <v>216</v>
      </c>
      <c r="H102" s="68"/>
      <c r="I102" s="68"/>
      <c r="J102" s="81"/>
      <c r="K102" s="67"/>
      <c r="L102" s="64"/>
      <c r="M102" s="64"/>
      <c r="N102" s="67"/>
      <c r="O102" s="67"/>
      <c r="P102" s="67"/>
      <c r="Q102" s="67"/>
      <c r="R102" s="67"/>
    </row>
    <row r="103" spans="1:18" ht="33">
      <c r="A103" s="52"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37-2-1</v>
      </c>
      <c r="B103" s="89"/>
      <c r="C103" s="95"/>
      <c r="D103" s="84"/>
      <c r="E103" s="84"/>
      <c r="F103" s="68" t="s">
        <v>223</v>
      </c>
      <c r="G103" s="56" t="s">
        <v>216</v>
      </c>
      <c r="H103" s="68"/>
      <c r="I103" s="68"/>
      <c r="J103" s="81"/>
      <c r="K103" s="67"/>
      <c r="L103" s="64"/>
      <c r="M103" s="64"/>
      <c r="N103" s="67"/>
      <c r="O103" s="67"/>
      <c r="P103" s="67"/>
      <c r="Q103" s="67"/>
      <c r="R103" s="67"/>
    </row>
    <row r="104" spans="1:18">
      <c r="A104" s="52"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37-3-1</v>
      </c>
      <c r="B104" s="89"/>
      <c r="C104" s="95"/>
      <c r="D104" s="84"/>
      <c r="E104" s="84"/>
      <c r="F104" s="68" t="s">
        <v>224</v>
      </c>
      <c r="G104" s="56" t="s">
        <v>216</v>
      </c>
      <c r="H104" s="68"/>
      <c r="I104" s="68"/>
      <c r="J104" s="81"/>
      <c r="K104" s="67"/>
      <c r="L104" s="64"/>
      <c r="M104" s="64"/>
      <c r="N104" s="67"/>
      <c r="O104" s="67"/>
      <c r="P104" s="67"/>
      <c r="Q104" s="67"/>
      <c r="R104" s="67"/>
    </row>
    <row r="105" spans="1:18" ht="33">
      <c r="A105" s="52"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37-4-1</v>
      </c>
      <c r="B105" s="82"/>
      <c r="C105" s="91"/>
      <c r="D105" s="84"/>
      <c r="E105" s="84"/>
      <c r="F105" s="68" t="s">
        <v>225</v>
      </c>
      <c r="G105" s="56" t="s">
        <v>216</v>
      </c>
      <c r="H105" s="68"/>
      <c r="I105" s="68"/>
      <c r="J105" s="81"/>
      <c r="K105" s="67"/>
      <c r="L105" s="64"/>
      <c r="M105" s="64"/>
      <c r="N105" s="67"/>
      <c r="O105" s="67"/>
      <c r="P105" s="67"/>
      <c r="Q105" s="67"/>
      <c r="R105" s="67"/>
    </row>
    <row r="106" spans="1:18" ht="33">
      <c r="A106" s="52"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37-5-1</v>
      </c>
      <c r="B106" s="82"/>
      <c r="C106" s="91"/>
      <c r="D106" s="84"/>
      <c r="E106" s="86"/>
      <c r="F106" s="68" t="s">
        <v>226</v>
      </c>
      <c r="G106" s="56" t="s">
        <v>216</v>
      </c>
      <c r="H106" s="68"/>
      <c r="I106" s="68"/>
      <c r="J106" s="81"/>
      <c r="K106" s="67"/>
      <c r="L106" s="64"/>
      <c r="M106" s="64"/>
      <c r="N106" s="67"/>
      <c r="O106" s="67"/>
      <c r="P106" s="67"/>
      <c r="Q106" s="67"/>
      <c r="R106" s="67"/>
    </row>
    <row r="107" spans="1:18" ht="33">
      <c r="A107" s="52"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38-1-1</v>
      </c>
      <c r="B107" s="89"/>
      <c r="C107" s="92"/>
      <c r="D107" s="84"/>
      <c r="E107" s="86" t="s">
        <v>202</v>
      </c>
      <c r="F107" s="68" t="s">
        <v>227</v>
      </c>
      <c r="G107" s="56" t="s">
        <v>216</v>
      </c>
      <c r="H107" s="68"/>
      <c r="I107" s="68"/>
      <c r="J107" s="81"/>
      <c r="K107" s="67"/>
      <c r="L107" s="64"/>
      <c r="M107" s="64"/>
      <c r="N107" s="67"/>
      <c r="O107" s="67"/>
      <c r="P107" s="67"/>
      <c r="Q107" s="67"/>
      <c r="R107" s="67"/>
    </row>
    <row r="108" spans="1:18" ht="33">
      <c r="A108" s="52"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39-1-1</v>
      </c>
      <c r="B108" s="96" t="s">
        <v>228</v>
      </c>
      <c r="C108" s="68" t="s">
        <v>229</v>
      </c>
      <c r="D108" s="68" t="s">
        <v>90</v>
      </c>
      <c r="E108" s="86" t="s">
        <v>90</v>
      </c>
      <c r="F108" s="68" t="s">
        <v>230</v>
      </c>
      <c r="G108" s="56" t="s">
        <v>204</v>
      </c>
      <c r="H108" s="68"/>
      <c r="I108" s="68"/>
      <c r="J108" s="67"/>
      <c r="K108" s="67"/>
      <c r="L108" s="64"/>
      <c r="M108" s="64"/>
      <c r="N108" s="67"/>
      <c r="O108" s="67"/>
      <c r="P108" s="67"/>
      <c r="Q108" s="67"/>
      <c r="R108" s="67"/>
    </row>
    <row r="109" spans="1:18">
      <c r="A109" s="52"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40-1-1</v>
      </c>
      <c r="B109" s="94"/>
      <c r="C109" s="84" t="s">
        <v>231</v>
      </c>
      <c r="D109" s="84" t="s">
        <v>90</v>
      </c>
      <c r="E109" s="84" t="s">
        <v>90</v>
      </c>
      <c r="F109" s="68" t="s">
        <v>232</v>
      </c>
      <c r="G109" s="56" t="s">
        <v>204</v>
      </c>
      <c r="H109" s="68"/>
      <c r="I109" s="68"/>
      <c r="J109" s="67"/>
      <c r="K109" s="67"/>
      <c r="L109" s="64"/>
      <c r="M109" s="64"/>
      <c r="N109" s="67"/>
      <c r="O109" s="67"/>
      <c r="P109" s="67"/>
      <c r="Q109" s="67"/>
      <c r="R109" s="67"/>
    </row>
    <row r="110" spans="1:18">
      <c r="A110" s="52"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40-2-1</v>
      </c>
      <c r="B110" s="94"/>
      <c r="C110" s="86"/>
      <c r="D110" s="86"/>
      <c r="E110" s="86"/>
      <c r="F110" s="68" t="s">
        <v>233</v>
      </c>
      <c r="G110" s="56" t="s">
        <v>204</v>
      </c>
      <c r="H110" s="68"/>
      <c r="I110" s="68"/>
      <c r="J110" s="67"/>
      <c r="K110" s="67"/>
      <c r="L110" s="64"/>
      <c r="M110" s="64"/>
      <c r="N110" s="67"/>
      <c r="O110" s="67"/>
      <c r="P110" s="67"/>
      <c r="Q110" s="67"/>
      <c r="R110" s="67"/>
    </row>
    <row r="111" spans="1:18" ht="22">
      <c r="A111" s="52"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41-1-1</v>
      </c>
      <c r="B111" s="94"/>
      <c r="C111" s="86" t="s">
        <v>234</v>
      </c>
      <c r="D111" s="86" t="s">
        <v>90</v>
      </c>
      <c r="E111" s="86" t="s">
        <v>90</v>
      </c>
      <c r="F111" s="68" t="s">
        <v>235</v>
      </c>
      <c r="G111" s="56" t="s">
        <v>204</v>
      </c>
      <c r="H111" s="68"/>
      <c r="I111" s="68"/>
      <c r="J111" s="67"/>
      <c r="K111" s="67"/>
      <c r="L111" s="64"/>
      <c r="M111" s="64"/>
      <c r="N111" s="67"/>
      <c r="O111" s="67"/>
      <c r="P111" s="67"/>
      <c r="Q111" s="67"/>
      <c r="R111" s="67"/>
    </row>
    <row r="112" spans="1:18" ht="22">
      <c r="A112" s="52"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42-1-1</v>
      </c>
      <c r="B112" s="94"/>
      <c r="C112" s="84" t="s">
        <v>236</v>
      </c>
      <c r="D112" s="84" t="s">
        <v>90</v>
      </c>
      <c r="E112" s="84" t="s">
        <v>90</v>
      </c>
      <c r="F112" s="68" t="s">
        <v>237</v>
      </c>
      <c r="G112" s="56" t="s">
        <v>204</v>
      </c>
      <c r="H112" s="68"/>
      <c r="I112" s="68"/>
      <c r="J112" s="67"/>
      <c r="K112" s="67"/>
      <c r="L112" s="64"/>
      <c r="M112" s="64"/>
      <c r="N112" s="67"/>
      <c r="O112" s="67"/>
      <c r="P112" s="67"/>
      <c r="Q112" s="67"/>
      <c r="R112" s="67"/>
    </row>
    <row r="113" spans="1:18">
      <c r="A113" s="52"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42-2-1</v>
      </c>
      <c r="B113" s="97"/>
      <c r="C113" s="86"/>
      <c r="D113" s="86"/>
      <c r="E113" s="86"/>
      <c r="F113" s="68" t="s">
        <v>238</v>
      </c>
      <c r="G113" s="56" t="s">
        <v>204</v>
      </c>
      <c r="H113" s="68"/>
      <c r="I113" s="68"/>
      <c r="J113" s="67"/>
      <c r="K113" s="67"/>
      <c r="L113" s="64"/>
      <c r="M113" s="64"/>
      <c r="N113" s="67"/>
      <c r="O113" s="67"/>
      <c r="P113" s="67"/>
      <c r="Q113" s="67"/>
      <c r="R113" s="67"/>
    </row>
    <row r="114" spans="1:18" ht="22">
      <c r="A114" s="52"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43-1-1</v>
      </c>
      <c r="B114" s="53" t="s">
        <v>239</v>
      </c>
      <c r="C114" s="54" t="s">
        <v>240</v>
      </c>
      <c r="D114" s="54" t="s">
        <v>90</v>
      </c>
      <c r="E114" s="53" t="s">
        <v>90</v>
      </c>
      <c r="F114" s="56" t="s">
        <v>241</v>
      </c>
      <c r="G114" s="56" t="s">
        <v>204</v>
      </c>
      <c r="H114" s="56"/>
      <c r="I114" s="56"/>
      <c r="J114" s="61"/>
      <c r="K114" s="61"/>
      <c r="L114" s="61"/>
      <c r="M114" s="61"/>
      <c r="N114" s="61"/>
      <c r="O114" s="61"/>
      <c r="P114" s="61"/>
      <c r="Q114" s="61"/>
      <c r="R114" s="61"/>
    </row>
    <row r="115" spans="1:18" ht="22">
      <c r="A115" s="52"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43-2-1</v>
      </c>
      <c r="B115" s="245" t="s">
        <v>242</v>
      </c>
      <c r="C115" s="72"/>
      <c r="D115" s="55"/>
      <c r="E115" s="98"/>
      <c r="F115" s="56" t="s">
        <v>243</v>
      </c>
      <c r="G115" s="56" t="s">
        <v>204</v>
      </c>
      <c r="H115" s="56"/>
      <c r="I115" s="56"/>
      <c r="J115" s="61"/>
      <c r="K115" s="61"/>
      <c r="L115" s="61"/>
      <c r="M115" s="61"/>
      <c r="N115" s="61"/>
      <c r="O115" s="61"/>
      <c r="P115" s="61"/>
      <c r="Q115" s="61"/>
      <c r="R115" s="61"/>
    </row>
    <row r="116" spans="1:18" ht="22">
      <c r="A116" s="52"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43-3-1</v>
      </c>
      <c r="B116" s="245"/>
      <c r="C116" s="72"/>
      <c r="D116" s="55"/>
      <c r="E116" s="98"/>
      <c r="F116" s="56" t="s">
        <v>244</v>
      </c>
      <c r="G116" s="56" t="s">
        <v>204</v>
      </c>
      <c r="H116" s="56"/>
      <c r="I116" s="56"/>
      <c r="J116" s="61"/>
      <c r="K116" s="61"/>
      <c r="L116" s="61"/>
      <c r="M116" s="61"/>
      <c r="N116" s="61"/>
      <c r="O116" s="61"/>
      <c r="P116" s="61"/>
      <c r="Q116" s="61"/>
      <c r="R116" s="61"/>
    </row>
    <row r="117" spans="1:18" ht="22">
      <c r="A117" s="52"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43-4-1</v>
      </c>
      <c r="B117" s="98"/>
      <c r="C117" s="72"/>
      <c r="D117" s="55"/>
      <c r="E117" s="70"/>
      <c r="F117" s="56" t="s">
        <v>245</v>
      </c>
      <c r="G117" s="56" t="s">
        <v>204</v>
      </c>
      <c r="H117" s="56"/>
      <c r="I117" s="56"/>
      <c r="J117" s="61"/>
      <c r="K117" s="61"/>
      <c r="L117" s="61"/>
      <c r="M117" s="61"/>
      <c r="N117" s="61"/>
      <c r="O117" s="61"/>
      <c r="P117" s="61"/>
      <c r="Q117" s="61"/>
      <c r="R117" s="61"/>
    </row>
    <row r="118" spans="1:18" ht="22">
      <c r="A118" s="52"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44-1-1</v>
      </c>
      <c r="B118" s="98"/>
      <c r="C118" s="72"/>
      <c r="D118" s="55"/>
      <c r="E118" s="55" t="s">
        <v>179</v>
      </c>
      <c r="F118" s="56" t="s">
        <v>246</v>
      </c>
      <c r="G118" s="56" t="s">
        <v>204</v>
      </c>
      <c r="H118" s="56"/>
      <c r="I118" s="56"/>
      <c r="J118" s="61"/>
      <c r="K118" s="61"/>
      <c r="L118" s="61"/>
      <c r="M118" s="61"/>
      <c r="N118" s="61"/>
      <c r="O118" s="61"/>
      <c r="P118" s="61"/>
      <c r="Q118" s="61"/>
      <c r="R118" s="61"/>
    </row>
    <row r="119" spans="1:18" ht="22">
      <c r="A119" s="52"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44-2-1</v>
      </c>
      <c r="B119" s="98"/>
      <c r="C119" s="72"/>
      <c r="D119" s="55"/>
      <c r="E119" s="55"/>
      <c r="F119" s="56" t="s">
        <v>247</v>
      </c>
      <c r="G119" s="56" t="s">
        <v>204</v>
      </c>
      <c r="H119" s="56"/>
      <c r="I119" s="56"/>
      <c r="J119" s="61"/>
      <c r="K119" s="61"/>
      <c r="L119" s="61"/>
      <c r="M119" s="61"/>
      <c r="N119" s="61"/>
      <c r="O119" s="61"/>
      <c r="P119" s="61"/>
      <c r="Q119" s="61"/>
      <c r="R119" s="61"/>
    </row>
    <row r="120" spans="1:18" ht="22">
      <c r="A120" s="52"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44-3-1</v>
      </c>
      <c r="B120" s="98"/>
      <c r="C120" s="72"/>
      <c r="D120" s="55"/>
      <c r="E120" s="55"/>
      <c r="F120" s="56" t="s">
        <v>248</v>
      </c>
      <c r="G120" s="56" t="s">
        <v>204</v>
      </c>
      <c r="H120" s="56"/>
      <c r="I120" s="56"/>
      <c r="J120" s="61"/>
      <c r="K120" s="61"/>
      <c r="L120" s="61"/>
      <c r="M120" s="61"/>
      <c r="N120" s="61"/>
      <c r="O120" s="61"/>
      <c r="P120" s="61"/>
      <c r="Q120" s="61"/>
      <c r="R120" s="61"/>
    </row>
    <row r="121" spans="1:18" ht="22">
      <c r="A121" s="52"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44-4-1</v>
      </c>
      <c r="B121" s="98"/>
      <c r="C121" s="72"/>
      <c r="D121" s="55"/>
      <c r="E121" s="55"/>
      <c r="F121" s="56" t="s">
        <v>249</v>
      </c>
      <c r="G121" s="56" t="s">
        <v>204</v>
      </c>
      <c r="H121" s="56"/>
      <c r="I121" s="56"/>
      <c r="J121" s="61"/>
      <c r="K121" s="61"/>
      <c r="L121" s="61"/>
      <c r="M121" s="61"/>
      <c r="N121" s="61"/>
      <c r="O121" s="61"/>
      <c r="P121" s="61"/>
      <c r="Q121" s="61"/>
      <c r="R121" s="61"/>
    </row>
    <row r="122" spans="1:18" ht="33">
      <c r="A122" s="52"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44-5-1</v>
      </c>
      <c r="B122" s="98"/>
      <c r="C122" s="72"/>
      <c r="D122" s="55"/>
      <c r="E122" s="70"/>
      <c r="F122" s="56" t="s">
        <v>250</v>
      </c>
      <c r="G122" s="56" t="s">
        <v>204</v>
      </c>
      <c r="H122" s="56"/>
      <c r="I122" s="56"/>
      <c r="J122" s="61"/>
      <c r="K122" s="61"/>
      <c r="L122" s="61"/>
      <c r="M122" s="61"/>
      <c r="N122" s="61"/>
      <c r="O122" s="61"/>
      <c r="P122" s="61"/>
      <c r="Q122" s="61"/>
      <c r="R122" s="61"/>
    </row>
    <row r="123" spans="1:18" ht="33">
      <c r="A123" s="52"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45-1-1</v>
      </c>
      <c r="B123" s="98"/>
      <c r="C123" s="72"/>
      <c r="D123" s="55"/>
      <c r="E123" s="55" t="s">
        <v>251</v>
      </c>
      <c r="F123" s="56" t="s">
        <v>252</v>
      </c>
      <c r="G123" s="56" t="s">
        <v>204</v>
      </c>
      <c r="H123" s="56"/>
      <c r="I123" s="56"/>
      <c r="J123" s="61"/>
      <c r="K123" s="61"/>
      <c r="L123" s="61"/>
      <c r="M123" s="61"/>
      <c r="N123" s="61"/>
      <c r="O123" s="61"/>
      <c r="P123" s="61"/>
      <c r="Q123" s="61"/>
      <c r="R123" s="61"/>
    </row>
    <row r="124" spans="1:18" ht="33">
      <c r="A124" s="52"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45-2-1</v>
      </c>
      <c r="B124" s="98"/>
      <c r="C124" s="72"/>
      <c r="D124" s="55"/>
      <c r="E124" s="55"/>
      <c r="F124" s="56" t="s">
        <v>253</v>
      </c>
      <c r="G124" s="56" t="s">
        <v>204</v>
      </c>
      <c r="H124" s="56"/>
      <c r="I124" s="56"/>
      <c r="J124" s="61"/>
      <c r="K124" s="61"/>
      <c r="L124" s="61"/>
      <c r="M124" s="61"/>
      <c r="N124" s="61"/>
      <c r="O124" s="61"/>
      <c r="P124" s="61"/>
      <c r="Q124" s="61"/>
      <c r="R124" s="61"/>
    </row>
    <row r="125" spans="1:18" ht="44">
      <c r="A125" s="52"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45-3-1</v>
      </c>
      <c r="B125" s="98"/>
      <c r="C125" s="72"/>
      <c r="D125" s="55"/>
      <c r="E125" s="55"/>
      <c r="F125" s="56" t="s">
        <v>254</v>
      </c>
      <c r="G125" s="56" t="s">
        <v>204</v>
      </c>
      <c r="H125" s="56"/>
      <c r="I125" s="56"/>
      <c r="J125" s="61"/>
      <c r="K125" s="61"/>
      <c r="L125" s="61"/>
      <c r="M125" s="61"/>
      <c r="N125" s="61"/>
      <c r="O125" s="61"/>
      <c r="P125" s="61"/>
      <c r="Q125" s="61"/>
      <c r="R125" s="61"/>
    </row>
    <row r="126" spans="1:18" ht="44">
      <c r="A126" s="52"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45-4-1</v>
      </c>
      <c r="B126" s="98"/>
      <c r="C126" s="72"/>
      <c r="D126" s="55"/>
      <c r="E126" s="55"/>
      <c r="F126" s="56" t="s">
        <v>255</v>
      </c>
      <c r="G126" s="56" t="s">
        <v>204</v>
      </c>
      <c r="H126" s="56"/>
      <c r="I126" s="56"/>
      <c r="J126" s="61"/>
      <c r="K126" s="61"/>
      <c r="L126" s="61"/>
      <c r="M126" s="61"/>
      <c r="N126" s="61"/>
      <c r="O126" s="61"/>
      <c r="P126" s="61"/>
      <c r="Q126" s="61"/>
      <c r="R126" s="61"/>
    </row>
    <row r="127" spans="1:18" ht="33">
      <c r="A127" s="52"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45-5-1</v>
      </c>
      <c r="B127" s="98"/>
      <c r="C127" s="72"/>
      <c r="D127" s="55"/>
      <c r="E127" s="70"/>
      <c r="F127" s="56" t="s">
        <v>256</v>
      </c>
      <c r="G127" s="56" t="s">
        <v>204</v>
      </c>
      <c r="H127" s="56"/>
      <c r="I127" s="56"/>
      <c r="J127" s="61"/>
      <c r="K127" s="61"/>
      <c r="L127" s="61"/>
      <c r="M127" s="61"/>
      <c r="N127" s="61"/>
      <c r="O127" s="61"/>
      <c r="P127" s="61"/>
      <c r="Q127" s="61"/>
      <c r="R127" s="61"/>
    </row>
    <row r="128" spans="1:18" ht="33">
      <c r="A128" s="52"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46-1-1</v>
      </c>
      <c r="B128" s="98"/>
      <c r="C128" s="72"/>
      <c r="D128" s="70"/>
      <c r="E128" s="70" t="s">
        <v>257</v>
      </c>
      <c r="F128" s="56" t="s">
        <v>258</v>
      </c>
      <c r="G128" s="56" t="s">
        <v>204</v>
      </c>
      <c r="H128" s="56"/>
      <c r="I128" s="56"/>
      <c r="J128" s="61"/>
      <c r="K128" s="61"/>
      <c r="L128" s="61"/>
      <c r="M128" s="61"/>
      <c r="N128" s="61"/>
      <c r="O128" s="61"/>
      <c r="P128" s="61"/>
      <c r="Q128" s="61"/>
      <c r="R128" s="61"/>
    </row>
    <row r="129" spans="1:18" ht="33">
      <c r="A129" s="52"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47-1-1</v>
      </c>
      <c r="B129" s="98"/>
      <c r="C129" s="69"/>
      <c r="D129" s="70" t="s">
        <v>202</v>
      </c>
      <c r="E129" s="70" t="s">
        <v>90</v>
      </c>
      <c r="F129" s="56" t="s">
        <v>259</v>
      </c>
      <c r="G129" s="56" t="s">
        <v>204</v>
      </c>
      <c r="H129" s="56"/>
      <c r="I129" s="56"/>
      <c r="J129" s="61"/>
      <c r="K129" s="61"/>
      <c r="L129" s="61"/>
      <c r="M129" s="61"/>
      <c r="N129" s="61"/>
      <c r="O129" s="61"/>
      <c r="P129" s="61"/>
      <c r="Q129" s="61"/>
      <c r="R129" s="61"/>
    </row>
    <row r="130" spans="1:18" ht="33">
      <c r="A130" s="52"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48-1-1</v>
      </c>
      <c r="B130" s="98"/>
      <c r="C130" s="55" t="s">
        <v>81</v>
      </c>
      <c r="D130" s="55" t="s">
        <v>260</v>
      </c>
      <c r="E130" s="56" t="s">
        <v>261</v>
      </c>
      <c r="F130" s="56" t="s">
        <v>262</v>
      </c>
      <c r="G130" s="56" t="s">
        <v>204</v>
      </c>
      <c r="H130" s="56"/>
      <c r="I130" s="56"/>
      <c r="J130" s="61"/>
      <c r="K130" s="61"/>
      <c r="L130" s="61"/>
      <c r="M130" s="61"/>
      <c r="N130" s="61"/>
      <c r="O130" s="61"/>
      <c r="P130" s="61"/>
      <c r="Q130" s="61"/>
      <c r="R130" s="61"/>
    </row>
    <row r="131" spans="1:18" ht="22">
      <c r="A131" s="52"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49-1-1</v>
      </c>
      <c r="B131" s="98"/>
      <c r="C131" s="55"/>
      <c r="D131" s="55"/>
      <c r="E131" s="55" t="s">
        <v>263</v>
      </c>
      <c r="F131" s="56" t="s">
        <v>264</v>
      </c>
      <c r="G131" s="56" t="s">
        <v>204</v>
      </c>
      <c r="H131" s="56"/>
      <c r="I131" s="56"/>
      <c r="J131" s="61"/>
      <c r="K131" s="61"/>
      <c r="L131" s="61"/>
      <c r="M131" s="61"/>
      <c r="N131" s="61"/>
      <c r="O131" s="61"/>
      <c r="P131" s="61"/>
      <c r="Q131" s="61"/>
      <c r="R131" s="61"/>
    </row>
    <row r="132" spans="1:18" ht="22">
      <c r="A132" s="52"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49-2-1</v>
      </c>
      <c r="B132" s="98"/>
      <c r="C132" s="55"/>
      <c r="D132" s="55"/>
      <c r="E132" s="55"/>
      <c r="F132" s="56" t="s">
        <v>265</v>
      </c>
      <c r="G132" s="56" t="s">
        <v>204</v>
      </c>
      <c r="H132" s="56"/>
      <c r="I132" s="56"/>
      <c r="J132" s="61"/>
      <c r="K132" s="61"/>
      <c r="L132" s="61"/>
      <c r="M132" s="61"/>
      <c r="N132" s="61"/>
      <c r="O132" s="61"/>
      <c r="P132" s="61"/>
      <c r="Q132" s="61"/>
      <c r="R132" s="61"/>
    </row>
    <row r="133" spans="1:18" ht="44">
      <c r="A133" s="52"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49-3-1</v>
      </c>
      <c r="B133" s="99"/>
      <c r="C133" s="70"/>
      <c r="D133" s="70"/>
      <c r="E133" s="70"/>
      <c r="F133" s="56" t="s">
        <v>266</v>
      </c>
      <c r="G133" s="56" t="s">
        <v>204</v>
      </c>
      <c r="H133" s="56"/>
      <c r="I133" s="56"/>
      <c r="J133" s="61"/>
      <c r="K133" s="61"/>
      <c r="L133" s="61"/>
      <c r="M133" s="61"/>
      <c r="N133" s="61"/>
      <c r="O133" s="61"/>
      <c r="P133" s="61"/>
      <c r="Q133" s="61"/>
      <c r="R133" s="61"/>
    </row>
    <row r="134" spans="1:18" ht="22">
      <c r="A134" s="52"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50-1-1</v>
      </c>
      <c r="B134" s="53" t="s">
        <v>267</v>
      </c>
      <c r="C134" s="54" t="s">
        <v>240</v>
      </c>
      <c r="D134" s="54" t="s">
        <v>90</v>
      </c>
      <c r="E134" s="53" t="s">
        <v>90</v>
      </c>
      <c r="F134" s="56" t="s">
        <v>268</v>
      </c>
      <c r="G134" s="56" t="s">
        <v>269</v>
      </c>
      <c r="H134" s="56"/>
      <c r="I134" s="56"/>
      <c r="J134" s="61"/>
      <c r="K134" s="61"/>
      <c r="L134" s="61"/>
      <c r="M134" s="61"/>
      <c r="N134" s="61"/>
      <c r="O134" s="61"/>
      <c r="P134" s="61"/>
      <c r="Q134" s="61"/>
      <c r="R134" s="61"/>
    </row>
    <row r="135" spans="1:18" ht="22">
      <c r="A135" s="52"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50-2-1</v>
      </c>
      <c r="B135" s="245" t="s">
        <v>270</v>
      </c>
      <c r="C135" s="72"/>
      <c r="D135" s="55"/>
      <c r="E135" s="55"/>
      <c r="F135" s="56" t="s">
        <v>271</v>
      </c>
      <c r="G135" s="56" t="s">
        <v>269</v>
      </c>
      <c r="H135" s="56"/>
      <c r="I135" s="56"/>
      <c r="J135" s="61"/>
      <c r="K135" s="61"/>
      <c r="L135" s="61"/>
      <c r="M135" s="61"/>
      <c r="N135" s="61"/>
      <c r="O135" s="61"/>
      <c r="P135" s="61"/>
      <c r="Q135" s="61"/>
      <c r="R135" s="61"/>
    </row>
    <row r="136" spans="1:18" ht="22">
      <c r="A136" s="52"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50-3-1</v>
      </c>
      <c r="B136" s="245"/>
      <c r="C136" s="72"/>
      <c r="D136" s="55"/>
      <c r="E136" s="55"/>
      <c r="F136" s="56" t="s">
        <v>272</v>
      </c>
      <c r="G136" s="56" t="s">
        <v>269</v>
      </c>
      <c r="H136" s="56"/>
      <c r="I136" s="56"/>
      <c r="J136" s="61"/>
      <c r="K136" s="61"/>
      <c r="L136" s="61"/>
      <c r="M136" s="61"/>
      <c r="N136" s="61"/>
      <c r="O136" s="61"/>
      <c r="P136" s="61"/>
      <c r="Q136" s="61"/>
      <c r="R136" s="61"/>
    </row>
    <row r="137" spans="1:18" ht="22">
      <c r="A137" s="52"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50-4-1</v>
      </c>
      <c r="B137" s="98"/>
      <c r="C137" s="72"/>
      <c r="D137" s="55"/>
      <c r="E137" s="70"/>
      <c r="F137" s="56" t="s">
        <v>273</v>
      </c>
      <c r="G137" s="56" t="s">
        <v>269</v>
      </c>
      <c r="H137" s="56"/>
      <c r="I137" s="56"/>
      <c r="J137" s="61"/>
      <c r="K137" s="61"/>
      <c r="L137" s="61"/>
      <c r="M137" s="61"/>
      <c r="N137" s="61"/>
      <c r="O137" s="61"/>
      <c r="P137" s="61"/>
      <c r="Q137" s="61"/>
      <c r="R137" s="61"/>
    </row>
    <row r="138" spans="1:18" ht="22">
      <c r="A138" s="52"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51-1-1</v>
      </c>
      <c r="B138" s="98"/>
      <c r="C138" s="72"/>
      <c r="D138" s="55"/>
      <c r="E138" s="55" t="s">
        <v>274</v>
      </c>
      <c r="F138" s="56" t="s">
        <v>275</v>
      </c>
      <c r="G138" s="56" t="s">
        <v>269</v>
      </c>
      <c r="H138" s="56"/>
      <c r="I138" s="56"/>
      <c r="J138" s="61"/>
      <c r="K138" s="61"/>
      <c r="L138" s="61"/>
      <c r="M138" s="61"/>
      <c r="N138" s="61"/>
      <c r="O138" s="61"/>
      <c r="P138" s="61"/>
      <c r="Q138" s="61"/>
      <c r="R138" s="61"/>
    </row>
    <row r="139" spans="1:18" ht="33">
      <c r="A139" s="52"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51-2-1</v>
      </c>
      <c r="B139" s="98"/>
      <c r="C139" s="72"/>
      <c r="D139" s="70"/>
      <c r="E139" s="70"/>
      <c r="F139" s="56" t="s">
        <v>276</v>
      </c>
      <c r="G139" s="56" t="s">
        <v>269</v>
      </c>
      <c r="H139" s="56"/>
      <c r="I139" s="56"/>
      <c r="J139" s="61"/>
      <c r="K139" s="61"/>
      <c r="L139" s="61"/>
      <c r="M139" s="61"/>
      <c r="N139" s="61"/>
      <c r="O139" s="61"/>
      <c r="P139" s="61"/>
      <c r="Q139" s="61"/>
      <c r="R139" s="61"/>
    </row>
    <row r="140" spans="1:18" ht="33">
      <c r="A140" s="52"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52-1-1</v>
      </c>
      <c r="B140" s="98"/>
      <c r="C140" s="69"/>
      <c r="D140" s="70" t="s">
        <v>202</v>
      </c>
      <c r="E140" s="70" t="s">
        <v>90</v>
      </c>
      <c r="F140" s="56" t="s">
        <v>277</v>
      </c>
      <c r="G140" s="56" t="s">
        <v>269</v>
      </c>
      <c r="H140" s="56"/>
      <c r="I140" s="56"/>
      <c r="J140" s="61"/>
      <c r="K140" s="61"/>
      <c r="L140" s="61"/>
      <c r="M140" s="61"/>
      <c r="N140" s="61"/>
      <c r="O140" s="61"/>
      <c r="P140" s="61"/>
      <c r="Q140" s="61"/>
      <c r="R140" s="61"/>
    </row>
    <row r="141" spans="1:18" ht="33">
      <c r="A141" s="52"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53-1-1</v>
      </c>
      <c r="B141" s="98"/>
      <c r="C141" s="72" t="s">
        <v>278</v>
      </c>
      <c r="D141" s="55" t="s">
        <v>260</v>
      </c>
      <c r="E141" s="56" t="s">
        <v>279</v>
      </c>
      <c r="F141" s="56" t="s">
        <v>280</v>
      </c>
      <c r="G141" s="56" t="s">
        <v>269</v>
      </c>
      <c r="H141" s="56"/>
      <c r="I141" s="56"/>
      <c r="J141" s="61"/>
      <c r="K141" s="61"/>
      <c r="L141" s="61"/>
      <c r="M141" s="61"/>
      <c r="N141" s="61"/>
      <c r="O141" s="61"/>
      <c r="P141" s="61"/>
      <c r="Q141" s="61"/>
      <c r="R141" s="61"/>
    </row>
    <row r="142" spans="1:18" ht="33">
      <c r="A142" s="52"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54-1-1</v>
      </c>
      <c r="B142" s="98"/>
      <c r="C142" s="72"/>
      <c r="D142" s="55"/>
      <c r="E142" s="56" t="s">
        <v>281</v>
      </c>
      <c r="F142" s="56" t="s">
        <v>282</v>
      </c>
      <c r="G142" s="56" t="s">
        <v>269</v>
      </c>
      <c r="H142" s="56"/>
      <c r="I142" s="56"/>
      <c r="J142" s="61"/>
      <c r="K142" s="61"/>
      <c r="L142" s="61"/>
      <c r="M142" s="61"/>
      <c r="N142" s="61"/>
      <c r="O142" s="61"/>
      <c r="P142" s="61"/>
      <c r="Q142" s="61"/>
      <c r="R142" s="61"/>
    </row>
    <row r="143" spans="1:18" ht="33">
      <c r="A143" s="52"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55-1-1</v>
      </c>
      <c r="B143" s="98"/>
      <c r="C143" s="72"/>
      <c r="D143" s="55"/>
      <c r="E143" s="56" t="s">
        <v>283</v>
      </c>
      <c r="F143" s="56" t="s">
        <v>284</v>
      </c>
      <c r="G143" s="56" t="s">
        <v>269</v>
      </c>
      <c r="H143" s="56"/>
      <c r="I143" s="56"/>
      <c r="J143" s="61"/>
      <c r="K143" s="61"/>
      <c r="L143" s="61"/>
      <c r="M143" s="61"/>
      <c r="N143" s="61"/>
      <c r="O143" s="61"/>
      <c r="P143" s="61"/>
      <c r="Q143" s="61"/>
      <c r="R143" s="61"/>
    </row>
    <row r="144" spans="1:18" ht="33">
      <c r="A144" s="52"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56-1-1</v>
      </c>
      <c r="B144" s="98"/>
      <c r="C144" s="72"/>
      <c r="D144" s="55"/>
      <c r="E144" s="56" t="s">
        <v>261</v>
      </c>
      <c r="F144" s="56" t="s">
        <v>285</v>
      </c>
      <c r="G144" s="56" t="s">
        <v>269</v>
      </c>
      <c r="H144" s="56"/>
      <c r="I144" s="56"/>
      <c r="J144" s="61"/>
      <c r="K144" s="61"/>
      <c r="L144" s="61"/>
      <c r="M144" s="61"/>
      <c r="N144" s="61"/>
      <c r="O144" s="61"/>
      <c r="P144" s="61"/>
      <c r="Q144" s="61"/>
      <c r="R144" s="61"/>
    </row>
    <row r="145" spans="1:18" ht="33">
      <c r="A145" s="52"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57-1-1</v>
      </c>
      <c r="B145" s="98"/>
      <c r="C145" s="72"/>
      <c r="D145" s="55"/>
      <c r="E145" s="56" t="s">
        <v>286</v>
      </c>
      <c r="F145" s="56" t="s">
        <v>287</v>
      </c>
      <c r="G145" s="56" t="s">
        <v>269</v>
      </c>
      <c r="H145" s="56"/>
      <c r="I145" s="56"/>
      <c r="J145" s="61"/>
      <c r="K145" s="61"/>
      <c r="L145" s="61"/>
      <c r="M145" s="61"/>
      <c r="N145" s="61"/>
      <c r="O145" s="61"/>
      <c r="P145" s="61"/>
      <c r="Q145" s="61"/>
      <c r="R145" s="61"/>
    </row>
    <row r="146" spans="1:18" ht="22">
      <c r="A146" s="52"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58-1-1</v>
      </c>
      <c r="B146" s="98"/>
      <c r="C146" s="72"/>
      <c r="D146" s="55"/>
      <c r="E146" s="98" t="s">
        <v>288</v>
      </c>
      <c r="F146" s="56" t="s">
        <v>289</v>
      </c>
      <c r="G146" s="56" t="s">
        <v>269</v>
      </c>
      <c r="H146" s="56"/>
      <c r="I146" s="56"/>
      <c r="J146" s="61"/>
      <c r="K146" s="61"/>
      <c r="L146" s="61"/>
      <c r="M146" s="61"/>
      <c r="N146" s="61"/>
      <c r="O146" s="61"/>
      <c r="P146" s="61"/>
      <c r="Q146" s="61"/>
      <c r="R146" s="61"/>
    </row>
    <row r="147" spans="1:18" ht="22">
      <c r="A147" s="52"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58-2-1</v>
      </c>
      <c r="B147" s="98"/>
      <c r="C147" s="72"/>
      <c r="D147" s="55"/>
      <c r="E147" s="98"/>
      <c r="F147" s="56" t="s">
        <v>290</v>
      </c>
      <c r="G147" s="56" t="s">
        <v>269</v>
      </c>
      <c r="H147" s="56"/>
      <c r="I147" s="56"/>
      <c r="J147" s="61"/>
      <c r="K147" s="61"/>
      <c r="L147" s="61"/>
      <c r="M147" s="61"/>
      <c r="N147" s="61"/>
      <c r="O147" s="61"/>
      <c r="P147" s="61"/>
      <c r="Q147" s="61"/>
      <c r="R147" s="61"/>
    </row>
    <row r="148" spans="1:18" ht="22">
      <c r="A148" s="52"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58-3-1</v>
      </c>
      <c r="B148" s="98"/>
      <c r="C148" s="72"/>
      <c r="D148" s="55"/>
      <c r="E148" s="98"/>
      <c r="F148" s="56" t="s">
        <v>291</v>
      </c>
      <c r="G148" s="56" t="s">
        <v>269</v>
      </c>
      <c r="H148" s="56"/>
      <c r="I148" s="56"/>
      <c r="J148" s="61"/>
      <c r="K148" s="61"/>
      <c r="L148" s="61"/>
      <c r="M148" s="61"/>
      <c r="N148" s="61"/>
      <c r="O148" s="61"/>
      <c r="P148" s="61"/>
      <c r="Q148" s="61"/>
      <c r="R148" s="61"/>
    </row>
    <row r="149" spans="1:18" ht="22">
      <c r="A149" s="52"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58-4-1</v>
      </c>
      <c r="B149" s="98"/>
      <c r="C149" s="72"/>
      <c r="D149" s="55"/>
      <c r="E149" s="98"/>
      <c r="F149" s="56" t="s">
        <v>292</v>
      </c>
      <c r="G149" s="56" t="s">
        <v>269</v>
      </c>
      <c r="H149" s="56"/>
      <c r="I149" s="56"/>
      <c r="J149" s="61"/>
      <c r="K149" s="61"/>
      <c r="L149" s="61"/>
      <c r="M149" s="61"/>
      <c r="N149" s="61"/>
      <c r="O149" s="61"/>
      <c r="P149" s="61"/>
      <c r="Q149" s="61"/>
      <c r="R149" s="61"/>
    </row>
    <row r="150" spans="1:18" ht="22">
      <c r="A150" s="52"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58-5-1</v>
      </c>
      <c r="B150" s="98"/>
      <c r="C150" s="72"/>
      <c r="D150" s="55"/>
      <c r="E150" s="98"/>
      <c r="F150" s="56" t="s">
        <v>293</v>
      </c>
      <c r="G150" s="56" t="s">
        <v>269</v>
      </c>
      <c r="H150" s="56"/>
      <c r="I150" s="56"/>
      <c r="J150" s="61"/>
      <c r="K150" s="61"/>
      <c r="L150" s="61"/>
      <c r="M150" s="61"/>
      <c r="N150" s="61"/>
      <c r="O150" s="61"/>
      <c r="P150" s="61"/>
      <c r="Q150" s="61"/>
      <c r="R150" s="61"/>
    </row>
    <row r="151" spans="1:18" ht="22">
      <c r="A151" s="52"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58-6-1</v>
      </c>
      <c r="B151" s="98"/>
      <c r="C151" s="72"/>
      <c r="D151" s="70"/>
      <c r="E151" s="99"/>
      <c r="F151" s="56" t="s">
        <v>294</v>
      </c>
      <c r="G151" s="56" t="s">
        <v>269</v>
      </c>
      <c r="H151" s="56"/>
      <c r="I151" s="56"/>
      <c r="J151" s="61"/>
      <c r="K151" s="61"/>
      <c r="L151" s="61"/>
      <c r="M151" s="61"/>
      <c r="N151" s="61"/>
      <c r="O151" s="61"/>
      <c r="P151" s="61"/>
      <c r="Q151" s="61"/>
      <c r="R151" s="61"/>
    </row>
    <row r="152" spans="1:18" ht="22">
      <c r="A152" s="52"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59-1-1</v>
      </c>
      <c r="B152" s="98"/>
      <c r="C152" s="72"/>
      <c r="D152" s="55" t="s">
        <v>295</v>
      </c>
      <c r="E152" s="98" t="s">
        <v>90</v>
      </c>
      <c r="F152" s="56" t="s">
        <v>296</v>
      </c>
      <c r="G152" s="56" t="s">
        <v>269</v>
      </c>
      <c r="H152" s="56"/>
      <c r="I152" s="56"/>
      <c r="J152" s="61"/>
      <c r="K152" s="61"/>
      <c r="L152" s="61"/>
      <c r="M152" s="61"/>
      <c r="N152" s="61"/>
      <c r="O152" s="61"/>
      <c r="P152" s="61"/>
      <c r="Q152" s="61"/>
      <c r="R152" s="61"/>
    </row>
    <row r="153" spans="1:18" ht="22">
      <c r="A153" s="52"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59-2-1</v>
      </c>
      <c r="B153" s="98"/>
      <c r="C153" s="72"/>
      <c r="D153" s="55"/>
      <c r="E153" s="70"/>
      <c r="F153" s="56" t="s">
        <v>297</v>
      </c>
      <c r="G153" s="56" t="s">
        <v>269</v>
      </c>
      <c r="H153" s="56"/>
      <c r="I153" s="56"/>
      <c r="J153" s="61"/>
      <c r="K153" s="61"/>
      <c r="L153" s="61"/>
      <c r="M153" s="61"/>
      <c r="N153" s="61"/>
      <c r="O153" s="61"/>
      <c r="P153" s="61"/>
      <c r="Q153" s="61"/>
      <c r="R153" s="61"/>
    </row>
    <row r="154" spans="1:18" ht="33">
      <c r="A154" s="52"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60-1-1</v>
      </c>
      <c r="B154" s="98"/>
      <c r="C154" s="72"/>
      <c r="D154" s="55"/>
      <c r="E154" s="55" t="s">
        <v>165</v>
      </c>
      <c r="F154" s="56" t="s">
        <v>298</v>
      </c>
      <c r="G154" s="56" t="s">
        <v>269</v>
      </c>
      <c r="H154" s="56"/>
      <c r="I154" s="56"/>
      <c r="J154" s="61"/>
      <c r="K154" s="61"/>
      <c r="L154" s="61"/>
      <c r="M154" s="61"/>
      <c r="N154" s="61"/>
      <c r="O154" s="61"/>
      <c r="P154" s="61"/>
      <c r="Q154" s="61"/>
      <c r="R154" s="61"/>
    </row>
    <row r="155" spans="1:18" ht="33">
      <c r="A155" s="52"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60-2-1</v>
      </c>
      <c r="B155" s="98"/>
      <c r="C155" s="72"/>
      <c r="D155" s="55"/>
      <c r="E155" s="98"/>
      <c r="F155" s="56" t="s">
        <v>299</v>
      </c>
      <c r="G155" s="56" t="s">
        <v>269</v>
      </c>
      <c r="H155" s="56"/>
      <c r="I155" s="56"/>
      <c r="J155" s="61"/>
      <c r="K155" s="61"/>
      <c r="L155" s="61"/>
      <c r="M155" s="61"/>
      <c r="N155" s="61"/>
      <c r="O155" s="61"/>
      <c r="P155" s="61"/>
      <c r="Q155" s="61"/>
      <c r="R155" s="61"/>
    </row>
    <row r="156" spans="1:18" ht="33">
      <c r="A156" s="52"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60-3-1</v>
      </c>
      <c r="B156" s="98"/>
      <c r="C156" s="72"/>
      <c r="D156" s="55"/>
      <c r="E156" s="98"/>
      <c r="F156" s="56" t="s">
        <v>300</v>
      </c>
      <c r="G156" s="56" t="s">
        <v>269</v>
      </c>
      <c r="H156" s="56"/>
      <c r="I156" s="56"/>
      <c r="J156" s="61"/>
      <c r="K156" s="61"/>
      <c r="L156" s="61"/>
      <c r="M156" s="61"/>
      <c r="N156" s="61"/>
      <c r="O156" s="61"/>
      <c r="P156" s="61"/>
      <c r="Q156" s="61"/>
      <c r="R156" s="61"/>
    </row>
    <row r="157" spans="1:18" ht="33">
      <c r="A157" s="52"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60-4-1</v>
      </c>
      <c r="B157" s="98"/>
      <c r="C157" s="72"/>
      <c r="D157" s="55"/>
      <c r="E157" s="98"/>
      <c r="F157" s="56" t="s">
        <v>301</v>
      </c>
      <c r="G157" s="56" t="s">
        <v>269</v>
      </c>
      <c r="H157" s="56"/>
      <c r="I157" s="56"/>
      <c r="J157" s="61"/>
      <c r="K157" s="61"/>
      <c r="L157" s="61"/>
      <c r="M157" s="61"/>
      <c r="N157" s="61"/>
      <c r="O157" s="61"/>
      <c r="P157" s="61"/>
      <c r="Q157" s="61"/>
      <c r="R157" s="61"/>
    </row>
    <row r="158" spans="1:18" ht="33">
      <c r="A158" s="52"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60-5-1</v>
      </c>
      <c r="B158" s="98"/>
      <c r="C158" s="72"/>
      <c r="D158" s="55"/>
      <c r="E158" s="98"/>
      <c r="F158" s="56" t="s">
        <v>302</v>
      </c>
      <c r="G158" s="56" t="s">
        <v>269</v>
      </c>
      <c r="H158" s="56"/>
      <c r="I158" s="56"/>
      <c r="J158" s="61"/>
      <c r="K158" s="61"/>
      <c r="L158" s="61"/>
      <c r="M158" s="61"/>
      <c r="N158" s="61"/>
      <c r="O158" s="61"/>
      <c r="P158" s="61"/>
      <c r="Q158" s="61"/>
      <c r="R158" s="61"/>
    </row>
    <row r="159" spans="1:18" ht="22">
      <c r="A159" s="52"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60-6-1</v>
      </c>
      <c r="B159" s="98"/>
      <c r="C159" s="72"/>
      <c r="D159" s="55"/>
      <c r="E159" s="98"/>
      <c r="F159" s="56" t="s">
        <v>303</v>
      </c>
      <c r="G159" s="56" t="s">
        <v>269</v>
      </c>
      <c r="H159" s="56"/>
      <c r="I159" s="56"/>
      <c r="J159" s="61"/>
      <c r="K159" s="61"/>
      <c r="L159" s="61"/>
      <c r="M159" s="61"/>
      <c r="N159" s="61"/>
      <c r="O159" s="61"/>
      <c r="P159" s="61"/>
      <c r="Q159" s="61"/>
      <c r="R159" s="61"/>
    </row>
    <row r="160" spans="1:18" ht="22">
      <c r="A160" s="52"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60-7-1</v>
      </c>
      <c r="B160" s="98"/>
      <c r="C160" s="72"/>
      <c r="D160" s="55"/>
      <c r="E160" s="98"/>
      <c r="F160" s="56" t="s">
        <v>304</v>
      </c>
      <c r="G160" s="56" t="s">
        <v>269</v>
      </c>
      <c r="H160" s="56"/>
      <c r="I160" s="56"/>
      <c r="J160" s="61"/>
      <c r="K160" s="61"/>
      <c r="L160" s="61"/>
      <c r="M160" s="61"/>
      <c r="N160" s="61"/>
      <c r="O160" s="61"/>
      <c r="P160" s="61"/>
      <c r="Q160" s="61"/>
      <c r="R160" s="61"/>
    </row>
    <row r="161" spans="1:18" ht="33">
      <c r="A161" s="52"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60-8-1</v>
      </c>
      <c r="B161" s="98"/>
      <c r="C161" s="72"/>
      <c r="D161" s="55"/>
      <c r="E161" s="98"/>
      <c r="F161" s="56" t="s">
        <v>305</v>
      </c>
      <c r="G161" s="56" t="s">
        <v>269</v>
      </c>
      <c r="H161" s="56"/>
      <c r="I161" s="56"/>
      <c r="J161" s="61"/>
      <c r="K161" s="61"/>
      <c r="L161" s="61"/>
      <c r="M161" s="61"/>
      <c r="N161" s="61"/>
      <c r="O161" s="61"/>
      <c r="P161" s="61"/>
      <c r="Q161" s="61"/>
      <c r="R161" s="61"/>
    </row>
    <row r="162" spans="1:18" ht="33">
      <c r="A162" s="52"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60-9-1</v>
      </c>
      <c r="B162" s="98"/>
      <c r="C162" s="72"/>
      <c r="D162" s="55"/>
      <c r="E162" s="98"/>
      <c r="F162" s="56" t="s">
        <v>306</v>
      </c>
      <c r="G162" s="56" t="s">
        <v>269</v>
      </c>
      <c r="H162" s="56"/>
      <c r="I162" s="56"/>
      <c r="J162" s="61"/>
      <c r="K162" s="61"/>
      <c r="L162" s="61"/>
      <c r="M162" s="61"/>
      <c r="N162" s="61"/>
      <c r="O162" s="61"/>
      <c r="P162" s="61"/>
      <c r="Q162" s="61"/>
      <c r="R162" s="61"/>
    </row>
    <row r="163" spans="1:18" ht="33">
      <c r="A163" s="52"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60-10-1</v>
      </c>
      <c r="B163" s="98"/>
      <c r="C163" s="72"/>
      <c r="D163" s="55"/>
      <c r="E163" s="98"/>
      <c r="F163" s="56" t="s">
        <v>307</v>
      </c>
      <c r="G163" s="56" t="s">
        <v>269</v>
      </c>
      <c r="H163" s="56"/>
      <c r="I163" s="56"/>
      <c r="J163" s="61"/>
      <c r="K163" s="61"/>
      <c r="L163" s="61"/>
      <c r="M163" s="61"/>
      <c r="N163" s="61"/>
      <c r="O163" s="61"/>
      <c r="P163" s="61"/>
      <c r="Q163" s="61"/>
      <c r="R163" s="61"/>
    </row>
    <row r="164" spans="1:18" ht="33">
      <c r="A164" s="52"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60-11-1</v>
      </c>
      <c r="B164" s="98"/>
      <c r="C164" s="72"/>
      <c r="D164" s="55"/>
      <c r="E164" s="70"/>
      <c r="F164" s="56" t="s">
        <v>308</v>
      </c>
      <c r="G164" s="56" t="s">
        <v>269</v>
      </c>
      <c r="H164" s="56"/>
      <c r="I164" s="56"/>
      <c r="J164" s="61"/>
      <c r="K164" s="61"/>
      <c r="L164" s="61"/>
      <c r="M164" s="61"/>
      <c r="N164" s="61"/>
      <c r="O164" s="61"/>
      <c r="P164" s="61"/>
      <c r="Q164" s="61"/>
      <c r="R164" s="61"/>
    </row>
    <row r="165" spans="1:18">
      <c r="A165" s="52"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61-1-1</v>
      </c>
      <c r="B165" s="98"/>
      <c r="C165" s="72"/>
      <c r="D165" s="55"/>
      <c r="E165" s="55" t="s">
        <v>97</v>
      </c>
      <c r="F165" s="56" t="s">
        <v>309</v>
      </c>
      <c r="G165" s="56" t="s">
        <v>269</v>
      </c>
      <c r="H165" s="56"/>
      <c r="I165" s="56"/>
      <c r="J165" s="61"/>
      <c r="K165" s="61"/>
      <c r="L165" s="61"/>
      <c r="M165" s="61"/>
      <c r="N165" s="61"/>
      <c r="O165" s="61"/>
      <c r="P165" s="61"/>
      <c r="Q165" s="61"/>
      <c r="R165" s="61"/>
    </row>
    <row r="166" spans="1:18">
      <c r="A166" s="52"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61-2-1</v>
      </c>
      <c r="B166" s="98"/>
      <c r="C166" s="72"/>
      <c r="D166" s="55"/>
      <c r="E166" s="55"/>
      <c r="F166" s="56" t="s">
        <v>310</v>
      </c>
      <c r="G166" s="56" t="s">
        <v>269</v>
      </c>
      <c r="H166" s="56"/>
      <c r="I166" s="56"/>
      <c r="J166" s="61"/>
      <c r="K166" s="61"/>
      <c r="L166" s="61"/>
      <c r="M166" s="61"/>
      <c r="N166" s="61"/>
      <c r="O166" s="61"/>
      <c r="P166" s="61"/>
      <c r="Q166" s="61"/>
      <c r="R166" s="61"/>
    </row>
    <row r="167" spans="1:18" ht="22">
      <c r="A167" s="52"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61-3-1</v>
      </c>
      <c r="B167" s="98"/>
      <c r="C167" s="72"/>
      <c r="D167" s="55"/>
      <c r="E167" s="55"/>
      <c r="F167" s="56" t="s">
        <v>311</v>
      </c>
      <c r="G167" s="56" t="s">
        <v>269</v>
      </c>
      <c r="H167" s="56"/>
      <c r="I167" s="56"/>
      <c r="J167" s="61"/>
      <c r="K167" s="61"/>
      <c r="L167" s="61"/>
      <c r="M167" s="61"/>
      <c r="N167" s="61"/>
      <c r="O167" s="61"/>
      <c r="P167" s="61"/>
      <c r="Q167" s="61"/>
      <c r="R167" s="61"/>
    </row>
    <row r="168" spans="1:18" ht="22">
      <c r="A168" s="52"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61-4-1</v>
      </c>
      <c r="B168" s="98"/>
      <c r="C168" s="72"/>
      <c r="D168" s="55"/>
      <c r="E168" s="55"/>
      <c r="F168" s="56" t="s">
        <v>312</v>
      </c>
      <c r="G168" s="56" t="s">
        <v>269</v>
      </c>
      <c r="H168" s="56"/>
      <c r="I168" s="56"/>
      <c r="J168" s="61"/>
      <c r="K168" s="61"/>
      <c r="L168" s="61"/>
      <c r="M168" s="61"/>
      <c r="N168" s="61"/>
      <c r="O168" s="61"/>
      <c r="P168" s="61"/>
      <c r="Q168" s="61"/>
      <c r="R168" s="61"/>
    </row>
    <row r="169" spans="1:18" ht="22">
      <c r="A169" s="52"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61-5-1</v>
      </c>
      <c r="B169" s="98"/>
      <c r="C169" s="72"/>
      <c r="D169" s="55"/>
      <c r="E169" s="55"/>
      <c r="F169" s="56" t="s">
        <v>313</v>
      </c>
      <c r="G169" s="56" t="s">
        <v>269</v>
      </c>
      <c r="H169" s="56"/>
      <c r="I169" s="56"/>
      <c r="J169" s="61"/>
      <c r="K169" s="61"/>
      <c r="L169" s="61"/>
      <c r="M169" s="61"/>
      <c r="N169" s="61"/>
      <c r="O169" s="61"/>
      <c r="P169" s="61"/>
      <c r="Q169" s="61"/>
      <c r="R169" s="61"/>
    </row>
    <row r="170" spans="1:18" ht="33">
      <c r="A170" s="52"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61-6-1</v>
      </c>
      <c r="B170" s="98"/>
      <c r="C170" s="72"/>
      <c r="D170" s="55"/>
      <c r="E170" s="55"/>
      <c r="F170" s="56" t="s">
        <v>314</v>
      </c>
      <c r="G170" s="56" t="s">
        <v>269</v>
      </c>
      <c r="H170" s="56"/>
      <c r="I170" s="56"/>
      <c r="J170" s="61"/>
      <c r="K170" s="61"/>
      <c r="L170" s="61"/>
      <c r="M170" s="61"/>
      <c r="N170" s="61"/>
      <c r="O170" s="61"/>
      <c r="P170" s="61"/>
      <c r="Q170" s="61"/>
      <c r="R170" s="61"/>
    </row>
    <row r="171" spans="1:18" ht="22">
      <c r="A171" s="52"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61-7-1</v>
      </c>
      <c r="B171" s="55"/>
      <c r="C171" s="72"/>
      <c r="D171" s="55"/>
      <c r="E171" s="70"/>
      <c r="F171" s="56" t="s">
        <v>315</v>
      </c>
      <c r="G171" s="56" t="s">
        <v>269</v>
      </c>
      <c r="H171" s="56"/>
      <c r="I171" s="56"/>
      <c r="J171" s="61"/>
      <c r="K171" s="61"/>
      <c r="L171" s="61"/>
      <c r="M171" s="61"/>
      <c r="N171" s="61"/>
      <c r="O171" s="61"/>
      <c r="P171" s="61"/>
      <c r="Q171" s="61"/>
      <c r="R171" s="61"/>
    </row>
    <row r="172" spans="1:18" ht="22">
      <c r="A172" s="52"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62-1-1</v>
      </c>
      <c r="B172" s="55"/>
      <c r="C172" s="72"/>
      <c r="D172" s="55"/>
      <c r="E172" s="54" t="s">
        <v>251</v>
      </c>
      <c r="F172" s="56" t="s">
        <v>316</v>
      </c>
      <c r="G172" s="56" t="s">
        <v>269</v>
      </c>
      <c r="H172" s="56"/>
      <c r="I172" s="56"/>
      <c r="J172" s="61"/>
      <c r="K172" s="61"/>
      <c r="L172" s="61"/>
      <c r="M172" s="61"/>
      <c r="N172" s="61"/>
      <c r="O172" s="61"/>
      <c r="P172" s="61"/>
      <c r="Q172" s="61"/>
      <c r="R172" s="61"/>
    </row>
    <row r="173" spans="1:18" ht="33">
      <c r="A173" s="52"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62-2-1</v>
      </c>
      <c r="B173" s="98"/>
      <c r="C173" s="72"/>
      <c r="D173" s="55"/>
      <c r="E173" s="55"/>
      <c r="F173" s="56" t="s">
        <v>317</v>
      </c>
      <c r="G173" s="56" t="s">
        <v>269</v>
      </c>
      <c r="H173" s="56"/>
      <c r="I173" s="56"/>
      <c r="J173" s="61"/>
      <c r="K173" s="61"/>
      <c r="L173" s="61"/>
      <c r="M173" s="61"/>
      <c r="N173" s="61"/>
      <c r="O173" s="61"/>
      <c r="P173" s="61"/>
      <c r="Q173" s="61"/>
      <c r="R173" s="61"/>
    </row>
    <row r="174" spans="1:18" ht="33">
      <c r="A174" s="52"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62-3-1</v>
      </c>
      <c r="B174" s="98"/>
      <c r="C174" s="72"/>
      <c r="D174" s="55"/>
      <c r="E174" s="55"/>
      <c r="F174" s="56" t="s">
        <v>318</v>
      </c>
      <c r="G174" s="56" t="s">
        <v>269</v>
      </c>
      <c r="H174" s="56"/>
      <c r="I174" s="56"/>
      <c r="J174" s="61"/>
      <c r="K174" s="61"/>
      <c r="L174" s="61"/>
      <c r="M174" s="61"/>
      <c r="N174" s="61"/>
      <c r="O174" s="61"/>
      <c r="P174" s="61"/>
      <c r="Q174" s="61"/>
      <c r="R174" s="61"/>
    </row>
    <row r="175" spans="1:18" ht="44">
      <c r="A175" s="52"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62-4-1</v>
      </c>
      <c r="B175" s="98"/>
      <c r="C175" s="72"/>
      <c r="D175" s="55"/>
      <c r="E175" s="55"/>
      <c r="F175" s="56" t="s">
        <v>319</v>
      </c>
      <c r="G175" s="56" t="s">
        <v>269</v>
      </c>
      <c r="H175" s="56"/>
      <c r="I175" s="56"/>
      <c r="J175" s="61"/>
      <c r="K175" s="61"/>
      <c r="L175" s="61"/>
      <c r="M175" s="61"/>
      <c r="N175" s="61"/>
      <c r="O175" s="61"/>
      <c r="P175" s="61"/>
      <c r="Q175" s="61"/>
      <c r="R175" s="61"/>
    </row>
    <row r="176" spans="1:18" ht="44">
      <c r="A176" s="52"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62-5-1</v>
      </c>
      <c r="B176" s="98"/>
      <c r="C176" s="72"/>
      <c r="D176" s="55"/>
      <c r="E176" s="55"/>
      <c r="F176" s="56" t="s">
        <v>320</v>
      </c>
      <c r="G176" s="56" t="s">
        <v>269</v>
      </c>
      <c r="H176" s="56"/>
      <c r="I176" s="56"/>
      <c r="J176" s="61"/>
      <c r="K176" s="61"/>
      <c r="L176" s="61"/>
      <c r="M176" s="61"/>
      <c r="N176" s="61"/>
      <c r="O176" s="61"/>
      <c r="P176" s="61"/>
      <c r="Q176" s="61"/>
      <c r="R176" s="61"/>
    </row>
    <row r="177" spans="1:18" ht="33">
      <c r="A177" s="52"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62-6-1</v>
      </c>
      <c r="B177" s="98"/>
      <c r="C177" s="72"/>
      <c r="D177" s="55"/>
      <c r="E177" s="55"/>
      <c r="F177" s="56" t="s">
        <v>321</v>
      </c>
      <c r="G177" s="56" t="s">
        <v>269</v>
      </c>
      <c r="H177" s="56"/>
      <c r="I177" s="56"/>
      <c r="J177" s="61"/>
      <c r="K177" s="61"/>
      <c r="L177" s="61"/>
      <c r="M177" s="61"/>
      <c r="N177" s="61"/>
      <c r="O177" s="61"/>
      <c r="P177" s="61"/>
      <c r="Q177" s="61"/>
      <c r="R177" s="61"/>
    </row>
    <row r="178" spans="1:18" ht="44">
      <c r="A178" s="52"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62-7-1</v>
      </c>
      <c r="B178" s="98"/>
      <c r="C178" s="72"/>
      <c r="D178" s="55"/>
      <c r="E178" s="55"/>
      <c r="F178" s="56" t="s">
        <v>322</v>
      </c>
      <c r="G178" s="56" t="s">
        <v>269</v>
      </c>
      <c r="H178" s="56"/>
      <c r="I178" s="56"/>
      <c r="J178" s="61"/>
      <c r="K178" s="61"/>
      <c r="L178" s="61"/>
      <c r="M178" s="61"/>
      <c r="N178" s="61"/>
      <c r="O178" s="61"/>
      <c r="P178" s="61"/>
      <c r="Q178" s="61"/>
      <c r="R178" s="61"/>
    </row>
    <row r="179" spans="1:18" ht="44">
      <c r="A179" s="52"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62-8-1</v>
      </c>
      <c r="B179" s="98"/>
      <c r="C179" s="72"/>
      <c r="D179" s="55"/>
      <c r="E179" s="55"/>
      <c r="F179" s="56" t="s">
        <v>323</v>
      </c>
      <c r="G179" s="56" t="s">
        <v>269</v>
      </c>
      <c r="H179" s="56"/>
      <c r="I179" s="56"/>
      <c r="J179" s="61"/>
      <c r="K179" s="61"/>
      <c r="L179" s="61"/>
      <c r="M179" s="61"/>
      <c r="N179" s="61"/>
      <c r="O179" s="61"/>
      <c r="P179" s="61"/>
      <c r="Q179" s="61"/>
      <c r="R179" s="61"/>
    </row>
    <row r="180" spans="1:18" ht="22">
      <c r="A180" s="52"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62-9-1</v>
      </c>
      <c r="B180" s="98"/>
      <c r="C180" s="72"/>
      <c r="D180" s="55"/>
      <c r="E180" s="70"/>
      <c r="F180" s="56" t="s">
        <v>324</v>
      </c>
      <c r="G180" s="56" t="s">
        <v>269</v>
      </c>
      <c r="H180" s="56"/>
      <c r="I180" s="56"/>
      <c r="J180" s="61"/>
      <c r="K180" s="61"/>
      <c r="L180" s="61"/>
      <c r="M180" s="61"/>
      <c r="N180" s="61"/>
      <c r="O180" s="61"/>
      <c r="P180" s="61"/>
      <c r="Q180" s="61"/>
      <c r="R180" s="61"/>
    </row>
    <row r="181" spans="1:18" ht="33">
      <c r="A181" s="52"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63-1-1</v>
      </c>
      <c r="B181" s="98"/>
      <c r="C181" s="72"/>
      <c r="D181" s="55"/>
      <c r="E181" s="56" t="s">
        <v>286</v>
      </c>
      <c r="F181" s="56" t="s">
        <v>325</v>
      </c>
      <c r="G181" s="56" t="s">
        <v>269</v>
      </c>
      <c r="H181" s="56"/>
      <c r="I181" s="56"/>
      <c r="J181" s="61"/>
      <c r="K181" s="61"/>
      <c r="L181" s="61"/>
      <c r="M181" s="61"/>
      <c r="N181" s="61"/>
      <c r="O181" s="61"/>
      <c r="P181" s="61"/>
      <c r="Q181" s="61"/>
      <c r="R181" s="61"/>
    </row>
    <row r="182" spans="1:18" ht="22">
      <c r="A182" s="52"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64-1-1</v>
      </c>
      <c r="B182" s="70"/>
      <c r="C182" s="69"/>
      <c r="D182" s="70"/>
      <c r="E182" s="69" t="s">
        <v>326</v>
      </c>
      <c r="F182" s="56" t="s">
        <v>327</v>
      </c>
      <c r="G182" s="56" t="s">
        <v>269</v>
      </c>
      <c r="H182" s="56"/>
      <c r="I182" s="56"/>
      <c r="J182" s="61"/>
      <c r="K182" s="61"/>
      <c r="L182" s="61"/>
      <c r="M182" s="61"/>
      <c r="N182" s="61"/>
      <c r="O182" s="61"/>
      <c r="P182" s="61"/>
      <c r="Q182" s="61"/>
      <c r="R182" s="61"/>
    </row>
    <row r="183" spans="1:18" ht="22">
      <c r="A183" s="52"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65-1-1</v>
      </c>
      <c r="B183" s="85" t="s">
        <v>328</v>
      </c>
      <c r="C183" s="85" t="s">
        <v>240</v>
      </c>
      <c r="D183" s="100" t="s">
        <v>329</v>
      </c>
      <c r="E183" s="68" t="s">
        <v>90</v>
      </c>
      <c r="F183" s="68" t="s">
        <v>330</v>
      </c>
      <c r="G183" s="68" t="s">
        <v>331</v>
      </c>
      <c r="H183" s="68"/>
      <c r="I183" s="68"/>
      <c r="J183" s="67"/>
      <c r="K183" s="67"/>
      <c r="L183" s="67"/>
      <c r="M183" s="67"/>
      <c r="N183" s="67"/>
      <c r="O183" s="67"/>
      <c r="P183" s="67"/>
      <c r="Q183" s="67"/>
      <c r="R183" s="67"/>
    </row>
    <row r="184" spans="1:18" ht="22">
      <c r="A184" s="52"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66-1-1</v>
      </c>
      <c r="B184" s="84"/>
      <c r="C184" s="93"/>
      <c r="D184" s="100" t="s">
        <v>332</v>
      </c>
      <c r="E184" s="68" t="s">
        <v>90</v>
      </c>
      <c r="F184" s="68" t="s">
        <v>333</v>
      </c>
      <c r="G184" s="68" t="s">
        <v>331</v>
      </c>
      <c r="H184" s="68"/>
      <c r="I184" s="68"/>
      <c r="J184" s="67"/>
      <c r="K184" s="67"/>
      <c r="L184" s="67"/>
      <c r="M184" s="67"/>
      <c r="N184" s="67"/>
      <c r="O184" s="67"/>
      <c r="P184" s="67"/>
      <c r="Q184" s="67"/>
      <c r="R184" s="67"/>
    </row>
    <row r="185" spans="1:18">
      <c r="A185" s="52"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67-1-1</v>
      </c>
      <c r="B185" s="86"/>
      <c r="C185" s="101"/>
      <c r="D185" s="101" t="s">
        <v>334</v>
      </c>
      <c r="E185" s="101" t="s">
        <v>90</v>
      </c>
      <c r="F185" s="68" t="s">
        <v>335</v>
      </c>
      <c r="G185" s="68" t="s">
        <v>331</v>
      </c>
      <c r="H185" s="68"/>
      <c r="I185" s="68"/>
      <c r="J185" s="67"/>
      <c r="K185" s="67"/>
      <c r="L185" s="67"/>
      <c r="M185" s="67"/>
      <c r="N185" s="67"/>
      <c r="O185" s="67"/>
      <c r="P185" s="67"/>
      <c r="Q185" s="67"/>
      <c r="R185" s="67"/>
    </row>
    <row r="186" spans="1:18" ht="22">
      <c r="A186" s="52"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68-1-1</v>
      </c>
      <c r="B186" s="85" t="s">
        <v>336</v>
      </c>
      <c r="C186" s="85" t="s">
        <v>240</v>
      </c>
      <c r="D186" s="85" t="s">
        <v>90</v>
      </c>
      <c r="E186" s="68" t="s">
        <v>337</v>
      </c>
      <c r="F186" s="68" t="s">
        <v>338</v>
      </c>
      <c r="G186" s="68" t="s">
        <v>339</v>
      </c>
      <c r="H186" s="68"/>
      <c r="I186" s="68"/>
      <c r="J186" s="67"/>
      <c r="K186" s="67"/>
      <c r="L186" s="67"/>
      <c r="M186" s="67"/>
      <c r="N186" s="67"/>
      <c r="O186" s="67"/>
      <c r="P186" s="67"/>
      <c r="Q186" s="67"/>
      <c r="R186" s="67"/>
    </row>
    <row r="187" spans="1:18" ht="22">
      <c r="A187" s="52"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69-1-1</v>
      </c>
      <c r="B187" s="102"/>
      <c r="C187" s="102"/>
      <c r="D187" s="84"/>
      <c r="E187" s="84" t="s">
        <v>97</v>
      </c>
      <c r="F187" s="68" t="s">
        <v>340</v>
      </c>
      <c r="G187" s="68" t="s">
        <v>339</v>
      </c>
      <c r="H187" s="68"/>
      <c r="I187" s="68"/>
      <c r="J187" s="67"/>
      <c r="K187" s="67"/>
      <c r="L187" s="67"/>
      <c r="M187" s="67"/>
      <c r="N187" s="67"/>
      <c r="O187" s="67"/>
      <c r="P187" s="67"/>
      <c r="Q187" s="67"/>
      <c r="R187" s="67"/>
    </row>
    <row r="188" spans="1:18" ht="22">
      <c r="A188" s="52"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69-2-1</v>
      </c>
      <c r="B188" s="102"/>
      <c r="C188" s="103"/>
      <c r="D188" s="84"/>
      <c r="E188" s="86"/>
      <c r="F188" s="68" t="s">
        <v>341</v>
      </c>
      <c r="G188" s="68" t="s">
        <v>339</v>
      </c>
      <c r="H188" s="68"/>
      <c r="I188" s="68"/>
      <c r="J188" s="67"/>
      <c r="K188" s="67"/>
      <c r="L188" s="67"/>
      <c r="M188" s="67"/>
      <c r="N188" s="67"/>
      <c r="O188" s="67"/>
      <c r="P188" s="67"/>
      <c r="Q188" s="67"/>
      <c r="R188" s="67"/>
    </row>
    <row r="189" spans="1:18" ht="22">
      <c r="A189" s="52"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70-1-1</v>
      </c>
      <c r="B189" s="102"/>
      <c r="C189" s="93"/>
      <c r="D189" s="84"/>
      <c r="E189" s="84" t="s">
        <v>342</v>
      </c>
      <c r="F189" s="68" t="s">
        <v>343</v>
      </c>
      <c r="G189" s="68" t="s">
        <v>339</v>
      </c>
      <c r="H189" s="68"/>
      <c r="I189" s="68"/>
      <c r="J189" s="67"/>
      <c r="K189" s="67"/>
      <c r="L189" s="67"/>
      <c r="M189" s="67"/>
      <c r="N189" s="67"/>
      <c r="O189" s="67"/>
      <c r="P189" s="67"/>
      <c r="Q189" s="67"/>
      <c r="R189" s="67"/>
    </row>
    <row r="190" spans="1:18" ht="22">
      <c r="A190" s="52"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70-2-1</v>
      </c>
      <c r="B190" s="102"/>
      <c r="C190" s="93"/>
      <c r="D190" s="104"/>
      <c r="E190" s="86"/>
      <c r="F190" s="68" t="s">
        <v>344</v>
      </c>
      <c r="G190" s="68" t="s">
        <v>339</v>
      </c>
      <c r="H190" s="68"/>
      <c r="I190" s="68"/>
      <c r="J190" s="67"/>
      <c r="K190" s="67"/>
      <c r="L190" s="67"/>
      <c r="M190" s="67"/>
      <c r="N190" s="67"/>
      <c r="O190" s="67"/>
      <c r="P190" s="67"/>
      <c r="Q190" s="67"/>
      <c r="R190" s="67"/>
    </row>
    <row r="191" spans="1:18" ht="33">
      <c r="A191" s="52"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71-1-1</v>
      </c>
      <c r="B191" s="102"/>
      <c r="C191" s="101"/>
      <c r="D191" s="86" t="s">
        <v>202</v>
      </c>
      <c r="E191" s="86" t="s">
        <v>90</v>
      </c>
      <c r="F191" s="68" t="s">
        <v>345</v>
      </c>
      <c r="G191" s="68" t="s">
        <v>339</v>
      </c>
      <c r="H191" s="68"/>
      <c r="I191" s="68"/>
      <c r="J191" s="67"/>
      <c r="K191" s="67"/>
      <c r="L191" s="67"/>
      <c r="M191" s="67"/>
      <c r="N191" s="67"/>
      <c r="O191" s="67"/>
      <c r="P191" s="67"/>
      <c r="Q191" s="67"/>
      <c r="R191" s="67"/>
    </row>
    <row r="192" spans="1:18" ht="22">
      <c r="A192" s="52"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72-1-1</v>
      </c>
      <c r="B192" s="102"/>
      <c r="C192" s="93" t="s">
        <v>346</v>
      </c>
      <c r="D192" s="84" t="s">
        <v>347</v>
      </c>
      <c r="E192" s="84" t="s">
        <v>348</v>
      </c>
      <c r="F192" s="68" t="s">
        <v>349</v>
      </c>
      <c r="G192" s="68" t="s">
        <v>339</v>
      </c>
      <c r="H192" s="68"/>
      <c r="I192" s="68"/>
      <c r="J192" s="67"/>
      <c r="K192" s="67"/>
      <c r="L192" s="67"/>
      <c r="M192" s="67"/>
      <c r="N192" s="67"/>
      <c r="O192" s="67"/>
      <c r="P192" s="67"/>
      <c r="Q192" s="67"/>
      <c r="R192" s="67"/>
    </row>
    <row r="193" spans="1:18" ht="22">
      <c r="A193" s="52"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72-2-1</v>
      </c>
      <c r="B193" s="102"/>
      <c r="C193" s="103"/>
      <c r="D193" s="84"/>
      <c r="E193" s="84"/>
      <c r="F193" s="68" t="s">
        <v>350</v>
      </c>
      <c r="G193" s="68" t="s">
        <v>339</v>
      </c>
      <c r="H193" s="68"/>
      <c r="I193" s="68"/>
      <c r="J193" s="67"/>
      <c r="K193" s="67"/>
      <c r="L193" s="67"/>
      <c r="M193" s="67"/>
      <c r="N193" s="67"/>
      <c r="O193" s="67"/>
      <c r="P193" s="67"/>
      <c r="Q193" s="67"/>
      <c r="R193" s="67"/>
    </row>
    <row r="194" spans="1:18" ht="22">
      <c r="A194" s="52"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72-3-1</v>
      </c>
      <c r="B194" s="102"/>
      <c r="C194" s="103"/>
      <c r="D194" s="84"/>
      <c r="E194" s="84"/>
      <c r="F194" s="68" t="s">
        <v>351</v>
      </c>
      <c r="G194" s="68" t="s">
        <v>339</v>
      </c>
      <c r="H194" s="68"/>
      <c r="I194" s="68"/>
      <c r="J194" s="67"/>
      <c r="K194" s="67"/>
      <c r="L194" s="67"/>
      <c r="M194" s="67"/>
      <c r="N194" s="67"/>
      <c r="O194" s="67"/>
      <c r="P194" s="67"/>
      <c r="Q194" s="67"/>
      <c r="R194" s="67"/>
    </row>
    <row r="195" spans="1:18" ht="22">
      <c r="A195" s="52"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72-4-1</v>
      </c>
      <c r="B195" s="102"/>
      <c r="C195" s="103"/>
      <c r="D195" s="84"/>
      <c r="E195" s="84"/>
      <c r="F195" s="68" t="s">
        <v>352</v>
      </c>
      <c r="G195" s="68" t="s">
        <v>339</v>
      </c>
      <c r="H195" s="68"/>
      <c r="I195" s="68"/>
      <c r="J195" s="67"/>
      <c r="K195" s="67"/>
      <c r="L195" s="67"/>
      <c r="M195" s="67"/>
      <c r="N195" s="67"/>
      <c r="O195" s="67"/>
      <c r="P195" s="67"/>
      <c r="Q195" s="67"/>
      <c r="R195" s="67"/>
    </row>
    <row r="196" spans="1:18" ht="22">
      <c r="A196" s="52"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72-5-1</v>
      </c>
      <c r="B196" s="102"/>
      <c r="C196" s="103"/>
      <c r="D196" s="84"/>
      <c r="E196" s="84"/>
      <c r="F196" s="68" t="s">
        <v>353</v>
      </c>
      <c r="G196" s="68" t="s">
        <v>339</v>
      </c>
      <c r="H196" s="68"/>
      <c r="I196" s="68"/>
      <c r="J196" s="67"/>
      <c r="K196" s="67"/>
      <c r="L196" s="67"/>
      <c r="M196" s="67"/>
      <c r="N196" s="67"/>
      <c r="O196" s="67"/>
      <c r="P196" s="67"/>
      <c r="Q196" s="67"/>
      <c r="R196" s="67"/>
    </row>
    <row r="197" spans="1:18" ht="22">
      <c r="A197" s="52"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72-6-1</v>
      </c>
      <c r="B197" s="102"/>
      <c r="C197" s="103"/>
      <c r="D197" s="84"/>
      <c r="E197" s="84"/>
      <c r="F197" s="68" t="s">
        <v>354</v>
      </c>
      <c r="G197" s="68" t="s">
        <v>339</v>
      </c>
      <c r="H197" s="68"/>
      <c r="I197" s="68"/>
      <c r="J197" s="67"/>
      <c r="K197" s="67"/>
      <c r="L197" s="67"/>
      <c r="M197" s="67"/>
      <c r="N197" s="67"/>
      <c r="O197" s="67"/>
      <c r="P197" s="67"/>
      <c r="Q197" s="67"/>
      <c r="R197" s="67"/>
    </row>
    <row r="198" spans="1:18" ht="22">
      <c r="A198" s="52"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72-7-1</v>
      </c>
      <c r="B198" s="102"/>
      <c r="C198" s="103"/>
      <c r="D198" s="84"/>
      <c r="E198" s="86"/>
      <c r="F198" s="68" t="s">
        <v>355</v>
      </c>
      <c r="G198" s="68" t="s">
        <v>339</v>
      </c>
      <c r="H198" s="68"/>
      <c r="I198" s="68"/>
      <c r="J198" s="67"/>
      <c r="K198" s="67"/>
      <c r="L198" s="67"/>
      <c r="M198" s="67"/>
      <c r="N198" s="67"/>
      <c r="O198" s="67"/>
      <c r="P198" s="67"/>
      <c r="Q198" s="67"/>
      <c r="R198" s="67"/>
    </row>
    <row r="199" spans="1:18" ht="22">
      <c r="A199" s="52"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73-1-1</v>
      </c>
      <c r="B199" s="102"/>
      <c r="C199" s="102"/>
      <c r="D199" s="86"/>
      <c r="E199" s="86" t="s">
        <v>356</v>
      </c>
      <c r="F199" s="68" t="s">
        <v>357</v>
      </c>
      <c r="G199" s="68" t="s">
        <v>339</v>
      </c>
      <c r="H199" s="68"/>
      <c r="I199" s="68"/>
      <c r="J199" s="67"/>
      <c r="K199" s="67"/>
      <c r="L199" s="67"/>
      <c r="M199" s="67"/>
      <c r="N199" s="67"/>
      <c r="O199" s="67"/>
      <c r="P199" s="67"/>
      <c r="Q199" s="67"/>
      <c r="R199" s="67"/>
    </row>
    <row r="200" spans="1:18" ht="22">
      <c r="A200" s="52"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74-1-1</v>
      </c>
      <c r="B200" s="102"/>
      <c r="C200" s="102"/>
      <c r="D200" s="84" t="s">
        <v>358</v>
      </c>
      <c r="E200" s="84" t="s">
        <v>165</v>
      </c>
      <c r="F200" s="68" t="s">
        <v>359</v>
      </c>
      <c r="G200" s="68" t="s">
        <v>339</v>
      </c>
      <c r="H200" s="68"/>
      <c r="I200" s="68"/>
      <c r="J200" s="67"/>
      <c r="K200" s="67"/>
      <c r="L200" s="67"/>
      <c r="M200" s="67"/>
      <c r="N200" s="67"/>
      <c r="O200" s="67"/>
      <c r="P200" s="67"/>
      <c r="Q200" s="67"/>
      <c r="R200" s="67"/>
    </row>
    <row r="201" spans="1:18" ht="22">
      <c r="A201" s="52"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74-2-1</v>
      </c>
      <c r="B201" s="102"/>
      <c r="C201" s="102"/>
      <c r="D201" s="84"/>
      <c r="E201" s="84"/>
      <c r="F201" s="68" t="s">
        <v>360</v>
      </c>
      <c r="G201" s="68" t="s">
        <v>339</v>
      </c>
      <c r="H201" s="68"/>
      <c r="I201" s="68"/>
      <c r="J201" s="67"/>
      <c r="K201" s="67"/>
      <c r="L201" s="67"/>
      <c r="M201" s="67"/>
      <c r="N201" s="67"/>
      <c r="O201" s="67"/>
      <c r="P201" s="67"/>
      <c r="Q201" s="67"/>
      <c r="R201" s="67"/>
    </row>
    <row r="202" spans="1:18">
      <c r="A202" s="52"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74-3-1</v>
      </c>
      <c r="B202" s="102"/>
      <c r="C202" s="102"/>
      <c r="D202" s="84"/>
      <c r="E202" s="84"/>
      <c r="F202" s="68" t="s">
        <v>361</v>
      </c>
      <c r="G202" s="68" t="s">
        <v>339</v>
      </c>
      <c r="H202" s="68"/>
      <c r="I202" s="68"/>
      <c r="J202" s="67"/>
      <c r="K202" s="67"/>
      <c r="L202" s="67"/>
      <c r="M202" s="67"/>
      <c r="N202" s="67"/>
      <c r="O202" s="67"/>
      <c r="P202" s="67"/>
      <c r="Q202" s="67"/>
      <c r="R202" s="67"/>
    </row>
    <row r="203" spans="1:18" ht="22">
      <c r="A203" s="52"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74-4-1</v>
      </c>
      <c r="B203" s="102"/>
      <c r="C203" s="102"/>
      <c r="D203" s="84"/>
      <c r="E203" s="84"/>
      <c r="F203" s="68" t="s">
        <v>362</v>
      </c>
      <c r="G203" s="68" t="s">
        <v>339</v>
      </c>
      <c r="H203" s="68"/>
      <c r="I203" s="68"/>
      <c r="J203" s="67"/>
      <c r="K203" s="67"/>
      <c r="L203" s="67"/>
      <c r="M203" s="67"/>
      <c r="N203" s="67"/>
      <c r="O203" s="67"/>
      <c r="P203" s="67"/>
      <c r="Q203" s="67"/>
      <c r="R203" s="67"/>
    </row>
    <row r="204" spans="1:18" ht="33">
      <c r="A204" s="52"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74-5-1</v>
      </c>
      <c r="B204" s="102"/>
      <c r="C204" s="102"/>
      <c r="D204" s="84"/>
      <c r="E204" s="84"/>
      <c r="F204" s="68" t="s">
        <v>363</v>
      </c>
      <c r="G204" s="68" t="s">
        <v>339</v>
      </c>
      <c r="H204" s="68"/>
      <c r="I204" s="68"/>
      <c r="J204" s="67"/>
      <c r="K204" s="67"/>
      <c r="L204" s="67"/>
      <c r="M204" s="67"/>
      <c r="N204" s="67"/>
      <c r="O204" s="67"/>
      <c r="P204" s="67"/>
      <c r="Q204" s="67"/>
      <c r="R204" s="67"/>
    </row>
    <row r="205" spans="1:18" ht="33">
      <c r="A205" s="52"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74-6-1</v>
      </c>
      <c r="B205" s="102"/>
      <c r="C205" s="102"/>
      <c r="D205" s="84"/>
      <c r="E205" s="84"/>
      <c r="F205" s="68" t="s">
        <v>364</v>
      </c>
      <c r="G205" s="68" t="s">
        <v>339</v>
      </c>
      <c r="H205" s="68"/>
      <c r="I205" s="68"/>
      <c r="J205" s="67"/>
      <c r="K205" s="67"/>
      <c r="L205" s="67"/>
      <c r="M205" s="67"/>
      <c r="N205" s="67"/>
      <c r="O205" s="67"/>
      <c r="P205" s="67"/>
      <c r="Q205" s="67"/>
      <c r="R205" s="67"/>
    </row>
    <row r="206" spans="1:18" ht="44">
      <c r="A206" s="52"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74-7-1</v>
      </c>
      <c r="B206" s="102"/>
      <c r="C206" s="102"/>
      <c r="D206" s="84"/>
      <c r="E206" s="84"/>
      <c r="F206" s="68" t="s">
        <v>365</v>
      </c>
      <c r="G206" s="68" t="s">
        <v>339</v>
      </c>
      <c r="H206" s="68"/>
      <c r="I206" s="68"/>
      <c r="J206" s="67"/>
      <c r="K206" s="67"/>
      <c r="L206" s="67"/>
      <c r="M206" s="67"/>
      <c r="N206" s="67"/>
      <c r="O206" s="67"/>
      <c r="P206" s="67"/>
      <c r="Q206" s="67"/>
      <c r="R206" s="67"/>
    </row>
    <row r="207" spans="1:18" ht="33">
      <c r="A207" s="52"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74-8-1</v>
      </c>
      <c r="B207" s="102"/>
      <c r="C207" s="102"/>
      <c r="D207" s="84"/>
      <c r="E207" s="84"/>
      <c r="F207" s="68" t="s">
        <v>366</v>
      </c>
      <c r="G207" s="68" t="s">
        <v>339</v>
      </c>
      <c r="H207" s="68"/>
      <c r="I207" s="68"/>
      <c r="J207" s="67"/>
      <c r="K207" s="67"/>
      <c r="L207" s="67"/>
      <c r="M207" s="67"/>
      <c r="N207" s="67"/>
      <c r="O207" s="67"/>
      <c r="P207" s="67"/>
      <c r="Q207" s="67"/>
      <c r="R207" s="67"/>
    </row>
    <row r="208" spans="1:18" ht="33">
      <c r="A208" s="52"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74-9-1</v>
      </c>
      <c r="B208" s="102"/>
      <c r="C208" s="102"/>
      <c r="D208" s="84"/>
      <c r="E208" s="84"/>
      <c r="F208" s="68" t="s">
        <v>367</v>
      </c>
      <c r="G208" s="68" t="s">
        <v>339</v>
      </c>
      <c r="H208" s="68"/>
      <c r="I208" s="68"/>
      <c r="J208" s="67"/>
      <c r="K208" s="67"/>
      <c r="L208" s="67"/>
      <c r="M208" s="67"/>
      <c r="N208" s="67"/>
      <c r="O208" s="67"/>
      <c r="P208" s="67"/>
      <c r="Q208" s="67"/>
      <c r="R208" s="67"/>
    </row>
    <row r="209" spans="1:18" ht="22">
      <c r="A209" s="52"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74-10-1</v>
      </c>
      <c r="B209" s="102"/>
      <c r="C209" s="102"/>
      <c r="D209" s="84"/>
      <c r="E209" s="84"/>
      <c r="F209" s="68" t="s">
        <v>368</v>
      </c>
      <c r="G209" s="68" t="s">
        <v>339</v>
      </c>
      <c r="H209" s="68"/>
      <c r="I209" s="68"/>
      <c r="J209" s="67"/>
      <c r="K209" s="67"/>
      <c r="L209" s="67"/>
      <c r="M209" s="67"/>
      <c r="N209" s="67"/>
      <c r="O209" s="67"/>
      <c r="P209" s="67"/>
      <c r="Q209" s="67"/>
      <c r="R209" s="67"/>
    </row>
    <row r="210" spans="1:18" ht="22">
      <c r="A210" s="52"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74-11-1</v>
      </c>
      <c r="B210" s="102"/>
      <c r="C210" s="102"/>
      <c r="D210" s="84"/>
      <c r="E210" s="84"/>
      <c r="F210" s="68" t="s">
        <v>369</v>
      </c>
      <c r="G210" s="68" t="s">
        <v>339</v>
      </c>
      <c r="H210" s="68"/>
      <c r="I210" s="68"/>
      <c r="J210" s="67"/>
      <c r="K210" s="67"/>
      <c r="L210" s="67"/>
      <c r="M210" s="67"/>
      <c r="N210" s="67"/>
      <c r="O210" s="67"/>
      <c r="P210" s="67"/>
      <c r="Q210" s="67"/>
      <c r="R210" s="67"/>
    </row>
    <row r="211" spans="1:18" ht="33">
      <c r="A211" s="52"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74-12-1</v>
      </c>
      <c r="B211" s="102"/>
      <c r="C211" s="102"/>
      <c r="D211" s="84"/>
      <c r="E211" s="84"/>
      <c r="F211" s="68" t="s">
        <v>370</v>
      </c>
      <c r="G211" s="68" t="s">
        <v>339</v>
      </c>
      <c r="H211" s="68"/>
      <c r="I211" s="68"/>
      <c r="J211" s="67"/>
      <c r="K211" s="67"/>
      <c r="L211" s="67"/>
      <c r="M211" s="67"/>
      <c r="N211" s="67"/>
      <c r="O211" s="67"/>
      <c r="P211" s="67"/>
      <c r="Q211" s="67"/>
      <c r="R211" s="67"/>
    </row>
    <row r="212" spans="1:18" ht="22">
      <c r="A212" s="52"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74-13-1</v>
      </c>
      <c r="B212" s="84"/>
      <c r="C212" s="102"/>
      <c r="D212" s="86"/>
      <c r="E212" s="86"/>
      <c r="F212" s="68" t="s">
        <v>371</v>
      </c>
      <c r="G212" s="68" t="s">
        <v>339</v>
      </c>
      <c r="H212" s="68"/>
      <c r="I212" s="68"/>
      <c r="J212" s="67"/>
      <c r="K212" s="67"/>
      <c r="L212" s="67"/>
      <c r="M212" s="67"/>
      <c r="N212" s="67"/>
      <c r="O212" s="67"/>
      <c r="P212" s="67"/>
      <c r="Q212" s="67"/>
      <c r="R212" s="67"/>
    </row>
    <row r="213" spans="1:18" ht="22">
      <c r="A213" s="52"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75-1-1</v>
      </c>
      <c r="B213" s="84"/>
      <c r="C213" s="102"/>
      <c r="D213" s="85" t="s">
        <v>372</v>
      </c>
      <c r="E213" s="85" t="s">
        <v>165</v>
      </c>
      <c r="F213" s="68" t="s">
        <v>373</v>
      </c>
      <c r="G213" s="68" t="s">
        <v>339</v>
      </c>
      <c r="H213" s="68"/>
      <c r="I213" s="68"/>
      <c r="J213" s="67"/>
      <c r="K213" s="67"/>
      <c r="L213" s="67"/>
      <c r="M213" s="67"/>
      <c r="N213" s="67"/>
      <c r="O213" s="67"/>
      <c r="P213" s="67"/>
      <c r="Q213" s="67"/>
      <c r="R213" s="67"/>
    </row>
    <row r="214" spans="1:18" ht="22">
      <c r="A214" s="52"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75-2-1</v>
      </c>
      <c r="B214" s="102"/>
      <c r="C214" s="102"/>
      <c r="D214" s="84"/>
      <c r="E214" s="84"/>
      <c r="F214" s="68" t="s">
        <v>374</v>
      </c>
      <c r="G214" s="68" t="s">
        <v>339</v>
      </c>
      <c r="H214" s="68"/>
      <c r="I214" s="68"/>
      <c r="J214" s="67"/>
      <c r="K214" s="67"/>
      <c r="L214" s="67"/>
      <c r="M214" s="67"/>
      <c r="N214" s="67"/>
      <c r="O214" s="67"/>
      <c r="P214" s="67"/>
      <c r="Q214" s="67"/>
      <c r="R214" s="67"/>
    </row>
    <row r="215" spans="1:18" ht="22">
      <c r="A215" s="52"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75-3-1</v>
      </c>
      <c r="B215" s="102"/>
      <c r="C215" s="102"/>
      <c r="D215" s="84"/>
      <c r="E215" s="84"/>
      <c r="F215" s="68" t="s">
        <v>375</v>
      </c>
      <c r="G215" s="68" t="s">
        <v>339</v>
      </c>
      <c r="H215" s="68"/>
      <c r="I215" s="68"/>
      <c r="J215" s="67"/>
      <c r="K215" s="67"/>
      <c r="L215" s="67"/>
      <c r="M215" s="67"/>
      <c r="N215" s="67"/>
      <c r="O215" s="67"/>
      <c r="P215" s="67"/>
      <c r="Q215" s="67"/>
      <c r="R215" s="67"/>
    </row>
    <row r="216" spans="1:18">
      <c r="A216" s="52"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75-4-1</v>
      </c>
      <c r="B216" s="102"/>
      <c r="C216" s="102"/>
      <c r="D216" s="84"/>
      <c r="E216" s="84"/>
      <c r="F216" s="68" t="s">
        <v>361</v>
      </c>
      <c r="G216" s="68" t="s">
        <v>339</v>
      </c>
      <c r="H216" s="68"/>
      <c r="I216" s="68"/>
      <c r="J216" s="67"/>
      <c r="K216" s="67"/>
      <c r="L216" s="67"/>
      <c r="M216" s="67"/>
      <c r="N216" s="67"/>
      <c r="O216" s="67"/>
      <c r="P216" s="67"/>
      <c r="Q216" s="67"/>
      <c r="R216" s="67"/>
    </row>
    <row r="217" spans="1:18" ht="22">
      <c r="A217" s="52"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75-5-1</v>
      </c>
      <c r="B217" s="102"/>
      <c r="C217" s="102"/>
      <c r="D217" s="84"/>
      <c r="E217" s="84"/>
      <c r="F217" s="68" t="s">
        <v>362</v>
      </c>
      <c r="G217" s="68" t="s">
        <v>339</v>
      </c>
      <c r="H217" s="68"/>
      <c r="I217" s="68"/>
      <c r="J217" s="67"/>
      <c r="K217" s="67"/>
      <c r="L217" s="67"/>
      <c r="M217" s="67"/>
      <c r="N217" s="67"/>
      <c r="O217" s="67"/>
      <c r="P217" s="67"/>
      <c r="Q217" s="67"/>
      <c r="R217" s="67"/>
    </row>
    <row r="218" spans="1:18" ht="44">
      <c r="A218" s="52"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75-6-1</v>
      </c>
      <c r="B218" s="102"/>
      <c r="C218" s="102"/>
      <c r="D218" s="84"/>
      <c r="E218" s="84"/>
      <c r="F218" s="68" t="s">
        <v>376</v>
      </c>
      <c r="G218" s="68" t="s">
        <v>339</v>
      </c>
      <c r="H218" s="68"/>
      <c r="I218" s="68"/>
      <c r="J218" s="67"/>
      <c r="K218" s="67"/>
      <c r="L218" s="67"/>
      <c r="M218" s="67"/>
      <c r="N218" s="67"/>
      <c r="O218" s="67"/>
      <c r="P218" s="67"/>
      <c r="Q218" s="67"/>
      <c r="R218" s="67"/>
    </row>
    <row r="219" spans="1:18" ht="33">
      <c r="A219" s="52"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75-7-1</v>
      </c>
      <c r="B219" s="102"/>
      <c r="C219" s="102"/>
      <c r="D219" s="84"/>
      <c r="E219" s="84"/>
      <c r="F219" s="68" t="s">
        <v>377</v>
      </c>
      <c r="G219" s="68" t="s">
        <v>339</v>
      </c>
      <c r="H219" s="68"/>
      <c r="I219" s="68"/>
      <c r="J219" s="67"/>
      <c r="K219" s="67"/>
      <c r="L219" s="67"/>
      <c r="M219" s="67"/>
      <c r="N219" s="67"/>
      <c r="O219" s="67"/>
      <c r="P219" s="67"/>
      <c r="Q219" s="67"/>
      <c r="R219" s="67"/>
    </row>
    <row r="220" spans="1:18" ht="33">
      <c r="A220" s="52"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75-8-1</v>
      </c>
      <c r="B220" s="102"/>
      <c r="C220" s="102"/>
      <c r="D220" s="84"/>
      <c r="E220" s="84"/>
      <c r="F220" s="68" t="s">
        <v>378</v>
      </c>
      <c r="G220" s="68" t="s">
        <v>339</v>
      </c>
      <c r="H220" s="68"/>
      <c r="I220" s="68"/>
      <c r="J220" s="67"/>
      <c r="K220" s="67"/>
      <c r="L220" s="67"/>
      <c r="M220" s="67"/>
      <c r="N220" s="67"/>
      <c r="O220" s="67"/>
      <c r="P220" s="67"/>
      <c r="Q220" s="67"/>
      <c r="R220" s="67"/>
    </row>
    <row r="221" spans="1:18" ht="44">
      <c r="A221" s="52"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75-9-1</v>
      </c>
      <c r="B221" s="102"/>
      <c r="C221" s="102"/>
      <c r="D221" s="84"/>
      <c r="E221" s="84"/>
      <c r="F221" s="68" t="s">
        <v>379</v>
      </c>
      <c r="G221" s="68" t="s">
        <v>339</v>
      </c>
      <c r="H221" s="68"/>
      <c r="I221" s="68"/>
      <c r="J221" s="67"/>
      <c r="K221" s="67"/>
      <c r="L221" s="67"/>
      <c r="M221" s="67"/>
      <c r="N221" s="67"/>
      <c r="O221" s="67"/>
      <c r="P221" s="67"/>
      <c r="Q221" s="67"/>
      <c r="R221" s="67"/>
    </row>
    <row r="222" spans="1:18" ht="33">
      <c r="A222" s="52"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75-10-1</v>
      </c>
      <c r="B222" s="102"/>
      <c r="C222" s="102"/>
      <c r="D222" s="84"/>
      <c r="E222" s="84"/>
      <c r="F222" s="68" t="s">
        <v>380</v>
      </c>
      <c r="G222" s="68" t="s">
        <v>339</v>
      </c>
      <c r="H222" s="68"/>
      <c r="I222" s="68"/>
      <c r="J222" s="67"/>
      <c r="K222" s="67"/>
      <c r="L222" s="67"/>
      <c r="M222" s="67"/>
      <c r="N222" s="67"/>
      <c r="O222" s="67"/>
      <c r="P222" s="67"/>
      <c r="Q222" s="67"/>
      <c r="R222" s="67"/>
    </row>
    <row r="223" spans="1:18" ht="33">
      <c r="A223" s="52"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75-11-1</v>
      </c>
      <c r="B223" s="102"/>
      <c r="C223" s="102"/>
      <c r="D223" s="84"/>
      <c r="E223" s="84"/>
      <c r="F223" s="68" t="s">
        <v>381</v>
      </c>
      <c r="G223" s="68" t="s">
        <v>339</v>
      </c>
      <c r="H223" s="68"/>
      <c r="I223" s="68"/>
      <c r="J223" s="67"/>
      <c r="K223" s="67"/>
      <c r="L223" s="67"/>
      <c r="M223" s="67"/>
      <c r="N223" s="67"/>
      <c r="O223" s="67"/>
      <c r="P223" s="67"/>
      <c r="Q223" s="67"/>
      <c r="R223" s="67"/>
    </row>
    <row r="224" spans="1:18" ht="22">
      <c r="A224" s="52"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75-12-1</v>
      </c>
      <c r="B224" s="102"/>
      <c r="C224" s="102"/>
      <c r="D224" s="84"/>
      <c r="E224" s="84"/>
      <c r="F224" s="68" t="s">
        <v>382</v>
      </c>
      <c r="G224" s="68" t="s">
        <v>339</v>
      </c>
      <c r="H224" s="68"/>
      <c r="I224" s="68"/>
      <c r="J224" s="67"/>
      <c r="K224" s="67"/>
      <c r="L224" s="67"/>
      <c r="M224" s="67"/>
      <c r="N224" s="67"/>
      <c r="O224" s="67"/>
      <c r="P224" s="67"/>
      <c r="Q224" s="67"/>
      <c r="R224" s="67"/>
    </row>
    <row r="225" spans="1:18" ht="22">
      <c r="A225" s="52"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75-13-1</v>
      </c>
      <c r="B225" s="102"/>
      <c r="C225" s="102"/>
      <c r="D225" s="84"/>
      <c r="E225" s="84"/>
      <c r="F225" s="68" t="s">
        <v>383</v>
      </c>
      <c r="G225" s="68" t="s">
        <v>339</v>
      </c>
      <c r="H225" s="68"/>
      <c r="I225" s="68"/>
      <c r="J225" s="67"/>
      <c r="K225" s="67"/>
      <c r="L225" s="67"/>
      <c r="M225" s="67"/>
      <c r="N225" s="67"/>
      <c r="O225" s="67"/>
      <c r="P225" s="67"/>
      <c r="Q225" s="67"/>
      <c r="R225" s="67"/>
    </row>
    <row r="226" spans="1:18" ht="33">
      <c r="A226" s="52"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75-14-1</v>
      </c>
      <c r="B226" s="102"/>
      <c r="C226" s="102"/>
      <c r="D226" s="84"/>
      <c r="E226" s="84"/>
      <c r="F226" s="68" t="s">
        <v>384</v>
      </c>
      <c r="G226" s="68" t="s">
        <v>339</v>
      </c>
      <c r="H226" s="68"/>
      <c r="I226" s="68"/>
      <c r="J226" s="67"/>
      <c r="K226" s="67"/>
      <c r="L226" s="67"/>
      <c r="M226" s="67"/>
      <c r="N226" s="67"/>
      <c r="O226" s="67"/>
      <c r="P226" s="67"/>
      <c r="Q226" s="67"/>
      <c r="R226" s="67"/>
    </row>
    <row r="227" spans="1:18" ht="22">
      <c r="A227" s="52"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75-15-1</v>
      </c>
      <c r="B227" s="102"/>
      <c r="C227" s="102"/>
      <c r="D227" s="84"/>
      <c r="E227" s="86"/>
      <c r="F227" s="68" t="s">
        <v>371</v>
      </c>
      <c r="G227" s="68" t="s">
        <v>339</v>
      </c>
      <c r="H227" s="68"/>
      <c r="I227" s="68"/>
      <c r="J227" s="67"/>
      <c r="K227" s="67"/>
      <c r="L227" s="67"/>
      <c r="M227" s="67"/>
      <c r="N227" s="67"/>
      <c r="O227" s="67"/>
      <c r="P227" s="67"/>
      <c r="Q227" s="67"/>
      <c r="R227" s="67"/>
    </row>
    <row r="228" spans="1:18" ht="44">
      <c r="A228" s="52"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76-1-1</v>
      </c>
      <c r="B228" s="102"/>
      <c r="C228" s="102"/>
      <c r="D228" s="84"/>
      <c r="E228" s="84" t="s">
        <v>385</v>
      </c>
      <c r="F228" s="68" t="s">
        <v>386</v>
      </c>
      <c r="G228" s="68" t="s">
        <v>339</v>
      </c>
      <c r="H228" s="68"/>
      <c r="I228" s="68"/>
      <c r="J228" s="67"/>
      <c r="K228" s="67"/>
      <c r="L228" s="67"/>
      <c r="M228" s="67"/>
      <c r="N228" s="67"/>
      <c r="O228" s="67"/>
      <c r="P228" s="67"/>
      <c r="Q228" s="67"/>
      <c r="R228" s="67"/>
    </row>
    <row r="229" spans="1:18" ht="44">
      <c r="A229" s="52"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76-2-1</v>
      </c>
      <c r="B229" s="102"/>
      <c r="C229" s="102"/>
      <c r="D229" s="84"/>
      <c r="E229" s="84"/>
      <c r="F229" s="68" t="s">
        <v>387</v>
      </c>
      <c r="G229" s="68" t="s">
        <v>339</v>
      </c>
      <c r="H229" s="68"/>
      <c r="I229" s="68"/>
      <c r="J229" s="67"/>
      <c r="K229" s="67"/>
      <c r="L229" s="67"/>
      <c r="M229" s="67"/>
      <c r="N229" s="67"/>
      <c r="O229" s="67"/>
      <c r="P229" s="67"/>
      <c r="Q229" s="67"/>
      <c r="R229" s="67"/>
    </row>
    <row r="230" spans="1:18" ht="33">
      <c r="A230" s="52"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76-3-1</v>
      </c>
      <c r="B230" s="102"/>
      <c r="C230" s="102"/>
      <c r="D230" s="84"/>
      <c r="E230" s="86"/>
      <c r="F230" s="68" t="s">
        <v>388</v>
      </c>
      <c r="G230" s="68" t="s">
        <v>339</v>
      </c>
      <c r="H230" s="68"/>
      <c r="I230" s="68"/>
      <c r="J230" s="67"/>
      <c r="K230" s="67"/>
      <c r="L230" s="67"/>
      <c r="M230" s="67"/>
      <c r="N230" s="67"/>
      <c r="O230" s="67"/>
      <c r="P230" s="67"/>
      <c r="Q230" s="67"/>
      <c r="R230" s="67"/>
    </row>
    <row r="231" spans="1:18" ht="33">
      <c r="A231" s="52"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77-1-1</v>
      </c>
      <c r="B231" s="102"/>
      <c r="C231" s="102"/>
      <c r="D231" s="84"/>
      <c r="E231" s="86" t="s">
        <v>195</v>
      </c>
      <c r="F231" s="68" t="s">
        <v>389</v>
      </c>
      <c r="G231" s="68" t="s">
        <v>339</v>
      </c>
      <c r="H231" s="68"/>
      <c r="I231" s="68"/>
      <c r="J231" s="67"/>
      <c r="K231" s="67"/>
      <c r="L231" s="67"/>
      <c r="M231" s="67"/>
      <c r="N231" s="67"/>
      <c r="O231" s="67"/>
      <c r="P231" s="67"/>
      <c r="Q231" s="67"/>
      <c r="R231" s="67"/>
    </row>
    <row r="232" spans="1:18" ht="22">
      <c r="A232" s="52"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78-1-1</v>
      </c>
      <c r="B232" s="86"/>
      <c r="C232" s="86"/>
      <c r="D232" s="86"/>
      <c r="E232" s="105" t="s">
        <v>390</v>
      </c>
      <c r="F232" s="68" t="s">
        <v>391</v>
      </c>
      <c r="G232" s="68" t="s">
        <v>339</v>
      </c>
      <c r="H232" s="68"/>
      <c r="I232" s="68"/>
      <c r="J232" s="67"/>
      <c r="K232" s="67"/>
      <c r="L232" s="67"/>
      <c r="M232" s="67"/>
      <c r="N232" s="67"/>
      <c r="O232" s="67"/>
      <c r="P232" s="67"/>
      <c r="Q232" s="67"/>
      <c r="R232" s="67"/>
    </row>
    <row r="233" spans="1:18" ht="22">
      <c r="A233" s="52"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79-1-1</v>
      </c>
      <c r="B233" s="85" t="s">
        <v>392</v>
      </c>
      <c r="C233" s="85" t="s">
        <v>240</v>
      </c>
      <c r="D233" s="85" t="s">
        <v>90</v>
      </c>
      <c r="E233" s="68" t="s">
        <v>90</v>
      </c>
      <c r="F233" s="68" t="s">
        <v>393</v>
      </c>
      <c r="G233" s="58" t="s">
        <v>394</v>
      </c>
      <c r="H233" s="68"/>
      <c r="I233" s="68"/>
      <c r="J233" s="67"/>
      <c r="K233" s="67"/>
      <c r="L233" s="67"/>
      <c r="M233" s="67"/>
      <c r="N233" s="67"/>
      <c r="O233" s="67"/>
      <c r="P233" s="67"/>
      <c r="Q233" s="67"/>
      <c r="R233" s="67"/>
    </row>
    <row r="234" spans="1:18" ht="22">
      <c r="A234" s="52"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80-1-1</v>
      </c>
      <c r="B234" s="102"/>
      <c r="C234" s="84"/>
      <c r="D234" s="84"/>
      <c r="E234" s="84" t="s">
        <v>179</v>
      </c>
      <c r="F234" s="68" t="s">
        <v>395</v>
      </c>
      <c r="G234" s="58" t="s">
        <v>394</v>
      </c>
      <c r="H234" s="68"/>
      <c r="I234" s="68"/>
      <c r="J234" s="67"/>
      <c r="K234" s="67"/>
      <c r="L234" s="67"/>
      <c r="M234" s="67"/>
      <c r="N234" s="67"/>
      <c r="O234" s="67"/>
      <c r="P234" s="67"/>
      <c r="Q234" s="67"/>
      <c r="R234" s="67"/>
    </row>
    <row r="235" spans="1:18" ht="22">
      <c r="A235" s="52"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80-2-1</v>
      </c>
      <c r="B235" s="102"/>
      <c r="C235" s="84"/>
      <c r="D235" s="84"/>
      <c r="E235" s="84"/>
      <c r="F235" s="68" t="s">
        <v>396</v>
      </c>
      <c r="G235" s="58" t="s">
        <v>394</v>
      </c>
      <c r="H235" s="68"/>
      <c r="I235" s="68"/>
      <c r="J235" s="67"/>
      <c r="K235" s="67"/>
      <c r="L235" s="67"/>
      <c r="M235" s="67"/>
      <c r="N235" s="67"/>
      <c r="O235" s="67"/>
      <c r="P235" s="67"/>
      <c r="Q235" s="67"/>
      <c r="R235" s="67"/>
    </row>
    <row r="236" spans="1:18" ht="22">
      <c r="A236" s="52"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80-3-1</v>
      </c>
      <c r="B236" s="102"/>
      <c r="C236" s="84"/>
      <c r="D236" s="84"/>
      <c r="E236" s="84"/>
      <c r="F236" s="68" t="s">
        <v>397</v>
      </c>
      <c r="G236" s="58" t="s">
        <v>394</v>
      </c>
      <c r="H236" s="68"/>
      <c r="I236" s="68"/>
      <c r="J236" s="67"/>
      <c r="K236" s="67"/>
      <c r="L236" s="67"/>
      <c r="M236" s="67"/>
      <c r="N236" s="67"/>
      <c r="O236" s="67"/>
      <c r="P236" s="67"/>
      <c r="Q236" s="67"/>
      <c r="R236" s="67"/>
    </row>
    <row r="237" spans="1:18" ht="22">
      <c r="A237" s="52"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80-4-1</v>
      </c>
      <c r="B237" s="102"/>
      <c r="C237" s="84"/>
      <c r="D237" s="84"/>
      <c r="E237" s="84"/>
      <c r="F237" s="68" t="s">
        <v>398</v>
      </c>
      <c r="G237" s="58" t="s">
        <v>394</v>
      </c>
      <c r="H237" s="68"/>
      <c r="I237" s="68"/>
      <c r="J237" s="67"/>
      <c r="K237" s="67"/>
      <c r="L237" s="67"/>
      <c r="M237" s="67"/>
      <c r="N237" s="67"/>
      <c r="O237" s="67"/>
      <c r="P237" s="67"/>
      <c r="Q237" s="67"/>
      <c r="R237" s="67"/>
    </row>
    <row r="238" spans="1:18" ht="33">
      <c r="A238" s="52"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80-5-1</v>
      </c>
      <c r="B238" s="102"/>
      <c r="C238" s="84"/>
      <c r="D238" s="84"/>
      <c r="E238" s="86"/>
      <c r="F238" s="68" t="s">
        <v>399</v>
      </c>
      <c r="G238" s="58" t="s">
        <v>394</v>
      </c>
      <c r="H238" s="68"/>
      <c r="I238" s="68"/>
      <c r="J238" s="67"/>
      <c r="K238" s="67"/>
      <c r="L238" s="67"/>
      <c r="M238" s="67"/>
      <c r="N238" s="67"/>
      <c r="O238" s="67"/>
      <c r="P238" s="67"/>
      <c r="Q238" s="67"/>
      <c r="R238" s="67"/>
    </row>
    <row r="239" spans="1:18" ht="33">
      <c r="A239" s="52"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81-1-1</v>
      </c>
      <c r="B239" s="102"/>
      <c r="C239" s="84"/>
      <c r="D239" s="84"/>
      <c r="E239" s="84" t="s">
        <v>251</v>
      </c>
      <c r="F239" s="68" t="s">
        <v>400</v>
      </c>
      <c r="G239" s="58" t="s">
        <v>394</v>
      </c>
      <c r="H239" s="68"/>
      <c r="I239" s="68"/>
      <c r="J239" s="67"/>
      <c r="K239" s="67"/>
      <c r="L239" s="67"/>
      <c r="M239" s="67"/>
      <c r="N239" s="67"/>
      <c r="O239" s="67"/>
      <c r="P239" s="67"/>
      <c r="Q239" s="67"/>
      <c r="R239" s="67"/>
    </row>
    <row r="240" spans="1:18" ht="33">
      <c r="A240" s="52"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81-2-1</v>
      </c>
      <c r="B240" s="102"/>
      <c r="C240" s="84"/>
      <c r="D240" s="84"/>
      <c r="E240" s="84"/>
      <c r="F240" s="68" t="s">
        <v>401</v>
      </c>
      <c r="G240" s="58" t="s">
        <v>394</v>
      </c>
      <c r="H240" s="68"/>
      <c r="I240" s="68"/>
      <c r="J240" s="67"/>
      <c r="K240" s="67"/>
      <c r="L240" s="67"/>
      <c r="M240" s="67"/>
      <c r="N240" s="67"/>
      <c r="O240" s="67"/>
      <c r="P240" s="67"/>
      <c r="Q240" s="67"/>
      <c r="R240" s="67"/>
    </row>
    <row r="241" spans="1:18" ht="44">
      <c r="A241" s="52"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81-3-1</v>
      </c>
      <c r="B241" s="102"/>
      <c r="C241" s="84"/>
      <c r="D241" s="84"/>
      <c r="E241" s="84"/>
      <c r="F241" s="68" t="s">
        <v>402</v>
      </c>
      <c r="G241" s="58" t="s">
        <v>394</v>
      </c>
      <c r="H241" s="68"/>
      <c r="I241" s="68"/>
      <c r="J241" s="67"/>
      <c r="K241" s="67"/>
      <c r="L241" s="67"/>
      <c r="M241" s="67"/>
      <c r="N241" s="67"/>
      <c r="O241" s="67"/>
      <c r="P241" s="67"/>
      <c r="Q241" s="67"/>
      <c r="R241" s="67"/>
    </row>
    <row r="242" spans="1:18" ht="44">
      <c r="A242" s="52"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81-4-1</v>
      </c>
      <c r="B242" s="102"/>
      <c r="C242" s="84"/>
      <c r="D242" s="84"/>
      <c r="E242" s="84"/>
      <c r="F242" s="68" t="s">
        <v>403</v>
      </c>
      <c r="G242" s="58" t="s">
        <v>394</v>
      </c>
      <c r="H242" s="68"/>
      <c r="I242" s="68"/>
      <c r="J242" s="67"/>
      <c r="K242" s="67"/>
      <c r="L242" s="67"/>
      <c r="M242" s="67"/>
      <c r="N242" s="67"/>
      <c r="O242" s="67"/>
      <c r="P242" s="67"/>
      <c r="Q242" s="67"/>
      <c r="R242" s="67"/>
    </row>
    <row r="243" spans="1:18" ht="33">
      <c r="A243" s="52"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81-5-1</v>
      </c>
      <c r="B243" s="102"/>
      <c r="C243" s="84"/>
      <c r="D243" s="84"/>
      <c r="E243" s="86"/>
      <c r="F243" s="68" t="s">
        <v>404</v>
      </c>
      <c r="G243" s="58" t="s">
        <v>394</v>
      </c>
      <c r="H243" s="68"/>
      <c r="I243" s="68"/>
      <c r="J243" s="67"/>
      <c r="K243" s="67"/>
      <c r="L243" s="67"/>
      <c r="M243" s="67"/>
      <c r="N243" s="67"/>
      <c r="O243" s="67"/>
      <c r="P243" s="67"/>
      <c r="Q243" s="67"/>
      <c r="R243" s="67"/>
    </row>
    <row r="244" spans="1:18" ht="33">
      <c r="A244" s="52"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82-1-1</v>
      </c>
      <c r="B244" s="102"/>
      <c r="C244" s="101"/>
      <c r="D244" s="86"/>
      <c r="E244" s="86" t="s">
        <v>257</v>
      </c>
      <c r="F244" s="68" t="s">
        <v>405</v>
      </c>
      <c r="G244" s="58" t="s">
        <v>394</v>
      </c>
      <c r="H244" s="68"/>
      <c r="I244" s="68"/>
      <c r="J244" s="67"/>
      <c r="K244" s="67"/>
      <c r="L244" s="67"/>
      <c r="M244" s="67"/>
      <c r="N244" s="67"/>
      <c r="O244" s="67"/>
      <c r="P244" s="67"/>
      <c r="Q244" s="67"/>
      <c r="R244" s="67"/>
    </row>
    <row r="245" spans="1:18" ht="33">
      <c r="A245" s="52"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83-1-1</v>
      </c>
      <c r="B245" s="86"/>
      <c r="C245" s="86" t="s">
        <v>81</v>
      </c>
      <c r="D245" s="86" t="s">
        <v>260</v>
      </c>
      <c r="E245" s="86" t="s">
        <v>261</v>
      </c>
      <c r="F245" s="68" t="s">
        <v>406</v>
      </c>
      <c r="G245" s="58" t="s">
        <v>394</v>
      </c>
      <c r="H245" s="68"/>
      <c r="I245" s="68"/>
      <c r="J245" s="67"/>
      <c r="K245" s="67"/>
      <c r="L245" s="67"/>
      <c r="M245" s="67"/>
      <c r="N245" s="67"/>
      <c r="O245" s="67"/>
      <c r="P245" s="67"/>
      <c r="Q245" s="67"/>
      <c r="R245" s="67"/>
    </row>
    <row r="246" spans="1:18" ht="22">
      <c r="A246" s="52"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84-1-1</v>
      </c>
      <c r="B246" s="85" t="s">
        <v>407</v>
      </c>
      <c r="C246" s="85" t="s">
        <v>408</v>
      </c>
      <c r="D246" s="85" t="s">
        <v>90</v>
      </c>
      <c r="E246" s="85" t="s">
        <v>90</v>
      </c>
      <c r="F246" s="68" t="s">
        <v>409</v>
      </c>
      <c r="G246" s="58" t="s">
        <v>394</v>
      </c>
      <c r="H246" s="68"/>
      <c r="I246" s="68"/>
      <c r="J246" s="67"/>
      <c r="K246" s="67"/>
      <c r="L246" s="67"/>
      <c r="M246" s="67"/>
      <c r="N246" s="67"/>
      <c r="O246" s="67"/>
      <c r="P246" s="67"/>
      <c r="Q246" s="67"/>
      <c r="R246" s="67"/>
    </row>
    <row r="247" spans="1:18" ht="22">
      <c r="A247" s="52"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84-2-1</v>
      </c>
      <c r="B247" s="102"/>
      <c r="C247" s="84"/>
      <c r="D247" s="86"/>
      <c r="E247" s="86"/>
      <c r="F247" s="68" t="s">
        <v>410</v>
      </c>
      <c r="G247" s="58" t="s">
        <v>394</v>
      </c>
      <c r="H247" s="68"/>
      <c r="I247" s="68"/>
      <c r="J247" s="67"/>
      <c r="K247" s="67"/>
      <c r="L247" s="67"/>
      <c r="M247" s="67"/>
      <c r="N247" s="67"/>
      <c r="O247" s="67"/>
      <c r="P247" s="67"/>
      <c r="Q247" s="67"/>
      <c r="R247" s="67"/>
    </row>
    <row r="248" spans="1:18" ht="33">
      <c r="A248" s="52"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85-1-1</v>
      </c>
      <c r="B248" s="102"/>
      <c r="C248" s="84"/>
      <c r="D248" s="84" t="s">
        <v>202</v>
      </c>
      <c r="E248" s="84" t="s">
        <v>90</v>
      </c>
      <c r="F248" s="68" t="s">
        <v>411</v>
      </c>
      <c r="G248" s="58" t="s">
        <v>394</v>
      </c>
      <c r="H248" s="68"/>
      <c r="I248" s="68"/>
      <c r="J248" s="67"/>
      <c r="K248" s="67"/>
      <c r="L248" s="67"/>
      <c r="M248" s="67"/>
      <c r="N248" s="67"/>
      <c r="O248" s="67"/>
      <c r="P248" s="67"/>
      <c r="Q248" s="67"/>
      <c r="R248" s="67"/>
    </row>
    <row r="249" spans="1:18" ht="33">
      <c r="A249" s="52"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85-2-1</v>
      </c>
      <c r="B249" s="102"/>
      <c r="C249" s="86"/>
      <c r="D249" s="86"/>
      <c r="E249" s="86"/>
      <c r="F249" s="68" t="s">
        <v>412</v>
      </c>
      <c r="G249" s="58" t="s">
        <v>394</v>
      </c>
      <c r="H249" s="68"/>
      <c r="I249" s="68"/>
      <c r="J249" s="67"/>
      <c r="K249" s="67"/>
      <c r="L249" s="67"/>
      <c r="M249" s="67"/>
      <c r="N249" s="67"/>
      <c r="O249" s="67"/>
      <c r="P249" s="67"/>
      <c r="Q249" s="67"/>
      <c r="R249" s="67"/>
    </row>
    <row r="250" spans="1:18" ht="33">
      <c r="A250" s="52"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86-1-1</v>
      </c>
      <c r="B250" s="102"/>
      <c r="C250" s="93" t="s">
        <v>413</v>
      </c>
      <c r="D250" s="84" t="s">
        <v>260</v>
      </c>
      <c r="E250" s="68" t="s">
        <v>279</v>
      </c>
      <c r="F250" s="68" t="s">
        <v>414</v>
      </c>
      <c r="G250" s="58" t="s">
        <v>394</v>
      </c>
      <c r="H250" s="68"/>
      <c r="I250" s="68"/>
      <c r="J250" s="67"/>
      <c r="K250" s="67"/>
      <c r="L250" s="67"/>
      <c r="M250" s="67"/>
      <c r="N250" s="67"/>
      <c r="O250" s="67"/>
      <c r="P250" s="67"/>
      <c r="Q250" s="67"/>
      <c r="R250" s="67"/>
    </row>
    <row r="251" spans="1:18" ht="33">
      <c r="A251" s="52"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87-1-1</v>
      </c>
      <c r="B251" s="102"/>
      <c r="C251" s="93"/>
      <c r="D251" s="84"/>
      <c r="E251" s="68" t="s">
        <v>283</v>
      </c>
      <c r="F251" s="68" t="s">
        <v>415</v>
      </c>
      <c r="G251" s="58" t="s">
        <v>394</v>
      </c>
      <c r="H251" s="68"/>
      <c r="I251" s="68"/>
      <c r="J251" s="67"/>
      <c r="K251" s="67"/>
      <c r="L251" s="67"/>
      <c r="M251" s="67"/>
      <c r="N251" s="67"/>
      <c r="O251" s="67"/>
      <c r="P251" s="67"/>
      <c r="Q251" s="67"/>
      <c r="R251" s="67"/>
    </row>
    <row r="252" spans="1:18" ht="33">
      <c r="A252" s="52"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88-1-1</v>
      </c>
      <c r="B252" s="102"/>
      <c r="C252" s="102"/>
      <c r="D252" s="93"/>
      <c r="E252" s="68" t="s">
        <v>261</v>
      </c>
      <c r="F252" s="68" t="s">
        <v>416</v>
      </c>
      <c r="G252" s="58" t="s">
        <v>394</v>
      </c>
      <c r="H252" s="68"/>
      <c r="I252" s="68"/>
      <c r="J252" s="67"/>
      <c r="K252" s="67"/>
      <c r="L252" s="67"/>
      <c r="M252" s="67"/>
      <c r="N252" s="67"/>
      <c r="O252" s="67"/>
      <c r="P252" s="67"/>
      <c r="Q252" s="67"/>
      <c r="R252" s="67"/>
    </row>
    <row r="253" spans="1:18" ht="33">
      <c r="A253" s="52"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89-1-1</v>
      </c>
      <c r="B253" s="102"/>
      <c r="C253" s="93"/>
      <c r="D253" s="86"/>
      <c r="E253" s="68" t="s">
        <v>286</v>
      </c>
      <c r="F253" s="68" t="s">
        <v>417</v>
      </c>
      <c r="G253" s="58" t="s">
        <v>394</v>
      </c>
      <c r="H253" s="68"/>
      <c r="I253" s="68"/>
      <c r="J253" s="67"/>
      <c r="K253" s="67"/>
      <c r="L253" s="67"/>
      <c r="M253" s="67"/>
      <c r="N253" s="67"/>
      <c r="O253" s="67"/>
      <c r="P253" s="67"/>
      <c r="Q253" s="67"/>
      <c r="R253" s="67"/>
    </row>
    <row r="254" spans="1:18" ht="22">
      <c r="A254" s="52"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90-1-1</v>
      </c>
      <c r="B254" s="102"/>
      <c r="C254" s="102"/>
      <c r="D254" s="84" t="s">
        <v>295</v>
      </c>
      <c r="E254" s="102" t="s">
        <v>90</v>
      </c>
      <c r="F254" s="68" t="s">
        <v>418</v>
      </c>
      <c r="G254" s="58" t="s">
        <v>394</v>
      </c>
      <c r="H254" s="68"/>
      <c r="I254" s="68"/>
      <c r="J254" s="67"/>
      <c r="K254" s="67"/>
      <c r="L254" s="67"/>
      <c r="M254" s="67"/>
      <c r="N254" s="67"/>
      <c r="O254" s="67"/>
      <c r="P254" s="67"/>
      <c r="Q254" s="67"/>
      <c r="R254" s="67"/>
    </row>
    <row r="255" spans="1:18" ht="22">
      <c r="A255" s="52"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90-2-1</v>
      </c>
      <c r="B255" s="102"/>
      <c r="C255" s="102"/>
      <c r="D255" s="93"/>
      <c r="E255" s="86"/>
      <c r="F255" s="68" t="s">
        <v>419</v>
      </c>
      <c r="G255" s="58" t="s">
        <v>394</v>
      </c>
      <c r="H255" s="68"/>
      <c r="I255" s="68"/>
      <c r="J255" s="67"/>
      <c r="K255" s="67"/>
      <c r="L255" s="67"/>
      <c r="M255" s="67"/>
      <c r="N255" s="67"/>
      <c r="O255" s="67"/>
      <c r="P255" s="67"/>
      <c r="Q255" s="67"/>
      <c r="R255" s="67"/>
    </row>
    <row r="256" spans="1:18" ht="33">
      <c r="A256" s="52"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91-1-1</v>
      </c>
      <c r="B256" s="102"/>
      <c r="C256" s="102"/>
      <c r="D256" s="93"/>
      <c r="E256" s="84" t="s">
        <v>165</v>
      </c>
      <c r="F256" s="68" t="s">
        <v>420</v>
      </c>
      <c r="G256" s="58" t="s">
        <v>394</v>
      </c>
      <c r="H256" s="68"/>
      <c r="I256" s="68"/>
      <c r="J256" s="67"/>
      <c r="K256" s="67"/>
      <c r="L256" s="67"/>
      <c r="M256" s="67"/>
      <c r="N256" s="67"/>
      <c r="O256" s="67"/>
      <c r="P256" s="67"/>
      <c r="Q256" s="67"/>
      <c r="R256" s="67"/>
    </row>
    <row r="257" spans="1:18" ht="33">
      <c r="A257" s="52"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91-2-1</v>
      </c>
      <c r="B257" s="102"/>
      <c r="C257" s="102"/>
      <c r="D257" s="93"/>
      <c r="E257" s="84"/>
      <c r="F257" s="68" t="s">
        <v>421</v>
      </c>
      <c r="G257" s="58" t="s">
        <v>394</v>
      </c>
      <c r="H257" s="68"/>
      <c r="I257" s="68"/>
      <c r="J257" s="67"/>
      <c r="K257" s="67"/>
      <c r="L257" s="67"/>
      <c r="M257" s="67"/>
      <c r="N257" s="67"/>
      <c r="O257" s="67"/>
      <c r="P257" s="67"/>
      <c r="Q257" s="67"/>
      <c r="R257" s="67"/>
    </row>
    <row r="258" spans="1:18" ht="33">
      <c r="A258" s="52"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91-3-1</v>
      </c>
      <c r="B258" s="102"/>
      <c r="C258" s="102"/>
      <c r="D258" s="93"/>
      <c r="E258" s="84"/>
      <c r="F258" s="68" t="s">
        <v>422</v>
      </c>
      <c r="G258" s="58" t="s">
        <v>394</v>
      </c>
      <c r="H258" s="68"/>
      <c r="I258" s="68"/>
      <c r="J258" s="67"/>
      <c r="K258" s="67"/>
      <c r="L258" s="67"/>
      <c r="M258" s="67"/>
      <c r="N258" s="67"/>
      <c r="O258" s="67"/>
      <c r="P258" s="67"/>
      <c r="Q258" s="67"/>
      <c r="R258" s="67"/>
    </row>
    <row r="259" spans="1:18" ht="33">
      <c r="A259" s="52"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91-4-1</v>
      </c>
      <c r="B259" s="102"/>
      <c r="C259" s="102"/>
      <c r="D259" s="93"/>
      <c r="E259" s="84"/>
      <c r="F259" s="68" t="s">
        <v>423</v>
      </c>
      <c r="G259" s="58" t="s">
        <v>394</v>
      </c>
      <c r="H259" s="68"/>
      <c r="I259" s="68"/>
      <c r="J259" s="67"/>
      <c r="K259" s="67"/>
      <c r="L259" s="67"/>
      <c r="M259" s="67"/>
      <c r="N259" s="67"/>
      <c r="O259" s="67"/>
      <c r="P259" s="67"/>
      <c r="Q259" s="67"/>
      <c r="R259" s="67"/>
    </row>
    <row r="260" spans="1:18" ht="33">
      <c r="A260" s="52"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91-5-1</v>
      </c>
      <c r="B260" s="84"/>
      <c r="C260" s="84"/>
      <c r="D260" s="84"/>
      <c r="E260" s="102"/>
      <c r="F260" s="68" t="s">
        <v>424</v>
      </c>
      <c r="G260" s="58" t="s">
        <v>394</v>
      </c>
      <c r="H260" s="68"/>
      <c r="I260" s="68"/>
      <c r="J260" s="67"/>
      <c r="K260" s="67"/>
      <c r="L260" s="67"/>
      <c r="M260" s="67"/>
      <c r="N260" s="67"/>
      <c r="O260" s="67"/>
      <c r="P260" s="67"/>
      <c r="Q260" s="67"/>
      <c r="R260" s="67"/>
    </row>
    <row r="261" spans="1:18" ht="22">
      <c r="A261" s="52"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91-6-1</v>
      </c>
      <c r="B261" s="102"/>
      <c r="C261" s="84"/>
      <c r="D261" s="84"/>
      <c r="E261" s="102"/>
      <c r="F261" s="68" t="s">
        <v>425</v>
      </c>
      <c r="G261" s="58" t="s">
        <v>394</v>
      </c>
      <c r="H261" s="68"/>
      <c r="I261" s="68"/>
      <c r="J261" s="67"/>
      <c r="K261" s="67"/>
      <c r="L261" s="67"/>
      <c r="M261" s="67"/>
      <c r="N261" s="67"/>
      <c r="O261" s="67"/>
      <c r="P261" s="67"/>
      <c r="Q261" s="67"/>
      <c r="R261" s="67"/>
    </row>
    <row r="262" spans="1:18" ht="22">
      <c r="A262" s="52"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91-7-1</v>
      </c>
      <c r="B262" s="102"/>
      <c r="C262" s="84"/>
      <c r="D262" s="84"/>
      <c r="E262" s="102"/>
      <c r="F262" s="68" t="s">
        <v>426</v>
      </c>
      <c r="G262" s="58" t="s">
        <v>394</v>
      </c>
      <c r="H262" s="68"/>
      <c r="I262" s="68"/>
      <c r="J262" s="67"/>
      <c r="K262" s="67"/>
      <c r="L262" s="67"/>
      <c r="M262" s="67"/>
      <c r="N262" s="67"/>
      <c r="O262" s="67"/>
      <c r="P262" s="67"/>
      <c r="Q262" s="67"/>
      <c r="R262" s="67"/>
    </row>
    <row r="263" spans="1:18" ht="33">
      <c r="A263" s="52"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91-8-1</v>
      </c>
      <c r="B263" s="102"/>
      <c r="C263" s="84"/>
      <c r="D263" s="84"/>
      <c r="E263" s="102"/>
      <c r="F263" s="68" t="s">
        <v>427</v>
      </c>
      <c r="G263" s="58" t="s">
        <v>394</v>
      </c>
      <c r="H263" s="68"/>
      <c r="I263" s="68"/>
      <c r="J263" s="67"/>
      <c r="K263" s="67"/>
      <c r="L263" s="67"/>
      <c r="M263" s="67"/>
      <c r="N263" s="67"/>
      <c r="O263" s="67"/>
      <c r="P263" s="67"/>
      <c r="Q263" s="67"/>
      <c r="R263" s="67"/>
    </row>
    <row r="264" spans="1:18" ht="33">
      <c r="A264" s="52"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91-9-1</v>
      </c>
      <c r="B264" s="102"/>
      <c r="C264" s="84"/>
      <c r="D264" s="84"/>
      <c r="E264" s="102"/>
      <c r="F264" s="68" t="s">
        <v>428</v>
      </c>
      <c r="G264" s="58" t="s">
        <v>394</v>
      </c>
      <c r="H264" s="68"/>
      <c r="I264" s="68"/>
      <c r="J264" s="67"/>
      <c r="K264" s="67"/>
      <c r="L264" s="67"/>
      <c r="M264" s="67"/>
      <c r="N264" s="67"/>
      <c r="O264" s="67"/>
      <c r="P264" s="67"/>
      <c r="Q264" s="67"/>
      <c r="R264" s="67"/>
    </row>
    <row r="265" spans="1:18" ht="33">
      <c r="A265" s="52"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91-10-1</v>
      </c>
      <c r="B265" s="102"/>
      <c r="C265" s="84"/>
      <c r="D265" s="84"/>
      <c r="E265" s="84"/>
      <c r="F265" s="68" t="s">
        <v>429</v>
      </c>
      <c r="G265" s="58" t="s">
        <v>394</v>
      </c>
      <c r="H265" s="68"/>
      <c r="I265" s="68"/>
      <c r="J265" s="67"/>
      <c r="K265" s="67"/>
      <c r="L265" s="67"/>
      <c r="M265" s="67"/>
      <c r="N265" s="67"/>
      <c r="O265" s="67"/>
      <c r="P265" s="67"/>
      <c r="Q265" s="67"/>
      <c r="R265" s="67"/>
    </row>
    <row r="266" spans="1:18" ht="33">
      <c r="A266" s="52"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91-11-1</v>
      </c>
      <c r="B266" s="102"/>
      <c r="C266" s="84"/>
      <c r="D266" s="84"/>
      <c r="E266" s="86"/>
      <c r="F266" s="68" t="s">
        <v>430</v>
      </c>
      <c r="G266" s="58" t="s">
        <v>394</v>
      </c>
      <c r="H266" s="68"/>
      <c r="I266" s="68"/>
      <c r="J266" s="67"/>
      <c r="K266" s="67"/>
      <c r="L266" s="67"/>
      <c r="M266" s="67"/>
      <c r="N266" s="67"/>
      <c r="O266" s="67"/>
      <c r="P266" s="67"/>
      <c r="Q266" s="67"/>
      <c r="R266" s="67"/>
    </row>
    <row r="267" spans="1:18">
      <c r="A267" s="52"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92-1-1</v>
      </c>
      <c r="B267" s="102"/>
      <c r="C267" s="84"/>
      <c r="D267" s="84"/>
      <c r="E267" s="84" t="s">
        <v>97</v>
      </c>
      <c r="F267" s="68" t="s">
        <v>431</v>
      </c>
      <c r="G267" s="58" t="s">
        <v>394</v>
      </c>
      <c r="H267" s="68"/>
      <c r="I267" s="68"/>
      <c r="J267" s="67"/>
      <c r="K267" s="67"/>
      <c r="L267" s="67"/>
      <c r="M267" s="67"/>
      <c r="N267" s="67"/>
      <c r="O267" s="67"/>
      <c r="P267" s="67"/>
      <c r="Q267" s="67"/>
      <c r="R267" s="67"/>
    </row>
    <row r="268" spans="1:18">
      <c r="A268" s="52"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92-2-1</v>
      </c>
      <c r="B268" s="102"/>
      <c r="C268" s="84"/>
      <c r="D268" s="84"/>
      <c r="E268" s="84"/>
      <c r="F268" s="68" t="s">
        <v>432</v>
      </c>
      <c r="G268" s="58" t="s">
        <v>394</v>
      </c>
      <c r="H268" s="68"/>
      <c r="I268" s="68"/>
      <c r="J268" s="67"/>
      <c r="K268" s="67"/>
      <c r="L268" s="67"/>
      <c r="M268" s="67"/>
      <c r="N268" s="67"/>
      <c r="O268" s="67"/>
      <c r="P268" s="67"/>
      <c r="Q268" s="67"/>
      <c r="R268" s="67"/>
    </row>
    <row r="269" spans="1:18" ht="22">
      <c r="A269" s="52"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92-3-1</v>
      </c>
      <c r="B269" s="102"/>
      <c r="C269" s="102"/>
      <c r="D269" s="84"/>
      <c r="E269" s="84"/>
      <c r="F269" s="68" t="s">
        <v>433</v>
      </c>
      <c r="G269" s="58" t="s">
        <v>394</v>
      </c>
      <c r="H269" s="68"/>
      <c r="I269" s="68"/>
      <c r="J269" s="67"/>
      <c r="K269" s="67"/>
      <c r="L269" s="67"/>
      <c r="M269" s="67"/>
      <c r="N269" s="67"/>
      <c r="O269" s="67"/>
      <c r="P269" s="67"/>
      <c r="Q269" s="67"/>
      <c r="R269" s="67"/>
    </row>
    <row r="270" spans="1:18" ht="22">
      <c r="A270" s="52"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92-4-1</v>
      </c>
      <c r="B270" s="102"/>
      <c r="C270" s="102"/>
      <c r="D270" s="93"/>
      <c r="E270" s="84"/>
      <c r="F270" s="68" t="s">
        <v>434</v>
      </c>
      <c r="G270" s="58" t="s">
        <v>394</v>
      </c>
      <c r="H270" s="68"/>
      <c r="I270" s="68"/>
      <c r="J270" s="67"/>
      <c r="K270" s="67"/>
      <c r="L270" s="67"/>
      <c r="M270" s="67"/>
      <c r="N270" s="67"/>
      <c r="O270" s="67"/>
      <c r="P270" s="67"/>
      <c r="Q270" s="67"/>
      <c r="R270" s="67"/>
    </row>
    <row r="271" spans="1:18" ht="22">
      <c r="A271" s="52"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92-5-1</v>
      </c>
      <c r="B271" s="102"/>
      <c r="C271" s="102"/>
      <c r="D271" s="93"/>
      <c r="E271" s="84"/>
      <c r="F271" s="68" t="s">
        <v>435</v>
      </c>
      <c r="G271" s="58" t="s">
        <v>394</v>
      </c>
      <c r="H271" s="68"/>
      <c r="I271" s="68"/>
      <c r="J271" s="67"/>
      <c r="K271" s="67"/>
      <c r="L271" s="67"/>
      <c r="M271" s="67"/>
      <c r="N271" s="67"/>
      <c r="O271" s="67"/>
      <c r="P271" s="67"/>
      <c r="Q271" s="67"/>
      <c r="R271" s="67"/>
    </row>
    <row r="272" spans="1:18" ht="33">
      <c r="A272" s="52"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92-6-1</v>
      </c>
      <c r="B272" s="102"/>
      <c r="C272" s="102"/>
      <c r="D272" s="93"/>
      <c r="E272" s="86"/>
      <c r="F272" s="68" t="s">
        <v>436</v>
      </c>
      <c r="G272" s="58" t="s">
        <v>394</v>
      </c>
      <c r="H272" s="68"/>
      <c r="I272" s="68"/>
      <c r="J272" s="67"/>
      <c r="K272" s="67"/>
      <c r="L272" s="67"/>
      <c r="M272" s="67"/>
      <c r="N272" s="67"/>
      <c r="O272" s="67"/>
      <c r="P272" s="67"/>
      <c r="Q272" s="67"/>
      <c r="R272" s="67"/>
    </row>
    <row r="273" spans="1:18" ht="22">
      <c r="A273" s="52"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93-1-1</v>
      </c>
      <c r="B273" s="102"/>
      <c r="C273" s="102"/>
      <c r="D273" s="93"/>
      <c r="E273" s="84" t="s">
        <v>251</v>
      </c>
      <c r="F273" s="68" t="s">
        <v>437</v>
      </c>
      <c r="G273" s="58" t="s">
        <v>394</v>
      </c>
      <c r="H273" s="68"/>
      <c r="I273" s="68"/>
      <c r="J273" s="67"/>
      <c r="K273" s="67"/>
      <c r="L273" s="67"/>
      <c r="M273" s="67"/>
      <c r="N273" s="67"/>
      <c r="O273" s="67"/>
      <c r="P273" s="67"/>
      <c r="Q273" s="67"/>
      <c r="R273" s="67"/>
    </row>
    <row r="274" spans="1:18" ht="33">
      <c r="A274" s="52"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93-2-1</v>
      </c>
      <c r="B274" s="102"/>
      <c r="C274" s="102"/>
      <c r="D274" s="93"/>
      <c r="E274" s="84"/>
      <c r="F274" s="68" t="s">
        <v>438</v>
      </c>
      <c r="G274" s="58" t="s">
        <v>394</v>
      </c>
      <c r="H274" s="68"/>
      <c r="I274" s="68"/>
      <c r="J274" s="67"/>
      <c r="K274" s="67"/>
      <c r="L274" s="67"/>
      <c r="M274" s="67"/>
      <c r="N274" s="67"/>
      <c r="O274" s="67"/>
      <c r="P274" s="67"/>
      <c r="Q274" s="67"/>
      <c r="R274" s="67"/>
    </row>
    <row r="275" spans="1:18" ht="44">
      <c r="A275" s="52"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93-3-1</v>
      </c>
      <c r="B275" s="102"/>
      <c r="C275" s="102"/>
      <c r="D275" s="93"/>
      <c r="E275" s="84"/>
      <c r="F275" s="68" t="s">
        <v>439</v>
      </c>
      <c r="G275" s="58" t="s">
        <v>394</v>
      </c>
      <c r="H275" s="68"/>
      <c r="I275" s="68"/>
      <c r="J275" s="67"/>
      <c r="K275" s="67"/>
      <c r="L275" s="67"/>
      <c r="M275" s="67"/>
      <c r="N275" s="67"/>
      <c r="O275" s="67"/>
      <c r="P275" s="67"/>
      <c r="Q275" s="67"/>
      <c r="R275" s="67"/>
    </row>
    <row r="276" spans="1:18" ht="44">
      <c r="A276" s="52"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93-4-1</v>
      </c>
      <c r="B276" s="102"/>
      <c r="C276" s="102"/>
      <c r="D276" s="93"/>
      <c r="E276" s="84"/>
      <c r="F276" s="68" t="s">
        <v>440</v>
      </c>
      <c r="G276" s="58" t="s">
        <v>394</v>
      </c>
      <c r="H276" s="68"/>
      <c r="I276" s="68"/>
      <c r="J276" s="67"/>
      <c r="K276" s="67"/>
      <c r="L276" s="67"/>
      <c r="M276" s="67"/>
      <c r="N276" s="67"/>
      <c r="O276" s="67"/>
      <c r="P276" s="67"/>
      <c r="Q276" s="67"/>
      <c r="R276" s="67"/>
    </row>
    <row r="277" spans="1:18" ht="22">
      <c r="A277" s="52"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93-5-1</v>
      </c>
      <c r="B277" s="102"/>
      <c r="C277" s="102"/>
      <c r="D277" s="93"/>
      <c r="E277" s="84"/>
      <c r="F277" s="68" t="s">
        <v>441</v>
      </c>
      <c r="G277" s="58" t="s">
        <v>394</v>
      </c>
      <c r="H277" s="68"/>
      <c r="I277" s="68"/>
      <c r="J277" s="67"/>
      <c r="K277" s="67"/>
      <c r="L277" s="67"/>
      <c r="M277" s="67"/>
      <c r="N277" s="67"/>
      <c r="O277" s="67"/>
      <c r="P277" s="67"/>
      <c r="Q277" s="67"/>
      <c r="R277" s="67"/>
    </row>
    <row r="278" spans="1:18" ht="44">
      <c r="A278" s="52"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93-6-1</v>
      </c>
      <c r="B278" s="102"/>
      <c r="C278" s="102"/>
      <c r="D278" s="93"/>
      <c r="E278" s="84"/>
      <c r="F278" s="68" t="s">
        <v>442</v>
      </c>
      <c r="G278" s="58" t="s">
        <v>394</v>
      </c>
      <c r="H278" s="68"/>
      <c r="I278" s="68"/>
      <c r="J278" s="67"/>
      <c r="K278" s="67"/>
      <c r="L278" s="67"/>
      <c r="M278" s="67"/>
      <c r="N278" s="67"/>
      <c r="O278" s="67"/>
      <c r="P278" s="67"/>
      <c r="Q278" s="67"/>
      <c r="R278" s="67"/>
    </row>
    <row r="279" spans="1:18" ht="44">
      <c r="A279" s="52"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93-7-1</v>
      </c>
      <c r="B279" s="102"/>
      <c r="C279" s="102"/>
      <c r="D279" s="93"/>
      <c r="E279" s="84"/>
      <c r="F279" s="68" t="s">
        <v>443</v>
      </c>
      <c r="G279" s="58" t="s">
        <v>394</v>
      </c>
      <c r="H279" s="68"/>
      <c r="I279" s="68"/>
      <c r="J279" s="67"/>
      <c r="K279" s="67"/>
      <c r="L279" s="67"/>
      <c r="M279" s="67"/>
      <c r="N279" s="67"/>
      <c r="O279" s="67"/>
      <c r="P279" s="67"/>
      <c r="Q279" s="67"/>
      <c r="R279" s="67"/>
    </row>
    <row r="280" spans="1:18" ht="22">
      <c r="A280" s="52"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93-8-1</v>
      </c>
      <c r="B280" s="102"/>
      <c r="C280" s="102"/>
      <c r="D280" s="93"/>
      <c r="E280" s="86"/>
      <c r="F280" s="68" t="s">
        <v>444</v>
      </c>
      <c r="G280" s="58" t="s">
        <v>394</v>
      </c>
      <c r="H280" s="68"/>
      <c r="I280" s="68"/>
      <c r="J280" s="67"/>
      <c r="K280" s="67"/>
      <c r="L280" s="67"/>
      <c r="M280" s="67"/>
      <c r="N280" s="67"/>
      <c r="O280" s="67"/>
      <c r="P280" s="67"/>
      <c r="Q280" s="67"/>
      <c r="R280" s="67"/>
    </row>
    <row r="281" spans="1:18" ht="22">
      <c r="A281" s="52"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94-1-1</v>
      </c>
      <c r="B281" s="105"/>
      <c r="C281" s="105"/>
      <c r="D281" s="101"/>
      <c r="E281" s="86" t="s">
        <v>286</v>
      </c>
      <c r="F281" s="68" t="s">
        <v>445</v>
      </c>
      <c r="G281" s="58" t="s">
        <v>394</v>
      </c>
      <c r="H281" s="68"/>
      <c r="I281" s="68"/>
      <c r="J281" s="67"/>
      <c r="K281" s="67"/>
      <c r="L281" s="67"/>
      <c r="M281" s="67"/>
      <c r="N281" s="67"/>
      <c r="O281" s="67"/>
      <c r="P281" s="67"/>
      <c r="Q281" s="67"/>
      <c r="R281" s="67"/>
    </row>
    <row r="282" spans="1:18" ht="22">
      <c r="A282" s="52"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95-1-1</v>
      </c>
      <c r="B282" s="53" t="s">
        <v>446</v>
      </c>
      <c r="C282" s="54" t="s">
        <v>447</v>
      </c>
      <c r="D282" s="54" t="s">
        <v>90</v>
      </c>
      <c r="E282" s="54" t="s">
        <v>90</v>
      </c>
      <c r="F282" s="56" t="s">
        <v>448</v>
      </c>
      <c r="G282" s="56" t="s">
        <v>449</v>
      </c>
      <c r="H282" s="56"/>
      <c r="I282" s="56"/>
      <c r="J282" s="61"/>
      <c r="K282" s="61"/>
      <c r="L282" s="58"/>
      <c r="M282" s="58"/>
      <c r="N282" s="61"/>
      <c r="O282" s="61"/>
      <c r="P282" s="61"/>
      <c r="Q282" s="61"/>
      <c r="R282" s="61"/>
    </row>
    <row r="283" spans="1:18" ht="22">
      <c r="A283" s="52"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95-2-1</v>
      </c>
      <c r="B283" s="62"/>
      <c r="C283" s="74"/>
      <c r="D283" s="55"/>
      <c r="E283" s="55"/>
      <c r="F283" s="56" t="s">
        <v>450</v>
      </c>
      <c r="G283" s="56" t="s">
        <v>449</v>
      </c>
      <c r="H283" s="56"/>
      <c r="I283" s="56"/>
      <c r="J283" s="61"/>
      <c r="K283" s="61"/>
      <c r="L283" s="58"/>
      <c r="M283" s="58"/>
      <c r="N283" s="61"/>
      <c r="O283" s="61"/>
      <c r="P283" s="61"/>
      <c r="Q283" s="61"/>
      <c r="R283" s="61"/>
    </row>
    <row r="284" spans="1:18" ht="22">
      <c r="A284" s="52"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95-3-1</v>
      </c>
      <c r="B284" s="62"/>
      <c r="C284" s="74"/>
      <c r="D284" s="55"/>
      <c r="E284" s="55"/>
      <c r="F284" s="56" t="s">
        <v>451</v>
      </c>
      <c r="G284" s="56" t="s">
        <v>449</v>
      </c>
      <c r="H284" s="56"/>
      <c r="I284" s="56"/>
      <c r="J284" s="61"/>
      <c r="K284" s="61"/>
      <c r="L284" s="58"/>
      <c r="M284" s="58"/>
      <c r="N284" s="61"/>
      <c r="O284" s="61"/>
      <c r="P284" s="61"/>
      <c r="Q284" s="61"/>
      <c r="R284" s="61"/>
    </row>
    <row r="285" spans="1:18" ht="22">
      <c r="A285" s="52"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95-4-1</v>
      </c>
      <c r="B285" s="62"/>
      <c r="C285" s="106"/>
      <c r="D285" s="70"/>
      <c r="E285" s="70"/>
      <c r="F285" s="56" t="s">
        <v>452</v>
      </c>
      <c r="G285" s="56" t="s">
        <v>449</v>
      </c>
      <c r="H285" s="56"/>
      <c r="I285" s="56"/>
      <c r="J285" s="61"/>
      <c r="K285" s="61"/>
      <c r="L285" s="58"/>
      <c r="M285" s="58"/>
      <c r="N285" s="61"/>
      <c r="O285" s="61"/>
      <c r="P285" s="61"/>
      <c r="Q285" s="61"/>
      <c r="R285" s="61"/>
    </row>
    <row r="286" spans="1:18" ht="22">
      <c r="A286" s="52"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96-1-1</v>
      </c>
      <c r="B286" s="62"/>
      <c r="C286" s="55" t="s">
        <v>453</v>
      </c>
      <c r="D286" s="55" t="s">
        <v>260</v>
      </c>
      <c r="E286" s="56" t="s">
        <v>279</v>
      </c>
      <c r="F286" s="56" t="s">
        <v>454</v>
      </c>
      <c r="G286" s="56" t="s">
        <v>449</v>
      </c>
      <c r="H286" s="56"/>
      <c r="I286" s="56"/>
      <c r="J286" s="61"/>
      <c r="K286" s="61"/>
      <c r="L286" s="58"/>
      <c r="M286" s="58"/>
      <c r="N286" s="61"/>
      <c r="O286" s="61"/>
      <c r="P286" s="61"/>
      <c r="Q286" s="61"/>
      <c r="R286" s="61"/>
    </row>
    <row r="287" spans="1:18" ht="22">
      <c r="A287" s="52"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97-1-1</v>
      </c>
      <c r="B287" s="62"/>
      <c r="C287" s="74"/>
      <c r="D287" s="55"/>
      <c r="E287" s="70" t="s">
        <v>281</v>
      </c>
      <c r="F287" s="56" t="s">
        <v>455</v>
      </c>
      <c r="G287" s="56" t="s">
        <v>449</v>
      </c>
      <c r="H287" s="56"/>
      <c r="I287" s="56"/>
      <c r="J287" s="61"/>
      <c r="K287" s="61"/>
      <c r="L287" s="58"/>
      <c r="M287" s="58"/>
      <c r="N287" s="61"/>
      <c r="O287" s="61"/>
      <c r="P287" s="61"/>
      <c r="Q287" s="61"/>
      <c r="R287" s="61"/>
    </row>
    <row r="288" spans="1:18" ht="22">
      <c r="A288" s="52"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98-1-1</v>
      </c>
      <c r="B288" s="62"/>
      <c r="C288" s="74"/>
      <c r="D288" s="55"/>
      <c r="E288" s="56" t="s">
        <v>283</v>
      </c>
      <c r="F288" s="56" t="s">
        <v>456</v>
      </c>
      <c r="G288" s="56" t="s">
        <v>449</v>
      </c>
      <c r="H288" s="56"/>
      <c r="I288" s="56"/>
      <c r="J288" s="61"/>
      <c r="K288" s="61"/>
      <c r="L288" s="58"/>
      <c r="M288" s="58"/>
      <c r="N288" s="61"/>
      <c r="O288" s="61"/>
      <c r="P288" s="61"/>
      <c r="Q288" s="61"/>
      <c r="R288" s="61"/>
    </row>
    <row r="289" spans="1:18" ht="22">
      <c r="A289" s="52"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99-1-1</v>
      </c>
      <c r="B289" s="62"/>
      <c r="C289" s="74"/>
      <c r="D289" s="70"/>
      <c r="E289" s="70" t="s">
        <v>195</v>
      </c>
      <c r="F289" s="56" t="s">
        <v>457</v>
      </c>
      <c r="G289" s="56" t="s">
        <v>449</v>
      </c>
      <c r="H289" s="56"/>
      <c r="I289" s="56"/>
      <c r="J289" s="61"/>
      <c r="K289" s="61"/>
      <c r="L289" s="58"/>
      <c r="M289" s="58"/>
      <c r="N289" s="61"/>
      <c r="O289" s="61"/>
      <c r="P289" s="61"/>
      <c r="Q289" s="61"/>
      <c r="R289" s="61"/>
    </row>
    <row r="290" spans="1:18" ht="22">
      <c r="A290" s="52"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100-1-1</v>
      </c>
      <c r="B290" s="62"/>
      <c r="C290" s="62"/>
      <c r="D290" s="55" t="s">
        <v>458</v>
      </c>
      <c r="E290" s="55" t="s">
        <v>459</v>
      </c>
      <c r="F290" s="56" t="s">
        <v>460</v>
      </c>
      <c r="G290" s="56" t="s">
        <v>449</v>
      </c>
      <c r="H290" s="56"/>
      <c r="I290" s="56"/>
      <c r="J290" s="61"/>
      <c r="K290" s="61"/>
      <c r="L290" s="58"/>
      <c r="M290" s="58"/>
      <c r="N290" s="61"/>
      <c r="O290" s="61"/>
      <c r="P290" s="61"/>
      <c r="Q290" s="61"/>
      <c r="R290" s="61"/>
    </row>
    <row r="291" spans="1:18" ht="22">
      <c r="A291" s="52"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100-2-1</v>
      </c>
      <c r="B291" s="62"/>
      <c r="C291" s="62"/>
      <c r="D291" s="72"/>
      <c r="E291" s="55"/>
      <c r="F291" s="56" t="s">
        <v>461</v>
      </c>
      <c r="G291" s="56" t="s">
        <v>449</v>
      </c>
      <c r="H291" s="56"/>
      <c r="I291" s="56"/>
      <c r="J291" s="61"/>
      <c r="K291" s="61"/>
      <c r="L291" s="58"/>
      <c r="M291" s="58"/>
      <c r="N291" s="61"/>
      <c r="O291" s="61"/>
      <c r="P291" s="61"/>
      <c r="Q291" s="61"/>
      <c r="R291" s="61"/>
    </row>
    <row r="292" spans="1:18" ht="33">
      <c r="A292" s="52"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100-3-1</v>
      </c>
      <c r="B292" s="62"/>
      <c r="C292" s="62"/>
      <c r="D292" s="72"/>
      <c r="E292" s="55"/>
      <c r="F292" s="56" t="s">
        <v>462</v>
      </c>
      <c r="G292" s="56" t="s">
        <v>449</v>
      </c>
      <c r="H292" s="56"/>
      <c r="I292" s="56"/>
      <c r="J292" s="61"/>
      <c r="K292" s="61"/>
      <c r="L292" s="58"/>
      <c r="M292" s="58"/>
      <c r="N292" s="61"/>
      <c r="O292" s="61"/>
      <c r="P292" s="61"/>
      <c r="Q292" s="61"/>
      <c r="R292" s="61"/>
    </row>
    <row r="293" spans="1:18" ht="33">
      <c r="A293" s="52"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100-4-1</v>
      </c>
      <c r="B293" s="62"/>
      <c r="C293" s="62"/>
      <c r="D293" s="72"/>
      <c r="E293" s="55"/>
      <c r="F293" s="56" t="s">
        <v>299</v>
      </c>
      <c r="G293" s="56" t="s">
        <v>449</v>
      </c>
      <c r="H293" s="56"/>
      <c r="I293" s="56"/>
      <c r="J293" s="61"/>
      <c r="K293" s="61"/>
      <c r="L293" s="58"/>
      <c r="M293" s="58"/>
      <c r="N293" s="61"/>
      <c r="O293" s="61"/>
      <c r="P293" s="61"/>
      <c r="Q293" s="61"/>
      <c r="R293" s="61"/>
    </row>
    <row r="294" spans="1:18" ht="33">
      <c r="A294" s="52"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100-5-1</v>
      </c>
      <c r="B294" s="62"/>
      <c r="C294" s="62"/>
      <c r="D294" s="72"/>
      <c r="E294" s="55"/>
      <c r="F294" s="56" t="s">
        <v>300</v>
      </c>
      <c r="G294" s="56" t="s">
        <v>449</v>
      </c>
      <c r="H294" s="56"/>
      <c r="I294" s="56"/>
      <c r="J294" s="61"/>
      <c r="K294" s="61"/>
      <c r="L294" s="58"/>
      <c r="M294" s="58"/>
      <c r="N294" s="61"/>
      <c r="O294" s="61"/>
      <c r="P294" s="61"/>
      <c r="Q294" s="61"/>
      <c r="R294" s="61"/>
    </row>
    <row r="295" spans="1:18" ht="33">
      <c r="A295" s="52"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100-6-1</v>
      </c>
      <c r="B295" s="62"/>
      <c r="C295" s="62"/>
      <c r="D295" s="72"/>
      <c r="E295" s="55"/>
      <c r="F295" s="56" t="s">
        <v>301</v>
      </c>
      <c r="G295" s="56" t="s">
        <v>449</v>
      </c>
      <c r="H295" s="56"/>
      <c r="I295" s="56"/>
      <c r="J295" s="61"/>
      <c r="K295" s="61"/>
      <c r="L295" s="58"/>
      <c r="M295" s="58"/>
      <c r="N295" s="61"/>
      <c r="O295" s="61"/>
      <c r="P295" s="61"/>
      <c r="Q295" s="61"/>
      <c r="R295" s="61"/>
    </row>
    <row r="296" spans="1:18" ht="33">
      <c r="A296" s="52"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100-7-1</v>
      </c>
      <c r="B296" s="62"/>
      <c r="C296" s="62"/>
      <c r="D296" s="72"/>
      <c r="E296" s="55"/>
      <c r="F296" s="56" t="s">
        <v>463</v>
      </c>
      <c r="G296" s="56" t="s">
        <v>449</v>
      </c>
      <c r="H296" s="56"/>
      <c r="I296" s="56"/>
      <c r="J296" s="61"/>
      <c r="K296" s="61"/>
      <c r="L296" s="58"/>
      <c r="M296" s="58"/>
      <c r="N296" s="61"/>
      <c r="O296" s="61"/>
      <c r="P296" s="61"/>
      <c r="Q296" s="61"/>
      <c r="R296" s="61"/>
    </row>
    <row r="297" spans="1:18" ht="22">
      <c r="A297" s="52"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100-8-1</v>
      </c>
      <c r="B297" s="62"/>
      <c r="C297" s="62"/>
      <c r="D297" s="72"/>
      <c r="E297" s="55"/>
      <c r="F297" s="56" t="s">
        <v>464</v>
      </c>
      <c r="G297" s="56" t="s">
        <v>449</v>
      </c>
      <c r="H297" s="56"/>
      <c r="I297" s="56"/>
      <c r="J297" s="61"/>
      <c r="K297" s="61"/>
      <c r="L297" s="58"/>
      <c r="M297" s="58"/>
      <c r="N297" s="61"/>
      <c r="O297" s="61"/>
      <c r="P297" s="61"/>
      <c r="Q297" s="61"/>
      <c r="R297" s="61"/>
    </row>
    <row r="298" spans="1:18" ht="22">
      <c r="A298" s="52"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100-9-1</v>
      </c>
      <c r="B298" s="78"/>
      <c r="C298" s="78"/>
      <c r="D298" s="69"/>
      <c r="E298" s="70"/>
      <c r="F298" s="56" t="s">
        <v>465</v>
      </c>
      <c r="G298" s="56" t="s">
        <v>449</v>
      </c>
      <c r="H298" s="56"/>
      <c r="I298" s="56"/>
      <c r="J298" s="61"/>
      <c r="K298" s="61"/>
      <c r="L298" s="58"/>
      <c r="M298" s="58"/>
      <c r="N298" s="61"/>
      <c r="O298" s="61"/>
      <c r="P298" s="61"/>
      <c r="Q298" s="61"/>
      <c r="R298" s="61"/>
    </row>
  </sheetData>
  <autoFilter ref="A10:R10" xr:uid="{00000000-0001-0000-0200-000000000000}"/>
  <mergeCells count="2">
    <mergeCell ref="B115:B116"/>
    <mergeCell ref="B135:B136"/>
  </mergeCells>
  <phoneticPr fontId="2"/>
  <dataValidations count="1">
    <dataValidation type="list" allowBlank="1" showInputMessage="1" showErrorMessage="1" sqref="P11:P298" xr:uid="{5C1A9E00-0C47-4868-89BD-D744A62C71BB}">
      <formula1>"OK,NG"</formula1>
    </dataValidation>
  </dataValidations>
  <printOptions horizontalCentered="1"/>
  <pageMargins left="0.39370078740157483" right="0.39370078740157483" top="0.39370078740157483" bottom="0.39370078740157483" header="0.19685039370078741" footer="0.19685039370078741"/>
  <pageSetup paperSize="9" scale="46" fitToHeight="0" orientation="landscape" verticalDpi="300" r:id="rId1"/>
  <headerFooter alignWithMargins="0">
    <oddFooter>&amp;C&amp;"ＭＳ 明朝,標準"&amp;9- &amp;P -</oddFooter>
  </headerFooter>
  <rowBreaks count="7" manualBreakCount="7">
    <brk id="41" max="16383" man="1"/>
    <brk id="87" max="17" man="1"/>
    <brk id="133" max="17" man="1"/>
    <brk id="171" max="17" man="1"/>
    <brk id="212" max="17" man="1"/>
    <brk id="245" max="17" man="1"/>
    <brk id="281" max="17"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2C4E5-A51B-43F6-A998-79664C311BDB}">
  <sheetPr>
    <pageSetUpPr fitToPage="1"/>
  </sheetPr>
  <dimension ref="A1:R316"/>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3" width="8.58203125" style="28" customWidth="1"/>
    <col min="4" max="5" width="8.58203125" style="29" customWidth="1"/>
    <col min="6" max="6" width="39" style="29" customWidth="1"/>
    <col min="7" max="7" width="40.58203125" style="107" customWidth="1" outlineLevel="1"/>
    <col min="8" max="9" width="16.33203125" style="28" customWidth="1"/>
    <col min="10" max="11" width="23.58203125" style="28" customWidth="1"/>
    <col min="12" max="12" width="15.58203125" style="28" customWidth="1"/>
    <col min="13" max="18" width="8.58203125" style="28" customWidth="1"/>
    <col min="19" max="16384" width="9" style="28"/>
  </cols>
  <sheetData>
    <row r="1" spans="1:18">
      <c r="A1" s="28" t="s">
        <v>52</v>
      </c>
    </row>
    <row r="2" spans="1:18">
      <c r="A2" s="28" t="s">
        <v>4</v>
      </c>
    </row>
    <row r="4" spans="1:18">
      <c r="A4" s="28" t="s">
        <v>69</v>
      </c>
    </row>
    <row r="5" spans="1:18">
      <c r="A5" s="28" t="s">
        <v>55</v>
      </c>
    </row>
    <row r="6" spans="1:18">
      <c r="A6" s="28" t="s">
        <v>56</v>
      </c>
      <c r="O6" s="28" t="s">
        <v>20</v>
      </c>
      <c r="Q6" s="28" t="s">
        <v>22</v>
      </c>
    </row>
    <row r="7" spans="1:18">
      <c r="A7" s="28" t="s">
        <v>70</v>
      </c>
      <c r="O7" s="28" t="s">
        <v>21</v>
      </c>
      <c r="Q7" s="28" t="s">
        <v>23</v>
      </c>
    </row>
    <row r="8" spans="1:18" ht="11.5" thickBot="1">
      <c r="A8" s="30" t="s">
        <v>573</v>
      </c>
      <c r="B8" s="30"/>
      <c r="C8" s="30"/>
      <c r="D8" s="31"/>
      <c r="E8" s="31"/>
      <c r="F8" s="31"/>
      <c r="G8" s="108"/>
      <c r="H8" s="30"/>
      <c r="I8" s="30"/>
      <c r="J8" s="30"/>
      <c r="K8" s="30"/>
      <c r="L8" s="30"/>
      <c r="M8" s="30"/>
      <c r="N8" s="30"/>
      <c r="O8" s="30"/>
      <c r="P8" s="30"/>
      <c r="Q8" s="30"/>
      <c r="R8" s="30"/>
    </row>
    <row r="9" spans="1:18" ht="12" customHeight="1" thickTop="1"/>
    <row r="10" spans="1:18" s="35" customFormat="1">
      <c r="A10" s="45" t="s">
        <v>71</v>
      </c>
      <c r="B10" s="46" t="s">
        <v>72</v>
      </c>
      <c r="C10" s="46" t="s">
        <v>73</v>
      </c>
      <c r="D10" s="46" t="s">
        <v>74</v>
      </c>
      <c r="E10" s="46" t="s">
        <v>75</v>
      </c>
      <c r="F10" s="46" t="s">
        <v>76</v>
      </c>
      <c r="G10" s="109" t="s">
        <v>77</v>
      </c>
      <c r="H10" s="46" t="s">
        <v>78</v>
      </c>
      <c r="I10" s="46" t="s">
        <v>79</v>
      </c>
      <c r="J10" s="47" t="s">
        <v>2</v>
      </c>
      <c r="K10" s="48" t="s">
        <v>3</v>
      </c>
      <c r="L10" s="49" t="s">
        <v>1</v>
      </c>
      <c r="M10" s="49" t="s">
        <v>14</v>
      </c>
      <c r="N10" s="50" t="s">
        <v>5</v>
      </c>
      <c r="O10" s="50" t="s">
        <v>15</v>
      </c>
      <c r="P10" s="50" t="s">
        <v>6</v>
      </c>
      <c r="Q10" s="50" t="s">
        <v>7</v>
      </c>
      <c r="R10" s="51" t="s">
        <v>8</v>
      </c>
    </row>
    <row r="11" spans="1:18" ht="22">
      <c r="A11" s="52"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10" t="s">
        <v>466</v>
      </c>
      <c r="C11" s="110" t="s">
        <v>82</v>
      </c>
      <c r="D11" s="111" t="s">
        <v>83</v>
      </c>
      <c r="E11" s="112" t="s">
        <v>84</v>
      </c>
      <c r="F11" s="112" t="s">
        <v>85</v>
      </c>
      <c r="G11" s="58" t="s">
        <v>467</v>
      </c>
      <c r="H11" s="61"/>
      <c r="I11" s="61"/>
      <c r="J11" s="58"/>
      <c r="K11" s="58"/>
      <c r="L11" s="61"/>
      <c r="M11" s="61"/>
      <c r="N11" s="61"/>
      <c r="O11" s="61"/>
      <c r="P11" s="61"/>
      <c r="Q11" s="113"/>
      <c r="R11" s="58"/>
    </row>
    <row r="12" spans="1:18" ht="22">
      <c r="A12" s="52"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11"/>
      <c r="C12" s="114"/>
      <c r="D12" s="115"/>
      <c r="E12" s="115" t="s">
        <v>87</v>
      </c>
      <c r="F12" s="112" t="s">
        <v>88</v>
      </c>
      <c r="G12" s="58" t="s">
        <v>467</v>
      </c>
      <c r="H12" s="61"/>
      <c r="I12" s="61"/>
      <c r="J12" s="58"/>
      <c r="K12" s="58"/>
      <c r="L12" s="61"/>
      <c r="M12" s="61"/>
      <c r="N12" s="61"/>
      <c r="O12" s="61"/>
      <c r="P12" s="61"/>
      <c r="Q12" s="113"/>
      <c r="R12" s="58"/>
    </row>
    <row r="13" spans="1:18" ht="33">
      <c r="A13" s="52"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11"/>
      <c r="C13" s="114"/>
      <c r="D13" s="111" t="s">
        <v>89</v>
      </c>
      <c r="E13" s="116" t="s">
        <v>124</v>
      </c>
      <c r="F13" s="112" t="s">
        <v>91</v>
      </c>
      <c r="G13" s="58" t="s">
        <v>467</v>
      </c>
      <c r="H13" s="61"/>
      <c r="I13" s="61"/>
      <c r="J13" s="58"/>
      <c r="K13" s="58"/>
      <c r="L13" s="61"/>
      <c r="M13" s="61"/>
      <c r="N13" s="61"/>
      <c r="O13" s="61"/>
      <c r="P13" s="61"/>
      <c r="Q13" s="113"/>
      <c r="R13" s="58"/>
    </row>
    <row r="14" spans="1:18" ht="22">
      <c r="A14" s="52"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11"/>
      <c r="C14" s="114"/>
      <c r="D14" s="111"/>
      <c r="E14" s="116"/>
      <c r="F14" s="112" t="s">
        <v>92</v>
      </c>
      <c r="G14" s="58" t="s">
        <v>467</v>
      </c>
      <c r="H14" s="61"/>
      <c r="I14" s="61"/>
      <c r="J14" s="58"/>
      <c r="K14" s="58"/>
      <c r="L14" s="61"/>
      <c r="M14" s="61"/>
      <c r="N14" s="61"/>
      <c r="O14" s="61"/>
      <c r="P14" s="61"/>
      <c r="Q14" s="113"/>
      <c r="R14" s="58"/>
    </row>
    <row r="15" spans="1:18" ht="22">
      <c r="A15" s="52"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11"/>
      <c r="C15" s="114"/>
      <c r="D15" s="111"/>
      <c r="E15" s="116"/>
      <c r="F15" s="112" t="s">
        <v>93</v>
      </c>
      <c r="G15" s="58" t="s">
        <v>467</v>
      </c>
      <c r="H15" s="61"/>
      <c r="I15" s="61"/>
      <c r="J15" s="58"/>
      <c r="K15" s="58"/>
      <c r="L15" s="61"/>
      <c r="M15" s="61"/>
      <c r="N15" s="61"/>
      <c r="O15" s="61"/>
      <c r="P15" s="61"/>
      <c r="Q15" s="113"/>
      <c r="R15" s="58"/>
    </row>
    <row r="16" spans="1:18" ht="22">
      <c r="A16" s="52"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11"/>
      <c r="C16" s="114"/>
      <c r="D16" s="111"/>
      <c r="E16" s="116"/>
      <c r="F16" s="112" t="s">
        <v>94</v>
      </c>
      <c r="G16" s="58" t="s">
        <v>467</v>
      </c>
      <c r="H16" s="61"/>
      <c r="I16" s="61"/>
      <c r="J16" s="58"/>
      <c r="K16" s="58"/>
      <c r="L16" s="61"/>
      <c r="M16" s="61"/>
      <c r="N16" s="61"/>
      <c r="O16" s="61"/>
      <c r="P16" s="61"/>
      <c r="Q16" s="113"/>
      <c r="R16" s="58"/>
    </row>
    <row r="17" spans="1:18" ht="33">
      <c r="A17" s="52"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11"/>
      <c r="C17" s="114"/>
      <c r="D17" s="117"/>
      <c r="E17" s="115"/>
      <c r="F17" s="112" t="s">
        <v>95</v>
      </c>
      <c r="G17" s="58" t="s">
        <v>467</v>
      </c>
      <c r="H17" s="61"/>
      <c r="I17" s="61"/>
      <c r="J17" s="58"/>
      <c r="K17" s="58"/>
      <c r="L17" s="61"/>
      <c r="M17" s="61"/>
      <c r="N17" s="61"/>
      <c r="O17" s="61"/>
      <c r="P17" s="61"/>
      <c r="Q17" s="113"/>
      <c r="R17" s="58"/>
    </row>
    <row r="18" spans="1:18" ht="22">
      <c r="A18" s="52"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11"/>
      <c r="C18" s="114"/>
      <c r="D18" s="116" t="s">
        <v>96</v>
      </c>
      <c r="E18" s="116" t="s">
        <v>97</v>
      </c>
      <c r="F18" s="112" t="s">
        <v>98</v>
      </c>
      <c r="G18" s="58" t="s">
        <v>467</v>
      </c>
      <c r="H18" s="61"/>
      <c r="I18" s="61"/>
      <c r="J18" s="58"/>
      <c r="K18" s="58"/>
      <c r="L18" s="61"/>
      <c r="M18" s="61"/>
      <c r="N18" s="61"/>
      <c r="O18" s="61"/>
      <c r="P18" s="61"/>
      <c r="Q18" s="113"/>
      <c r="R18" s="58"/>
    </row>
    <row r="19" spans="1:18" ht="22">
      <c r="A19" s="52"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11"/>
      <c r="C19" s="114"/>
      <c r="D19" s="116"/>
      <c r="E19" s="116"/>
      <c r="F19" s="112" t="s">
        <v>99</v>
      </c>
      <c r="G19" s="58" t="s">
        <v>467</v>
      </c>
      <c r="H19" s="61"/>
      <c r="I19" s="61"/>
      <c r="J19" s="58"/>
      <c r="K19" s="58"/>
      <c r="L19" s="61"/>
      <c r="M19" s="61"/>
      <c r="N19" s="61"/>
      <c r="O19" s="61"/>
      <c r="P19" s="61"/>
      <c r="Q19" s="113"/>
      <c r="R19" s="58"/>
    </row>
    <row r="20" spans="1:18" ht="22">
      <c r="A20" s="52"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11"/>
      <c r="C20" s="114"/>
      <c r="D20" s="116"/>
      <c r="E20" s="115"/>
      <c r="F20" s="112" t="s">
        <v>100</v>
      </c>
      <c r="G20" s="58" t="s">
        <v>467</v>
      </c>
      <c r="H20" s="61"/>
      <c r="I20" s="61"/>
      <c r="J20" s="58"/>
      <c r="K20" s="58"/>
      <c r="L20" s="61"/>
      <c r="M20" s="61"/>
      <c r="N20" s="61"/>
      <c r="O20" s="61"/>
      <c r="P20" s="61"/>
      <c r="Q20" s="113"/>
      <c r="R20" s="58"/>
    </row>
    <row r="21" spans="1:18" ht="22">
      <c r="A21" s="52"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11"/>
      <c r="C21" s="114"/>
      <c r="D21" s="116"/>
      <c r="E21" s="116" t="s">
        <v>101</v>
      </c>
      <c r="F21" s="112" t="s">
        <v>102</v>
      </c>
      <c r="G21" s="58" t="s">
        <v>467</v>
      </c>
      <c r="H21" s="61"/>
      <c r="I21" s="61"/>
      <c r="J21" s="58"/>
      <c r="K21" s="58"/>
      <c r="L21" s="61"/>
      <c r="M21" s="61"/>
      <c r="N21" s="61"/>
      <c r="O21" s="61"/>
      <c r="P21" s="61"/>
      <c r="Q21" s="113"/>
      <c r="R21" s="58"/>
    </row>
    <row r="22" spans="1:18" ht="22">
      <c r="A22" s="52"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11"/>
      <c r="C22" s="114"/>
      <c r="D22" s="116"/>
      <c r="E22" s="116"/>
      <c r="F22" s="112" t="s">
        <v>103</v>
      </c>
      <c r="G22" s="58" t="s">
        <v>467</v>
      </c>
      <c r="H22" s="61"/>
      <c r="I22" s="61"/>
      <c r="J22" s="58"/>
      <c r="K22" s="58"/>
      <c r="L22" s="61"/>
      <c r="M22" s="61"/>
      <c r="N22" s="61"/>
      <c r="O22" s="61"/>
      <c r="P22" s="61"/>
      <c r="Q22" s="113"/>
      <c r="R22" s="58"/>
    </row>
    <row r="23" spans="1:18" ht="22">
      <c r="A23" s="52"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11"/>
      <c r="C23" s="114"/>
      <c r="D23" s="116"/>
      <c r="E23" s="116"/>
      <c r="F23" s="112" t="s">
        <v>468</v>
      </c>
      <c r="G23" s="58" t="s">
        <v>467</v>
      </c>
      <c r="H23" s="61"/>
      <c r="I23" s="61"/>
      <c r="J23" s="58"/>
      <c r="K23" s="58"/>
      <c r="L23" s="61"/>
      <c r="M23" s="61"/>
      <c r="N23" s="61"/>
      <c r="O23" s="61"/>
      <c r="P23" s="61"/>
      <c r="Q23" s="113"/>
      <c r="R23" s="58"/>
    </row>
    <row r="24" spans="1:18" ht="22">
      <c r="A24" s="52"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11"/>
      <c r="C24" s="114"/>
      <c r="D24" s="117"/>
      <c r="E24" s="115"/>
      <c r="F24" s="54" t="s">
        <v>105</v>
      </c>
      <c r="G24" s="58" t="s">
        <v>467</v>
      </c>
      <c r="H24" s="61"/>
      <c r="I24" s="61"/>
      <c r="J24" s="58"/>
      <c r="K24" s="58"/>
      <c r="L24" s="61"/>
      <c r="M24" s="61"/>
      <c r="N24" s="61"/>
      <c r="O24" s="61"/>
      <c r="P24" s="61"/>
      <c r="Q24" s="113"/>
      <c r="R24" s="58"/>
    </row>
    <row r="25" spans="1:18" ht="22">
      <c r="A25" s="52"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11"/>
      <c r="C25" s="114"/>
      <c r="D25" s="116" t="s">
        <v>106</v>
      </c>
      <c r="E25" s="116" t="s">
        <v>124</v>
      </c>
      <c r="F25" s="112" t="s">
        <v>107</v>
      </c>
      <c r="G25" s="58" t="s">
        <v>467</v>
      </c>
      <c r="H25" s="61"/>
      <c r="I25" s="61"/>
      <c r="J25" s="58"/>
      <c r="K25" s="58"/>
      <c r="L25" s="61"/>
      <c r="M25" s="61"/>
      <c r="N25" s="61"/>
      <c r="O25" s="61"/>
      <c r="P25" s="61"/>
      <c r="Q25" s="113"/>
      <c r="R25" s="58"/>
    </row>
    <row r="26" spans="1:18" ht="22">
      <c r="A26" s="52"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11"/>
      <c r="C26" s="114"/>
      <c r="D26" s="117"/>
      <c r="E26" s="115"/>
      <c r="F26" s="112" t="s">
        <v>108</v>
      </c>
      <c r="G26" s="58" t="s">
        <v>467</v>
      </c>
      <c r="H26" s="61"/>
      <c r="I26" s="61"/>
      <c r="J26" s="58"/>
      <c r="K26" s="58"/>
      <c r="L26" s="61"/>
      <c r="M26" s="61"/>
      <c r="N26" s="61"/>
      <c r="O26" s="61"/>
      <c r="P26" s="61"/>
      <c r="Q26" s="113"/>
      <c r="R26" s="58"/>
    </row>
    <row r="27" spans="1:18" ht="33">
      <c r="A27" s="52"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11"/>
      <c r="C27" s="114"/>
      <c r="D27" s="116" t="s">
        <v>109</v>
      </c>
      <c r="E27" s="116" t="s">
        <v>110</v>
      </c>
      <c r="F27" s="112" t="s">
        <v>111</v>
      </c>
      <c r="G27" s="58" t="s">
        <v>467</v>
      </c>
      <c r="H27" s="61"/>
      <c r="I27" s="61"/>
      <c r="J27" s="58"/>
      <c r="K27" s="58"/>
      <c r="L27" s="61"/>
      <c r="M27" s="61"/>
      <c r="N27" s="61"/>
      <c r="O27" s="61"/>
      <c r="P27" s="61"/>
      <c r="Q27" s="113"/>
      <c r="R27" s="58"/>
    </row>
    <row r="28" spans="1:18" ht="22">
      <c r="A28" s="52"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11"/>
      <c r="C28" s="114"/>
      <c r="D28" s="116"/>
      <c r="E28" s="115"/>
      <c r="F28" s="112" t="s">
        <v>112</v>
      </c>
      <c r="G28" s="58" t="s">
        <v>467</v>
      </c>
      <c r="H28" s="61"/>
      <c r="I28" s="61"/>
      <c r="J28" s="58"/>
      <c r="K28" s="58"/>
      <c r="L28" s="61"/>
      <c r="M28" s="61"/>
      <c r="N28" s="61"/>
      <c r="O28" s="61"/>
      <c r="P28" s="61"/>
      <c r="Q28" s="113"/>
      <c r="R28" s="58"/>
    </row>
    <row r="29" spans="1:18" ht="22">
      <c r="A29" s="52"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11"/>
      <c r="C29" s="114"/>
      <c r="D29" s="111"/>
      <c r="E29" s="116" t="s">
        <v>113</v>
      </c>
      <c r="F29" s="112" t="s">
        <v>114</v>
      </c>
      <c r="G29" s="58" t="s">
        <v>467</v>
      </c>
      <c r="H29" s="61"/>
      <c r="I29" s="61"/>
      <c r="J29" s="58"/>
      <c r="K29" s="58"/>
      <c r="L29" s="61"/>
      <c r="M29" s="61"/>
      <c r="N29" s="61"/>
      <c r="O29" s="61"/>
      <c r="P29" s="61"/>
      <c r="Q29" s="113"/>
      <c r="R29" s="58"/>
    </row>
    <row r="30" spans="1:18" ht="22">
      <c r="A30" s="52"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11"/>
      <c r="C30" s="114"/>
      <c r="D30" s="116"/>
      <c r="E30" s="116"/>
      <c r="F30" s="112" t="s">
        <v>115</v>
      </c>
      <c r="G30" s="58" t="s">
        <v>467</v>
      </c>
      <c r="H30" s="61"/>
      <c r="I30" s="61"/>
      <c r="J30" s="58"/>
      <c r="K30" s="58"/>
      <c r="L30" s="61"/>
      <c r="M30" s="61"/>
      <c r="N30" s="61"/>
      <c r="O30" s="61"/>
      <c r="P30" s="61"/>
      <c r="Q30" s="113"/>
      <c r="R30" s="58"/>
    </row>
    <row r="31" spans="1:18" ht="22">
      <c r="A31" s="52"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11"/>
      <c r="C31" s="114"/>
      <c r="D31" s="116"/>
      <c r="E31" s="116"/>
      <c r="F31" s="112" t="s">
        <v>116</v>
      </c>
      <c r="G31" s="58" t="s">
        <v>467</v>
      </c>
      <c r="H31" s="61"/>
      <c r="I31" s="61"/>
      <c r="J31" s="58"/>
      <c r="K31" s="58"/>
      <c r="L31" s="61"/>
      <c r="M31" s="61"/>
      <c r="N31" s="61"/>
      <c r="O31" s="61"/>
      <c r="P31" s="61"/>
      <c r="Q31" s="113"/>
      <c r="R31" s="58"/>
    </row>
    <row r="32" spans="1:18" ht="22">
      <c r="A32" s="52"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11"/>
      <c r="C32" s="114"/>
      <c r="D32" s="116"/>
      <c r="E32" s="115"/>
      <c r="F32" s="112" t="s">
        <v>117</v>
      </c>
      <c r="G32" s="58" t="s">
        <v>467</v>
      </c>
      <c r="H32" s="61"/>
      <c r="I32" s="61"/>
      <c r="J32" s="58"/>
      <c r="K32" s="58"/>
      <c r="L32" s="61"/>
      <c r="M32" s="61"/>
      <c r="N32" s="61"/>
      <c r="O32" s="61"/>
      <c r="P32" s="61"/>
      <c r="Q32" s="113"/>
      <c r="R32" s="58"/>
    </row>
    <row r="33" spans="1:18" ht="22">
      <c r="A33" s="52"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11"/>
      <c r="C33" s="114"/>
      <c r="D33" s="116"/>
      <c r="E33" s="116" t="s">
        <v>469</v>
      </c>
      <c r="F33" s="112" t="s">
        <v>119</v>
      </c>
      <c r="G33" s="58" t="s">
        <v>467</v>
      </c>
      <c r="H33" s="61"/>
      <c r="I33" s="61"/>
      <c r="J33" s="58"/>
      <c r="K33" s="58"/>
      <c r="L33" s="61"/>
      <c r="M33" s="61"/>
      <c r="N33" s="61"/>
      <c r="O33" s="61"/>
      <c r="P33" s="61"/>
      <c r="Q33" s="113"/>
      <c r="R33" s="58"/>
    </row>
    <row r="34" spans="1:18" ht="22">
      <c r="A34" s="52"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11"/>
      <c r="C34" s="114"/>
      <c r="D34" s="116"/>
      <c r="E34" s="115"/>
      <c r="F34" s="112" t="s">
        <v>120</v>
      </c>
      <c r="G34" s="58" t="s">
        <v>467</v>
      </c>
      <c r="H34" s="61"/>
      <c r="I34" s="61"/>
      <c r="J34" s="58"/>
      <c r="K34" s="58"/>
      <c r="L34" s="61"/>
      <c r="M34" s="61"/>
      <c r="N34" s="61"/>
      <c r="O34" s="61"/>
      <c r="P34" s="61"/>
      <c r="Q34" s="113"/>
      <c r="R34" s="58"/>
    </row>
    <row r="35" spans="1:18" ht="44">
      <c r="A35" s="52"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11"/>
      <c r="C35" s="111"/>
      <c r="D35" s="116"/>
      <c r="E35" s="111" t="s">
        <v>121</v>
      </c>
      <c r="F35" s="112" t="s">
        <v>470</v>
      </c>
      <c r="G35" s="58" t="s">
        <v>467</v>
      </c>
      <c r="H35" s="56"/>
      <c r="I35" s="56"/>
      <c r="J35" s="57"/>
      <c r="K35" s="57"/>
      <c r="L35" s="61"/>
      <c r="M35" s="61"/>
      <c r="N35" s="61"/>
      <c r="O35" s="61"/>
      <c r="P35" s="61"/>
      <c r="Q35" s="113"/>
      <c r="R35" s="58"/>
    </row>
    <row r="36" spans="1:18" ht="33">
      <c r="A36" s="52"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11"/>
      <c r="C36" s="118" t="s">
        <v>123</v>
      </c>
      <c r="D36" s="118" t="s">
        <v>471</v>
      </c>
      <c r="E36" s="110" t="s">
        <v>471</v>
      </c>
      <c r="F36" s="115" t="s">
        <v>125</v>
      </c>
      <c r="G36" s="58" t="s">
        <v>467</v>
      </c>
      <c r="H36" s="61"/>
      <c r="I36" s="61"/>
      <c r="J36" s="58"/>
      <c r="K36" s="58"/>
      <c r="L36" s="61"/>
      <c r="M36" s="61"/>
      <c r="N36" s="61"/>
      <c r="O36" s="61"/>
      <c r="P36" s="61"/>
      <c r="Q36" s="113"/>
      <c r="R36" s="58"/>
    </row>
    <row r="37" spans="1:18" ht="33">
      <c r="A37" s="52"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11"/>
      <c r="C37" s="111"/>
      <c r="D37" s="116"/>
      <c r="E37" s="111"/>
      <c r="F37" s="112" t="s">
        <v>472</v>
      </c>
      <c r="G37" s="58" t="s">
        <v>467</v>
      </c>
      <c r="H37" s="61"/>
      <c r="I37" s="61"/>
      <c r="J37" s="58"/>
      <c r="K37" s="58"/>
      <c r="L37" s="61"/>
      <c r="M37" s="61"/>
      <c r="N37" s="61"/>
      <c r="O37" s="61"/>
      <c r="P37" s="61"/>
      <c r="Q37" s="113"/>
      <c r="R37" s="58"/>
    </row>
    <row r="38" spans="1:18" ht="33">
      <c r="A38" s="52"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11"/>
      <c r="C38" s="111"/>
      <c r="D38" s="116"/>
      <c r="E38" s="111"/>
      <c r="F38" s="112" t="s">
        <v>127</v>
      </c>
      <c r="G38" s="58" t="s">
        <v>467</v>
      </c>
      <c r="H38" s="61"/>
      <c r="I38" s="61"/>
      <c r="J38" s="58"/>
      <c r="K38" s="58"/>
      <c r="L38" s="61"/>
      <c r="M38" s="61"/>
      <c r="N38" s="61"/>
      <c r="O38" s="61"/>
      <c r="P38" s="61"/>
      <c r="Q38" s="113"/>
      <c r="R38" s="58"/>
    </row>
    <row r="39" spans="1:18" ht="22">
      <c r="A39" s="52"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11"/>
      <c r="C39" s="111"/>
      <c r="D39" s="117"/>
      <c r="E39" s="115"/>
      <c r="F39" s="112" t="s">
        <v>128</v>
      </c>
      <c r="G39" s="58" t="s">
        <v>467</v>
      </c>
      <c r="H39" s="61"/>
      <c r="I39" s="61"/>
      <c r="J39" s="58"/>
      <c r="K39" s="58"/>
      <c r="L39" s="61"/>
      <c r="M39" s="61"/>
      <c r="N39" s="61"/>
      <c r="O39" s="61"/>
      <c r="P39" s="61"/>
      <c r="Q39" s="113"/>
      <c r="R39" s="58"/>
    </row>
    <row r="40" spans="1:18" ht="33">
      <c r="A40" s="52"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11"/>
      <c r="C40" s="111"/>
      <c r="D40" s="116" t="s">
        <v>129</v>
      </c>
      <c r="E40" s="111" t="s">
        <v>90</v>
      </c>
      <c r="F40" s="112" t="s">
        <v>473</v>
      </c>
      <c r="G40" s="58" t="s">
        <v>467</v>
      </c>
      <c r="H40" s="61"/>
      <c r="I40" s="61"/>
      <c r="J40" s="58"/>
      <c r="K40" s="58"/>
      <c r="L40" s="61"/>
      <c r="M40" s="61"/>
      <c r="N40" s="61"/>
      <c r="O40" s="61"/>
      <c r="P40" s="61"/>
      <c r="Q40" s="113"/>
      <c r="R40" s="58"/>
    </row>
    <row r="41" spans="1:18">
      <c r="A41" s="52"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15"/>
      <c r="C41" s="115"/>
      <c r="D41" s="117"/>
      <c r="E41" s="115"/>
      <c r="F41" s="112" t="s">
        <v>474</v>
      </c>
      <c r="G41" s="58" t="s">
        <v>467</v>
      </c>
      <c r="H41" s="61"/>
      <c r="I41" s="61"/>
      <c r="J41" s="58"/>
      <c r="K41" s="58"/>
      <c r="L41" s="61"/>
      <c r="M41" s="61"/>
      <c r="N41" s="61"/>
      <c r="O41" s="61"/>
      <c r="P41" s="61"/>
      <c r="Q41" s="113"/>
      <c r="R41" s="58"/>
    </row>
    <row r="42" spans="1:18" ht="22">
      <c r="A42" s="52"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11" t="s">
        <v>132</v>
      </c>
      <c r="C42" s="119" t="s">
        <v>133</v>
      </c>
      <c r="D42" s="119" t="s">
        <v>134</v>
      </c>
      <c r="E42" s="120" t="s">
        <v>135</v>
      </c>
      <c r="F42" s="112" t="s">
        <v>136</v>
      </c>
      <c r="G42" s="58" t="s">
        <v>137</v>
      </c>
      <c r="H42" s="56"/>
      <c r="I42" s="56"/>
      <c r="J42" s="77"/>
      <c r="K42" s="77"/>
      <c r="L42" s="61"/>
      <c r="M42" s="61"/>
      <c r="N42" s="61"/>
      <c r="O42" s="61"/>
      <c r="P42" s="61"/>
      <c r="Q42" s="113"/>
      <c r="R42" s="58"/>
    </row>
    <row r="43" spans="1:18" ht="22">
      <c r="A43" s="52"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11"/>
      <c r="C43" s="111"/>
      <c r="D43" s="111"/>
      <c r="E43" s="116"/>
      <c r="F43" s="112" t="s">
        <v>138</v>
      </c>
      <c r="G43" s="58" t="s">
        <v>137</v>
      </c>
      <c r="H43" s="54"/>
      <c r="I43" s="56"/>
      <c r="J43" s="77"/>
      <c r="K43" s="77"/>
      <c r="L43" s="61"/>
      <c r="M43" s="61"/>
      <c r="N43" s="61"/>
      <c r="O43" s="61"/>
      <c r="P43" s="61"/>
      <c r="Q43" s="113"/>
      <c r="R43" s="58"/>
    </row>
    <row r="44" spans="1:18" ht="33">
      <c r="A44" s="52"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11"/>
      <c r="C44" s="111"/>
      <c r="D44" s="111"/>
      <c r="E44" s="115"/>
      <c r="F44" s="112" t="s">
        <v>139</v>
      </c>
      <c r="G44" s="58" t="s">
        <v>137</v>
      </c>
      <c r="H44" s="54"/>
      <c r="I44" s="56"/>
      <c r="J44" s="77"/>
      <c r="K44" s="77"/>
      <c r="L44" s="61"/>
      <c r="M44" s="61"/>
      <c r="N44" s="61"/>
      <c r="O44" s="61"/>
      <c r="P44" s="61"/>
      <c r="Q44" s="113"/>
      <c r="R44" s="58"/>
    </row>
    <row r="45" spans="1:18" ht="22">
      <c r="A45" s="52"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11"/>
      <c r="C45" s="111"/>
      <c r="D45" s="111"/>
      <c r="E45" s="116" t="s">
        <v>140</v>
      </c>
      <c r="F45" s="112" t="s">
        <v>141</v>
      </c>
      <c r="G45" s="58" t="s">
        <v>137</v>
      </c>
      <c r="H45" s="61"/>
      <c r="I45" s="61"/>
      <c r="J45" s="121"/>
      <c r="K45" s="58"/>
      <c r="L45" s="61"/>
      <c r="M45" s="61"/>
      <c r="N45" s="61"/>
      <c r="O45" s="61"/>
      <c r="P45" s="61"/>
      <c r="Q45" s="113"/>
      <c r="R45" s="58"/>
    </row>
    <row r="46" spans="1:18" ht="22">
      <c r="A46" s="52"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11"/>
      <c r="C46" s="111"/>
      <c r="D46" s="111"/>
      <c r="E46" s="116"/>
      <c r="F46" s="112" t="s">
        <v>142</v>
      </c>
      <c r="G46" s="58" t="s">
        <v>137</v>
      </c>
      <c r="H46" s="61"/>
      <c r="I46" s="61"/>
      <c r="J46" s="121"/>
      <c r="K46" s="58"/>
      <c r="L46" s="61"/>
      <c r="M46" s="61"/>
      <c r="N46" s="61"/>
      <c r="O46" s="61"/>
      <c r="P46" s="61"/>
      <c r="Q46" s="113"/>
      <c r="R46" s="58"/>
    </row>
    <row r="47" spans="1:18" ht="33">
      <c r="A47" s="52"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11"/>
      <c r="C47" s="111"/>
      <c r="D47" s="111"/>
      <c r="E47" s="115"/>
      <c r="F47" s="112" t="s">
        <v>139</v>
      </c>
      <c r="G47" s="58" t="s">
        <v>137</v>
      </c>
      <c r="H47" s="61"/>
      <c r="I47" s="61"/>
      <c r="J47" s="121"/>
      <c r="K47" s="58"/>
      <c r="L47" s="61"/>
      <c r="M47" s="61"/>
      <c r="N47" s="61"/>
      <c r="O47" s="61"/>
      <c r="P47" s="61"/>
      <c r="Q47" s="113"/>
      <c r="R47" s="58"/>
    </row>
    <row r="48" spans="1:18" ht="22">
      <c r="A48" s="52"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11"/>
      <c r="C48" s="111"/>
      <c r="D48" s="111"/>
      <c r="E48" s="116" t="s">
        <v>143</v>
      </c>
      <c r="F48" s="110" t="s">
        <v>144</v>
      </c>
      <c r="G48" s="58" t="s">
        <v>137</v>
      </c>
      <c r="H48" s="56"/>
      <c r="I48" s="56"/>
      <c r="J48" s="77"/>
      <c r="K48" s="77"/>
      <c r="L48" s="61"/>
      <c r="M48" s="61"/>
      <c r="N48" s="61"/>
      <c r="O48" s="61"/>
      <c r="P48" s="61"/>
      <c r="Q48" s="113"/>
      <c r="R48" s="58"/>
    </row>
    <row r="49" spans="1:18" ht="22">
      <c r="A49" s="52"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11"/>
      <c r="C49" s="111"/>
      <c r="D49" s="111"/>
      <c r="E49" s="115"/>
      <c r="F49" s="110" t="s">
        <v>145</v>
      </c>
      <c r="G49" s="58" t="s">
        <v>137</v>
      </c>
      <c r="H49" s="56"/>
      <c r="I49" s="56"/>
      <c r="J49" s="77"/>
      <c r="K49" s="77"/>
      <c r="L49" s="61"/>
      <c r="M49" s="61"/>
      <c r="N49" s="61"/>
      <c r="O49" s="61"/>
      <c r="P49" s="61"/>
      <c r="Q49" s="113"/>
      <c r="R49" s="58"/>
    </row>
    <row r="50" spans="1:18" ht="22">
      <c r="A50" s="52"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11"/>
      <c r="C50" s="111"/>
      <c r="D50" s="111"/>
      <c r="E50" s="116" t="s">
        <v>146</v>
      </c>
      <c r="F50" s="112" t="s">
        <v>147</v>
      </c>
      <c r="G50" s="58" t="s">
        <v>137</v>
      </c>
      <c r="H50" s="61"/>
      <c r="I50" s="61"/>
      <c r="J50" s="58"/>
      <c r="K50" s="58"/>
      <c r="L50" s="61"/>
      <c r="M50" s="61"/>
      <c r="N50" s="61"/>
      <c r="O50" s="61"/>
      <c r="P50" s="61"/>
      <c r="Q50" s="113"/>
      <c r="R50" s="58"/>
    </row>
    <row r="51" spans="1:18" ht="22">
      <c r="A51" s="52"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11"/>
      <c r="C51" s="111"/>
      <c r="D51" s="111"/>
      <c r="E51" s="116"/>
      <c r="F51" s="112" t="s">
        <v>148</v>
      </c>
      <c r="G51" s="58" t="s">
        <v>137</v>
      </c>
      <c r="H51" s="61"/>
      <c r="I51" s="61"/>
      <c r="J51" s="58"/>
      <c r="K51" s="58"/>
      <c r="L51" s="61"/>
      <c r="M51" s="61"/>
      <c r="N51" s="61"/>
      <c r="O51" s="61"/>
      <c r="P51" s="61"/>
      <c r="Q51" s="113"/>
      <c r="R51" s="58"/>
    </row>
    <row r="52" spans="1:18" ht="22">
      <c r="A52" s="52"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11"/>
      <c r="C52" s="111"/>
      <c r="D52" s="111"/>
      <c r="E52" s="116"/>
      <c r="F52" s="112" t="s">
        <v>149</v>
      </c>
      <c r="G52" s="58" t="s">
        <v>137</v>
      </c>
      <c r="H52" s="61"/>
      <c r="I52" s="61"/>
      <c r="J52" s="58"/>
      <c r="K52" s="58"/>
      <c r="L52" s="61"/>
      <c r="M52" s="61"/>
      <c r="N52" s="61"/>
      <c r="O52" s="61"/>
      <c r="P52" s="61"/>
      <c r="Q52" s="113"/>
      <c r="R52" s="58"/>
    </row>
    <row r="53" spans="1:18" ht="22">
      <c r="A53" s="52"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11"/>
      <c r="C53" s="111"/>
      <c r="D53" s="111"/>
      <c r="E53" s="116"/>
      <c r="F53" s="112" t="s">
        <v>150</v>
      </c>
      <c r="G53" s="58" t="s">
        <v>137</v>
      </c>
      <c r="H53" s="61"/>
      <c r="I53" s="61"/>
      <c r="J53" s="58"/>
      <c r="K53" s="58"/>
      <c r="L53" s="61"/>
      <c r="M53" s="61"/>
      <c r="N53" s="61"/>
      <c r="O53" s="61"/>
      <c r="P53" s="61"/>
      <c r="Q53" s="113"/>
      <c r="R53" s="58"/>
    </row>
    <row r="54" spans="1:18" ht="22">
      <c r="A54" s="52"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11"/>
      <c r="C54" s="111"/>
      <c r="D54" s="111"/>
      <c r="E54" s="116"/>
      <c r="F54" s="112" t="s">
        <v>151</v>
      </c>
      <c r="G54" s="58" t="s">
        <v>137</v>
      </c>
      <c r="H54" s="61"/>
      <c r="I54" s="61"/>
      <c r="J54" s="58"/>
      <c r="K54" s="58"/>
      <c r="L54" s="61"/>
      <c r="M54" s="61"/>
      <c r="N54" s="61"/>
      <c r="O54" s="61"/>
      <c r="P54" s="61"/>
      <c r="Q54" s="113"/>
      <c r="R54" s="58"/>
    </row>
    <row r="55" spans="1:18" ht="22">
      <c r="A55" s="52"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11"/>
      <c r="C55" s="111"/>
      <c r="D55" s="111"/>
      <c r="E55" s="115"/>
      <c r="F55" s="112" t="s">
        <v>152</v>
      </c>
      <c r="G55" s="58" t="s">
        <v>137</v>
      </c>
      <c r="H55" s="61"/>
      <c r="I55" s="61"/>
      <c r="J55" s="58"/>
      <c r="K55" s="58"/>
      <c r="L55" s="61"/>
      <c r="M55" s="61"/>
      <c r="N55" s="61"/>
      <c r="O55" s="61"/>
      <c r="P55" s="61"/>
      <c r="Q55" s="113"/>
      <c r="R55" s="58"/>
    </row>
    <row r="56" spans="1:18" ht="33">
      <c r="A56" s="52"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11"/>
      <c r="C56" s="111"/>
      <c r="D56" s="111"/>
      <c r="E56" s="110" t="s">
        <v>153</v>
      </c>
      <c r="F56" s="110" t="s">
        <v>154</v>
      </c>
      <c r="G56" s="58" t="s">
        <v>137</v>
      </c>
      <c r="H56" s="56"/>
      <c r="I56" s="56"/>
      <c r="J56" s="77"/>
      <c r="K56" s="77"/>
      <c r="L56" s="61"/>
      <c r="M56" s="61"/>
      <c r="N56" s="61"/>
      <c r="O56" s="61"/>
      <c r="P56" s="61"/>
      <c r="Q56" s="113"/>
      <c r="R56" s="58"/>
    </row>
    <row r="57" spans="1:18" ht="22">
      <c r="A57" s="52"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11"/>
      <c r="C57" s="111"/>
      <c r="D57" s="111"/>
      <c r="E57" s="112" t="s">
        <v>475</v>
      </c>
      <c r="F57" s="112" t="s">
        <v>156</v>
      </c>
      <c r="G57" s="58" t="s">
        <v>137</v>
      </c>
      <c r="H57" s="61"/>
      <c r="I57" s="61"/>
      <c r="J57" s="58"/>
      <c r="K57" s="58"/>
      <c r="L57" s="61"/>
      <c r="M57" s="61"/>
      <c r="N57" s="61"/>
      <c r="O57" s="61"/>
      <c r="P57" s="61"/>
      <c r="Q57" s="113"/>
      <c r="R57" s="58"/>
    </row>
    <row r="58" spans="1:18" ht="22">
      <c r="A58" s="52"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11"/>
      <c r="C58" s="111"/>
      <c r="D58" s="115"/>
      <c r="E58" s="112" t="s">
        <v>157</v>
      </c>
      <c r="F58" s="112" t="s">
        <v>158</v>
      </c>
      <c r="G58" s="58" t="s">
        <v>137</v>
      </c>
      <c r="H58" s="61"/>
      <c r="I58" s="61"/>
      <c r="J58" s="58"/>
      <c r="K58" s="58"/>
      <c r="L58" s="61"/>
      <c r="M58" s="61"/>
      <c r="N58" s="61"/>
      <c r="O58" s="61"/>
      <c r="P58" s="61"/>
      <c r="Q58" s="113"/>
      <c r="R58" s="58"/>
    </row>
    <row r="59" spans="1:18" ht="22">
      <c r="A59" s="52"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11"/>
      <c r="C59" s="111"/>
      <c r="D59" s="111" t="s">
        <v>159</v>
      </c>
      <c r="E59" s="116" t="s">
        <v>471</v>
      </c>
      <c r="F59" s="112" t="s">
        <v>476</v>
      </c>
      <c r="G59" s="58" t="s">
        <v>137</v>
      </c>
      <c r="H59" s="61"/>
      <c r="I59" s="61"/>
      <c r="J59" s="58"/>
      <c r="K59" s="58"/>
      <c r="L59" s="61"/>
      <c r="M59" s="61"/>
      <c r="N59" s="61"/>
      <c r="O59" s="61"/>
      <c r="P59" s="61"/>
      <c r="Q59" s="113"/>
      <c r="R59" s="58"/>
    </row>
    <row r="60" spans="1:18" ht="22">
      <c r="A60" s="52"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11"/>
      <c r="C60" s="114"/>
      <c r="D60" s="111"/>
      <c r="E60" s="116"/>
      <c r="F60" s="110" t="s">
        <v>477</v>
      </c>
      <c r="G60" s="58" t="s">
        <v>137</v>
      </c>
      <c r="H60" s="56"/>
      <c r="I60" s="56"/>
      <c r="J60" s="58"/>
      <c r="K60" s="77"/>
      <c r="L60" s="61"/>
      <c r="M60" s="61"/>
      <c r="N60" s="61"/>
      <c r="O60" s="61"/>
      <c r="P60" s="61"/>
      <c r="Q60" s="113"/>
      <c r="R60" s="58"/>
    </row>
    <row r="61" spans="1:18" ht="22">
      <c r="A61" s="52"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11"/>
      <c r="C61" s="114"/>
      <c r="D61" s="111"/>
      <c r="E61" s="116"/>
      <c r="F61" s="112" t="s">
        <v>478</v>
      </c>
      <c r="G61" s="58" t="s">
        <v>137</v>
      </c>
      <c r="H61" s="61"/>
      <c r="I61" s="61"/>
      <c r="J61" s="58"/>
      <c r="K61" s="58"/>
      <c r="L61" s="61"/>
      <c r="M61" s="61"/>
      <c r="N61" s="61"/>
      <c r="O61" s="61"/>
      <c r="P61" s="61"/>
      <c r="Q61" s="113"/>
      <c r="R61" s="58"/>
    </row>
    <row r="62" spans="1:18" ht="22">
      <c r="A62" s="52"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11"/>
      <c r="C62" s="114"/>
      <c r="D62" s="111"/>
      <c r="E62" s="116"/>
      <c r="F62" s="112" t="s">
        <v>479</v>
      </c>
      <c r="G62" s="58" t="s">
        <v>137</v>
      </c>
      <c r="H62" s="61"/>
      <c r="I62" s="61"/>
      <c r="J62" s="58"/>
      <c r="K62" s="58"/>
      <c r="L62" s="61"/>
      <c r="M62" s="61"/>
      <c r="N62" s="61"/>
      <c r="O62" s="61"/>
      <c r="P62" s="61"/>
      <c r="Q62" s="113"/>
      <c r="R62" s="58"/>
    </row>
    <row r="63" spans="1:18" ht="22">
      <c r="A63" s="52"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11"/>
      <c r="C63" s="114"/>
      <c r="D63" s="111"/>
      <c r="E63" s="115"/>
      <c r="F63" s="112" t="s">
        <v>164</v>
      </c>
      <c r="G63" s="58" t="s">
        <v>137</v>
      </c>
      <c r="H63" s="61"/>
      <c r="I63" s="61"/>
      <c r="J63" s="58"/>
      <c r="K63" s="58"/>
      <c r="L63" s="61"/>
      <c r="M63" s="61"/>
      <c r="N63" s="61"/>
      <c r="O63" s="61"/>
      <c r="P63" s="61"/>
      <c r="Q63" s="113"/>
      <c r="R63" s="58"/>
    </row>
    <row r="64" spans="1:18" ht="33">
      <c r="A64" s="52"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11"/>
      <c r="C64" s="114"/>
      <c r="D64" s="111"/>
      <c r="E64" s="116" t="s">
        <v>165</v>
      </c>
      <c r="F64" s="112" t="s">
        <v>166</v>
      </c>
      <c r="G64" s="58" t="s">
        <v>137</v>
      </c>
      <c r="H64" s="61"/>
      <c r="I64" s="61"/>
      <c r="J64" s="58"/>
      <c r="K64" s="58"/>
      <c r="L64" s="61"/>
      <c r="M64" s="61"/>
      <c r="N64" s="61"/>
      <c r="O64" s="61"/>
      <c r="P64" s="61"/>
      <c r="Q64" s="113"/>
      <c r="R64" s="58"/>
    </row>
    <row r="65" spans="1:18" ht="33">
      <c r="A65" s="52"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11"/>
      <c r="C65" s="114"/>
      <c r="D65" s="111"/>
      <c r="E65" s="116"/>
      <c r="F65" s="112" t="s">
        <v>168</v>
      </c>
      <c r="G65" s="58" t="s">
        <v>137</v>
      </c>
      <c r="H65" s="61"/>
      <c r="I65" s="61"/>
      <c r="J65" s="58"/>
      <c r="K65" s="58"/>
      <c r="L65" s="61"/>
      <c r="M65" s="61"/>
      <c r="N65" s="61"/>
      <c r="O65" s="61"/>
      <c r="P65" s="61"/>
      <c r="Q65" s="113"/>
      <c r="R65" s="58"/>
    </row>
    <row r="66" spans="1:18" ht="44">
      <c r="A66" s="52"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11"/>
      <c r="C66" s="114"/>
      <c r="D66" s="111"/>
      <c r="E66" s="116"/>
      <c r="F66" s="112" t="s">
        <v>170</v>
      </c>
      <c r="G66" s="58" t="s">
        <v>137</v>
      </c>
      <c r="H66" s="61"/>
      <c r="I66" s="61"/>
      <c r="J66" s="58"/>
      <c r="K66" s="58"/>
      <c r="L66" s="61"/>
      <c r="M66" s="61"/>
      <c r="N66" s="61"/>
      <c r="O66" s="61"/>
      <c r="P66" s="61"/>
      <c r="Q66" s="113"/>
      <c r="R66" s="58"/>
    </row>
    <row r="67" spans="1:18" ht="33">
      <c r="A67" s="52"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11"/>
      <c r="C67" s="114"/>
      <c r="D67" s="111"/>
      <c r="E67" s="116"/>
      <c r="F67" s="112" t="s">
        <v>171</v>
      </c>
      <c r="G67" s="58" t="s">
        <v>137</v>
      </c>
      <c r="H67" s="61"/>
      <c r="I67" s="61"/>
      <c r="J67" s="58"/>
      <c r="K67" s="58"/>
      <c r="L67" s="61"/>
      <c r="M67" s="61"/>
      <c r="N67" s="61"/>
      <c r="O67" s="61"/>
      <c r="P67" s="61"/>
      <c r="Q67" s="113"/>
      <c r="R67" s="58"/>
    </row>
    <row r="68" spans="1:18" ht="33">
      <c r="A68" s="52"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11"/>
      <c r="C68" s="114"/>
      <c r="D68" s="111"/>
      <c r="E68" s="116"/>
      <c r="F68" s="112" t="s">
        <v>172</v>
      </c>
      <c r="G68" s="58" t="s">
        <v>137</v>
      </c>
      <c r="H68" s="61"/>
      <c r="I68" s="61"/>
      <c r="J68" s="58"/>
      <c r="K68" s="58"/>
      <c r="L68" s="61"/>
      <c r="M68" s="61"/>
      <c r="N68" s="61"/>
      <c r="O68" s="61"/>
      <c r="P68" s="61"/>
      <c r="Q68" s="113"/>
      <c r="R68" s="58"/>
    </row>
    <row r="69" spans="1:18" ht="22">
      <c r="A69" s="52"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11"/>
      <c r="C69" s="114"/>
      <c r="D69" s="111"/>
      <c r="E69" s="116"/>
      <c r="F69" s="112" t="s">
        <v>173</v>
      </c>
      <c r="G69" s="58" t="s">
        <v>137</v>
      </c>
      <c r="H69" s="61"/>
      <c r="I69" s="61"/>
      <c r="J69" s="58"/>
      <c r="K69" s="58"/>
      <c r="L69" s="61"/>
      <c r="M69" s="61"/>
      <c r="N69" s="61"/>
      <c r="O69" s="61"/>
      <c r="P69" s="61"/>
      <c r="Q69" s="113"/>
      <c r="R69" s="58"/>
    </row>
    <row r="70" spans="1:18" ht="22">
      <c r="A70" s="52"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11"/>
      <c r="C70" s="114"/>
      <c r="D70" s="111"/>
      <c r="E70" s="116"/>
      <c r="F70" s="112" t="s">
        <v>174</v>
      </c>
      <c r="G70" s="58" t="s">
        <v>137</v>
      </c>
      <c r="H70" s="61"/>
      <c r="I70" s="61"/>
      <c r="J70" s="58"/>
      <c r="K70" s="58"/>
      <c r="L70" s="61"/>
      <c r="M70" s="61"/>
      <c r="N70" s="61"/>
      <c r="O70" s="61"/>
      <c r="P70" s="61"/>
      <c r="Q70" s="113"/>
      <c r="R70" s="58"/>
    </row>
    <row r="71" spans="1:18" ht="33">
      <c r="A71" s="52"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11"/>
      <c r="C71" s="114"/>
      <c r="D71" s="111"/>
      <c r="E71" s="115"/>
      <c r="F71" s="112" t="s">
        <v>175</v>
      </c>
      <c r="G71" s="58" t="s">
        <v>137</v>
      </c>
      <c r="H71" s="61"/>
      <c r="I71" s="61"/>
      <c r="J71" s="58"/>
      <c r="K71" s="58"/>
      <c r="L71" s="61"/>
      <c r="M71" s="61"/>
      <c r="N71" s="61"/>
      <c r="O71" s="61"/>
      <c r="P71" s="61"/>
      <c r="Q71" s="113"/>
      <c r="R71" s="58"/>
    </row>
    <row r="72" spans="1:18" ht="22">
      <c r="A72" s="52"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11"/>
      <c r="C72" s="114"/>
      <c r="D72" s="111"/>
      <c r="E72" s="122" t="s">
        <v>176</v>
      </c>
      <c r="F72" s="123" t="s">
        <v>177</v>
      </c>
      <c r="G72" s="58" t="s">
        <v>137</v>
      </c>
      <c r="H72" s="56"/>
      <c r="I72" s="56"/>
      <c r="J72" s="77"/>
      <c r="K72" s="77"/>
      <c r="L72" s="60"/>
      <c r="M72" s="60"/>
      <c r="N72" s="61"/>
      <c r="O72" s="59"/>
      <c r="P72" s="61"/>
      <c r="Q72" s="113"/>
      <c r="R72" s="58"/>
    </row>
    <row r="73" spans="1:18">
      <c r="A73" s="52"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11"/>
      <c r="C73" s="124"/>
      <c r="D73" s="111"/>
      <c r="E73" s="116" t="s">
        <v>179</v>
      </c>
      <c r="F73" s="112" t="s">
        <v>180</v>
      </c>
      <c r="G73" s="58" t="s">
        <v>137</v>
      </c>
      <c r="H73" s="61"/>
      <c r="I73" s="61"/>
      <c r="J73" s="77"/>
      <c r="K73" s="58"/>
      <c r="L73" s="61"/>
      <c r="M73" s="61"/>
      <c r="N73" s="61"/>
      <c r="O73" s="61"/>
      <c r="P73" s="61"/>
      <c r="Q73" s="113"/>
      <c r="R73" s="58"/>
    </row>
    <row r="74" spans="1:18">
      <c r="A74" s="52"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11"/>
      <c r="C74" s="124"/>
      <c r="D74" s="111"/>
      <c r="E74" s="116"/>
      <c r="F74" s="112" t="s">
        <v>181</v>
      </c>
      <c r="G74" s="58" t="s">
        <v>137</v>
      </c>
      <c r="H74" s="61"/>
      <c r="I74" s="61"/>
      <c r="J74" s="77"/>
      <c r="K74" s="58"/>
      <c r="L74" s="61"/>
      <c r="M74" s="61"/>
      <c r="N74" s="61"/>
      <c r="O74" s="61"/>
      <c r="P74" s="61"/>
      <c r="Q74" s="113"/>
      <c r="R74" s="58"/>
    </row>
    <row r="75" spans="1:18">
      <c r="A75" s="52"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11"/>
      <c r="C75" s="124"/>
      <c r="D75" s="111"/>
      <c r="E75" s="116"/>
      <c r="F75" s="112" t="s">
        <v>182</v>
      </c>
      <c r="G75" s="58" t="s">
        <v>137</v>
      </c>
      <c r="H75" s="61"/>
      <c r="I75" s="61"/>
      <c r="J75" s="77"/>
      <c r="K75" s="58"/>
      <c r="L75" s="61"/>
      <c r="M75" s="61"/>
      <c r="N75" s="61"/>
      <c r="O75" s="61"/>
      <c r="P75" s="61"/>
      <c r="Q75" s="113"/>
      <c r="R75" s="58"/>
    </row>
    <row r="76" spans="1:18">
      <c r="A76" s="52"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11"/>
      <c r="C76" s="124"/>
      <c r="D76" s="111"/>
      <c r="E76" s="116"/>
      <c r="F76" s="112" t="s">
        <v>184</v>
      </c>
      <c r="G76" s="58" t="s">
        <v>137</v>
      </c>
      <c r="H76" s="61"/>
      <c r="I76" s="61"/>
      <c r="J76" s="77"/>
      <c r="K76" s="58"/>
      <c r="L76" s="61"/>
      <c r="M76" s="61"/>
      <c r="N76" s="61"/>
      <c r="O76" s="61"/>
      <c r="P76" s="61"/>
      <c r="Q76" s="113"/>
      <c r="R76" s="58"/>
    </row>
    <row r="77" spans="1:18" ht="22">
      <c r="A77" s="52"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11"/>
      <c r="C77" s="117"/>
      <c r="D77" s="115"/>
      <c r="E77" s="117"/>
      <c r="F77" s="112" t="s">
        <v>185</v>
      </c>
      <c r="G77" s="58" t="s">
        <v>137</v>
      </c>
      <c r="H77" s="61"/>
      <c r="I77" s="61"/>
      <c r="J77" s="77"/>
      <c r="K77" s="58"/>
      <c r="L77" s="61"/>
      <c r="M77" s="61"/>
      <c r="N77" s="61"/>
      <c r="O77" s="61"/>
      <c r="P77" s="61"/>
      <c r="Q77" s="113"/>
      <c r="R77" s="58"/>
    </row>
    <row r="78" spans="1:18" ht="22">
      <c r="A78" s="52"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125"/>
      <c r="C78" s="118" t="s">
        <v>186</v>
      </c>
      <c r="D78" s="110" t="s">
        <v>187</v>
      </c>
      <c r="E78" s="118" t="s">
        <v>124</v>
      </c>
      <c r="F78" s="112" t="s">
        <v>188</v>
      </c>
      <c r="G78" s="58" t="s">
        <v>137</v>
      </c>
      <c r="H78" s="56"/>
      <c r="I78" s="56"/>
      <c r="J78" s="77"/>
      <c r="K78" s="77"/>
      <c r="L78" s="61"/>
      <c r="M78" s="61"/>
      <c r="N78" s="61"/>
      <c r="O78" s="61"/>
      <c r="P78" s="61"/>
      <c r="Q78" s="113"/>
      <c r="R78" s="58"/>
    </row>
    <row r="79" spans="1:18" ht="33">
      <c r="A79" s="52"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11"/>
      <c r="C79" s="116"/>
      <c r="D79" s="111"/>
      <c r="E79" s="115"/>
      <c r="F79" s="112" t="s">
        <v>189</v>
      </c>
      <c r="G79" s="58" t="s">
        <v>137</v>
      </c>
      <c r="H79" s="56"/>
      <c r="I79" s="56"/>
      <c r="J79" s="56"/>
      <c r="K79" s="77"/>
      <c r="L79" s="61"/>
      <c r="M79" s="61"/>
      <c r="N79" s="61"/>
      <c r="O79" s="61"/>
      <c r="P79" s="61"/>
      <c r="Q79" s="113"/>
      <c r="R79" s="58"/>
    </row>
    <row r="80" spans="1:18">
      <c r="A80" s="52"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11"/>
      <c r="C80" s="116"/>
      <c r="D80" s="111"/>
      <c r="E80" s="112" t="s">
        <v>190</v>
      </c>
      <c r="F80" s="112" t="s">
        <v>191</v>
      </c>
      <c r="G80" s="58" t="s">
        <v>137</v>
      </c>
      <c r="H80" s="61"/>
      <c r="I80" s="61"/>
      <c r="J80" s="121"/>
      <c r="K80" s="58"/>
      <c r="L80" s="61"/>
      <c r="M80" s="61"/>
      <c r="N80" s="61"/>
      <c r="O80" s="61"/>
      <c r="P80" s="61"/>
      <c r="Q80" s="113"/>
      <c r="R80" s="58"/>
    </row>
    <row r="81" spans="1:18" ht="33">
      <c r="A81" s="52"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11"/>
      <c r="C81" s="116"/>
      <c r="D81" s="111"/>
      <c r="E81" s="116" t="s">
        <v>192</v>
      </c>
      <c r="F81" s="112" t="s">
        <v>193</v>
      </c>
      <c r="G81" s="58" t="s">
        <v>137</v>
      </c>
      <c r="H81" s="61"/>
      <c r="I81" s="61"/>
      <c r="J81" s="58"/>
      <c r="K81" s="58"/>
      <c r="L81" s="61"/>
      <c r="M81" s="61"/>
      <c r="N81" s="61"/>
      <c r="O81" s="61"/>
      <c r="P81" s="61"/>
      <c r="Q81" s="113"/>
      <c r="R81" s="58"/>
    </row>
    <row r="82" spans="1:18" ht="33">
      <c r="A82" s="52"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11"/>
      <c r="C82" s="116"/>
      <c r="D82" s="111"/>
      <c r="E82" s="115"/>
      <c r="F82" s="112" t="s">
        <v>194</v>
      </c>
      <c r="G82" s="58" t="s">
        <v>137</v>
      </c>
      <c r="H82" s="61"/>
      <c r="I82" s="61"/>
      <c r="J82" s="58"/>
      <c r="K82" s="58"/>
      <c r="L82" s="61"/>
      <c r="M82" s="61"/>
      <c r="N82" s="61"/>
      <c r="O82" s="61"/>
      <c r="P82" s="61"/>
      <c r="Q82" s="113"/>
      <c r="R82" s="58"/>
    </row>
    <row r="83" spans="1:18" ht="22">
      <c r="A83" s="52"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11"/>
      <c r="C83" s="116"/>
      <c r="D83" s="111"/>
      <c r="E83" s="112" t="s">
        <v>195</v>
      </c>
      <c r="F83" s="112" t="s">
        <v>196</v>
      </c>
      <c r="G83" s="58" t="s">
        <v>137</v>
      </c>
      <c r="H83" s="61"/>
      <c r="I83" s="61"/>
      <c r="J83" s="58"/>
      <c r="K83" s="58"/>
      <c r="L83" s="61"/>
      <c r="M83" s="61"/>
      <c r="N83" s="61"/>
      <c r="O83" s="61"/>
      <c r="P83" s="61"/>
      <c r="Q83" s="113"/>
      <c r="R83" s="58"/>
    </row>
    <row r="84" spans="1:18" ht="22">
      <c r="A84" s="52"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11"/>
      <c r="C84" s="115"/>
      <c r="D84" s="115"/>
      <c r="E84" s="112" t="s">
        <v>197</v>
      </c>
      <c r="F84" s="112" t="s">
        <v>198</v>
      </c>
      <c r="G84" s="58" t="s">
        <v>137</v>
      </c>
      <c r="H84" s="61"/>
      <c r="I84" s="61"/>
      <c r="J84" s="58"/>
      <c r="K84" s="58"/>
      <c r="L84" s="61"/>
      <c r="M84" s="61"/>
      <c r="N84" s="61"/>
      <c r="O84" s="61"/>
      <c r="P84" s="61"/>
      <c r="Q84" s="113"/>
      <c r="R84" s="58"/>
    </row>
    <row r="85" spans="1:18" ht="22">
      <c r="A85" s="52"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11"/>
      <c r="C85" s="111" t="s">
        <v>199</v>
      </c>
      <c r="D85" s="111" t="s">
        <v>187</v>
      </c>
      <c r="E85" s="112" t="s">
        <v>471</v>
      </c>
      <c r="F85" s="112" t="s">
        <v>200</v>
      </c>
      <c r="G85" s="58" t="s">
        <v>137</v>
      </c>
      <c r="H85" s="61"/>
      <c r="I85" s="61"/>
      <c r="J85" s="58"/>
      <c r="K85" s="58"/>
      <c r="L85" s="61"/>
      <c r="M85" s="61"/>
      <c r="N85" s="61"/>
      <c r="O85" s="61"/>
      <c r="P85" s="61"/>
      <c r="Q85" s="113"/>
      <c r="R85" s="58"/>
    </row>
    <row r="86" spans="1:18">
      <c r="A86" s="52"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11"/>
      <c r="C86" s="116"/>
      <c r="D86" s="111"/>
      <c r="E86" s="112" t="s">
        <v>190</v>
      </c>
      <c r="F86" s="112" t="s">
        <v>201</v>
      </c>
      <c r="G86" s="58" t="s">
        <v>137</v>
      </c>
      <c r="H86" s="61"/>
      <c r="I86" s="61"/>
      <c r="J86" s="58"/>
      <c r="K86" s="58"/>
      <c r="L86" s="61"/>
      <c r="M86" s="61"/>
      <c r="N86" s="61"/>
      <c r="O86" s="61"/>
      <c r="P86" s="61"/>
      <c r="Q86" s="113"/>
      <c r="R86" s="58"/>
    </row>
    <row r="87" spans="1:18" ht="33">
      <c r="A87" s="52"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11"/>
      <c r="C87" s="115"/>
      <c r="D87" s="115"/>
      <c r="E87" s="115" t="s">
        <v>480</v>
      </c>
      <c r="F87" s="112" t="s">
        <v>203</v>
      </c>
      <c r="G87" s="58" t="s">
        <v>137</v>
      </c>
      <c r="H87" s="61"/>
      <c r="I87" s="61"/>
      <c r="J87" s="58"/>
      <c r="K87" s="58"/>
      <c r="L87" s="61"/>
      <c r="M87" s="61"/>
      <c r="N87" s="61"/>
      <c r="O87" s="61"/>
      <c r="P87" s="61"/>
      <c r="Q87" s="113"/>
      <c r="R87" s="58"/>
    </row>
    <row r="88" spans="1:18" ht="22">
      <c r="A88" s="52"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11"/>
      <c r="C88" s="116" t="s">
        <v>205</v>
      </c>
      <c r="D88" s="111" t="s">
        <v>187</v>
      </c>
      <c r="E88" s="116" t="s">
        <v>471</v>
      </c>
      <c r="F88" s="110" t="s">
        <v>206</v>
      </c>
      <c r="G88" s="58" t="s">
        <v>207</v>
      </c>
      <c r="H88" s="56"/>
      <c r="I88" s="56"/>
      <c r="J88" s="77"/>
      <c r="K88" s="61"/>
      <c r="L88" s="61"/>
      <c r="M88" s="61"/>
      <c r="N88" s="61"/>
      <c r="O88" s="61"/>
      <c r="P88" s="61"/>
      <c r="Q88" s="113"/>
      <c r="R88" s="58"/>
    </row>
    <row r="89" spans="1:18" ht="33">
      <c r="A89" s="52"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11"/>
      <c r="C89" s="116"/>
      <c r="D89" s="111"/>
      <c r="E89" s="115"/>
      <c r="F89" s="112" t="s">
        <v>208</v>
      </c>
      <c r="G89" s="58" t="s">
        <v>207</v>
      </c>
      <c r="H89" s="61"/>
      <c r="I89" s="61"/>
      <c r="J89" s="58"/>
      <c r="K89" s="58"/>
      <c r="L89" s="61"/>
      <c r="M89" s="61"/>
      <c r="N89" s="61"/>
      <c r="O89" s="61"/>
      <c r="P89" s="61"/>
      <c r="Q89" s="113"/>
      <c r="R89" s="58"/>
    </row>
    <row r="90" spans="1:18">
      <c r="A90" s="52"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11"/>
      <c r="C90" s="116"/>
      <c r="D90" s="111"/>
      <c r="E90" s="112" t="s">
        <v>190</v>
      </c>
      <c r="F90" s="112" t="s">
        <v>209</v>
      </c>
      <c r="G90" s="58" t="s">
        <v>207</v>
      </c>
      <c r="H90" s="61"/>
      <c r="I90" s="61"/>
      <c r="J90" s="58"/>
      <c r="K90" s="58"/>
      <c r="L90" s="61"/>
      <c r="M90" s="61"/>
      <c r="N90" s="61"/>
      <c r="O90" s="61"/>
      <c r="P90" s="61"/>
      <c r="Q90" s="113"/>
      <c r="R90" s="58"/>
    </row>
    <row r="91" spans="1:18" ht="33">
      <c r="A91" s="52"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11"/>
      <c r="C91" s="116"/>
      <c r="D91" s="111"/>
      <c r="E91" s="116" t="s">
        <v>192</v>
      </c>
      <c r="F91" s="112" t="s">
        <v>210</v>
      </c>
      <c r="G91" s="58" t="s">
        <v>207</v>
      </c>
      <c r="H91" s="61"/>
      <c r="I91" s="61"/>
      <c r="J91" s="58"/>
      <c r="K91" s="58"/>
      <c r="L91" s="61"/>
      <c r="M91" s="61"/>
      <c r="N91" s="61"/>
      <c r="O91" s="61"/>
      <c r="P91" s="61"/>
      <c r="Q91" s="113"/>
      <c r="R91" s="58"/>
    </row>
    <row r="92" spans="1:18" ht="33">
      <c r="A92" s="52"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11"/>
      <c r="C92" s="116"/>
      <c r="D92" s="111"/>
      <c r="E92" s="115"/>
      <c r="F92" s="112" t="s">
        <v>211</v>
      </c>
      <c r="G92" s="58" t="s">
        <v>207</v>
      </c>
      <c r="H92" s="61"/>
      <c r="I92" s="61"/>
      <c r="J92" s="58"/>
      <c r="K92" s="58"/>
      <c r="L92" s="61"/>
      <c r="M92" s="61"/>
      <c r="N92" s="61"/>
      <c r="O92" s="61"/>
      <c r="P92" s="61"/>
      <c r="Q92" s="113"/>
      <c r="R92" s="58"/>
    </row>
    <row r="93" spans="1:18" ht="33">
      <c r="A93" s="52"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11"/>
      <c r="C93" s="115"/>
      <c r="D93" s="115"/>
      <c r="E93" s="115" t="s">
        <v>480</v>
      </c>
      <c r="F93" s="112" t="s">
        <v>212</v>
      </c>
      <c r="G93" s="58" t="s">
        <v>207</v>
      </c>
      <c r="H93" s="61"/>
      <c r="I93" s="61"/>
      <c r="J93" s="58"/>
      <c r="K93" s="58"/>
      <c r="L93" s="61"/>
      <c r="M93" s="61"/>
      <c r="N93" s="61"/>
      <c r="O93" s="61"/>
      <c r="P93" s="61"/>
      <c r="Q93" s="113"/>
      <c r="R93" s="58"/>
    </row>
    <row r="94" spans="1:18" ht="22">
      <c r="A94" s="52"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11"/>
      <c r="C94" s="110" t="s">
        <v>213</v>
      </c>
      <c r="D94" s="110" t="s">
        <v>187</v>
      </c>
      <c r="E94" s="116" t="s">
        <v>214</v>
      </c>
      <c r="F94" s="112" t="s">
        <v>215</v>
      </c>
      <c r="G94" s="58" t="s">
        <v>216</v>
      </c>
      <c r="H94" s="61"/>
      <c r="I94" s="61"/>
      <c r="J94" s="58"/>
      <c r="K94" s="58"/>
      <c r="L94" s="61"/>
      <c r="M94" s="61"/>
      <c r="N94" s="61"/>
      <c r="O94" s="61"/>
      <c r="P94" s="61"/>
      <c r="Q94" s="113"/>
      <c r="R94" s="58"/>
    </row>
    <row r="95" spans="1:18" ht="33">
      <c r="A95" s="52"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11"/>
      <c r="C95" s="114"/>
      <c r="D95" s="111"/>
      <c r="E95" s="116"/>
      <c r="F95" s="112" t="s">
        <v>217</v>
      </c>
      <c r="G95" s="58" t="s">
        <v>216</v>
      </c>
      <c r="H95" s="61"/>
      <c r="I95" s="61"/>
      <c r="J95" s="58"/>
      <c r="K95" s="58"/>
      <c r="L95" s="61"/>
      <c r="M95" s="61"/>
      <c r="N95" s="61"/>
      <c r="O95" s="61"/>
      <c r="P95" s="61"/>
      <c r="Q95" s="113"/>
      <c r="R95" s="58"/>
    </row>
    <row r="96" spans="1:18">
      <c r="A96" s="52"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11"/>
      <c r="C96" s="114"/>
      <c r="D96" s="111"/>
      <c r="E96" s="116"/>
      <c r="F96" s="112" t="s">
        <v>218</v>
      </c>
      <c r="G96" s="58" t="s">
        <v>216</v>
      </c>
      <c r="H96" s="61"/>
      <c r="I96" s="61"/>
      <c r="J96" s="58"/>
      <c r="K96" s="58"/>
      <c r="L96" s="61"/>
      <c r="M96" s="61"/>
      <c r="N96" s="61"/>
      <c r="O96" s="61"/>
      <c r="P96" s="61"/>
      <c r="Q96" s="113"/>
      <c r="R96" s="58"/>
    </row>
    <row r="97" spans="1:18" ht="33">
      <c r="A97" s="52"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11"/>
      <c r="C97" s="116"/>
      <c r="D97" s="111"/>
      <c r="E97" s="116"/>
      <c r="F97" s="112" t="s">
        <v>219</v>
      </c>
      <c r="G97" s="58" t="s">
        <v>216</v>
      </c>
      <c r="H97" s="61"/>
      <c r="I97" s="61"/>
      <c r="J97" s="58"/>
      <c r="K97" s="58"/>
      <c r="L97" s="61"/>
      <c r="M97" s="61"/>
      <c r="N97" s="61"/>
      <c r="O97" s="61"/>
      <c r="P97" s="61"/>
      <c r="Q97" s="113"/>
      <c r="R97" s="58"/>
    </row>
    <row r="98" spans="1:18" ht="33">
      <c r="A98" s="52"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11"/>
      <c r="C98" s="116"/>
      <c r="D98" s="111"/>
      <c r="E98" s="115"/>
      <c r="F98" s="112" t="s">
        <v>220</v>
      </c>
      <c r="G98" s="58" t="s">
        <v>216</v>
      </c>
      <c r="H98" s="61"/>
      <c r="I98" s="61"/>
      <c r="J98" s="58"/>
      <c r="K98" s="58"/>
      <c r="L98" s="61"/>
      <c r="M98" s="61"/>
      <c r="N98" s="61"/>
      <c r="O98" s="61"/>
      <c r="P98" s="61"/>
      <c r="Q98" s="113"/>
      <c r="R98" s="58"/>
    </row>
    <row r="99" spans="1:18" ht="22">
      <c r="A99" s="52"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11"/>
      <c r="C99" s="114"/>
      <c r="D99" s="111"/>
      <c r="E99" s="116" t="s">
        <v>221</v>
      </c>
      <c r="F99" s="112" t="s">
        <v>222</v>
      </c>
      <c r="G99" s="58" t="s">
        <v>216</v>
      </c>
      <c r="H99" s="61"/>
      <c r="I99" s="61"/>
      <c r="J99" s="58"/>
      <c r="K99" s="58"/>
      <c r="L99" s="61"/>
      <c r="M99" s="61"/>
      <c r="N99" s="61"/>
      <c r="O99" s="61"/>
      <c r="P99" s="61"/>
      <c r="Q99" s="113"/>
      <c r="R99" s="58"/>
    </row>
    <row r="100" spans="1:18" ht="33">
      <c r="A100" s="52"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11"/>
      <c r="C100" s="111"/>
      <c r="D100" s="111"/>
      <c r="E100" s="116"/>
      <c r="F100" s="112" t="s">
        <v>223</v>
      </c>
      <c r="G100" s="58" t="s">
        <v>216</v>
      </c>
      <c r="H100" s="61"/>
      <c r="I100" s="61"/>
      <c r="J100" s="58"/>
      <c r="K100" s="58"/>
      <c r="L100" s="61"/>
      <c r="M100" s="61"/>
      <c r="N100" s="61"/>
      <c r="O100" s="61"/>
      <c r="P100" s="61"/>
      <c r="Q100" s="113"/>
      <c r="R100" s="58"/>
    </row>
    <row r="101" spans="1:18">
      <c r="A101" s="52"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11"/>
      <c r="C101" s="111"/>
      <c r="D101" s="111"/>
      <c r="E101" s="116"/>
      <c r="F101" s="112" t="s">
        <v>224</v>
      </c>
      <c r="G101" s="58" t="s">
        <v>216</v>
      </c>
      <c r="H101" s="61"/>
      <c r="I101" s="61"/>
      <c r="J101" s="58"/>
      <c r="K101" s="58"/>
      <c r="L101" s="61"/>
      <c r="M101" s="61"/>
      <c r="N101" s="61"/>
      <c r="O101" s="61"/>
      <c r="P101" s="61"/>
      <c r="Q101" s="113"/>
      <c r="R101" s="58"/>
    </row>
    <row r="102" spans="1:18" ht="33">
      <c r="A102" s="52"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11"/>
      <c r="C102" s="116"/>
      <c r="D102" s="111"/>
      <c r="E102" s="116"/>
      <c r="F102" s="112" t="s">
        <v>225</v>
      </c>
      <c r="G102" s="58" t="s">
        <v>216</v>
      </c>
      <c r="H102" s="61"/>
      <c r="I102" s="61"/>
      <c r="J102" s="58"/>
      <c r="K102" s="58"/>
      <c r="L102" s="61"/>
      <c r="M102" s="61"/>
      <c r="N102" s="61"/>
      <c r="O102" s="61"/>
      <c r="P102" s="61"/>
      <c r="Q102" s="113"/>
      <c r="R102" s="58"/>
    </row>
    <row r="103" spans="1:18" ht="33">
      <c r="A103" s="52"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11"/>
      <c r="C103" s="116"/>
      <c r="D103" s="111"/>
      <c r="E103" s="115"/>
      <c r="F103" s="112" t="s">
        <v>226</v>
      </c>
      <c r="G103" s="58" t="s">
        <v>216</v>
      </c>
      <c r="H103" s="61"/>
      <c r="I103" s="61"/>
      <c r="J103" s="58"/>
      <c r="K103" s="58"/>
      <c r="L103" s="61"/>
      <c r="M103" s="61"/>
      <c r="N103" s="61"/>
      <c r="O103" s="61"/>
      <c r="P103" s="61"/>
      <c r="Q103" s="113"/>
      <c r="R103" s="58"/>
    </row>
    <row r="104" spans="1:18" ht="33">
      <c r="A104" s="52"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11"/>
      <c r="C104" s="115"/>
      <c r="D104" s="111"/>
      <c r="E104" s="117" t="s">
        <v>480</v>
      </c>
      <c r="F104" s="112" t="s">
        <v>227</v>
      </c>
      <c r="G104" s="58" t="s">
        <v>216</v>
      </c>
      <c r="H104" s="61"/>
      <c r="I104" s="61"/>
      <c r="J104" s="58"/>
      <c r="K104" s="58"/>
      <c r="L104" s="61"/>
      <c r="M104" s="61"/>
      <c r="N104" s="61"/>
      <c r="O104" s="61"/>
      <c r="P104" s="61"/>
      <c r="Q104" s="113"/>
      <c r="R104" s="58"/>
    </row>
    <row r="105" spans="1:18" ht="33">
      <c r="A105" s="52"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10" t="s">
        <v>228</v>
      </c>
      <c r="C105" s="112" t="s">
        <v>229</v>
      </c>
      <c r="D105" s="112" t="s">
        <v>90</v>
      </c>
      <c r="E105" s="112" t="s">
        <v>90</v>
      </c>
      <c r="F105" s="112" t="s">
        <v>230</v>
      </c>
      <c r="G105" s="58" t="s">
        <v>137</v>
      </c>
      <c r="H105" s="61"/>
      <c r="I105" s="61"/>
      <c r="J105" s="58"/>
      <c r="K105" s="58"/>
      <c r="L105" s="61"/>
      <c r="M105" s="61"/>
      <c r="N105" s="61"/>
      <c r="O105" s="61"/>
      <c r="P105" s="61"/>
      <c r="Q105" s="113"/>
      <c r="R105" s="58"/>
    </row>
    <row r="106" spans="1:18" ht="22">
      <c r="A106" s="52"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11"/>
      <c r="C106" s="110" t="s">
        <v>231</v>
      </c>
      <c r="D106" s="110" t="s">
        <v>90</v>
      </c>
      <c r="E106" s="110" t="s">
        <v>90</v>
      </c>
      <c r="F106" s="112" t="s">
        <v>232</v>
      </c>
      <c r="G106" s="58" t="s">
        <v>137</v>
      </c>
      <c r="H106" s="61"/>
      <c r="I106" s="61"/>
      <c r="J106" s="58"/>
      <c r="K106" s="58"/>
      <c r="L106" s="61"/>
      <c r="M106" s="61"/>
      <c r="N106" s="61"/>
      <c r="O106" s="61"/>
      <c r="P106" s="61"/>
      <c r="Q106" s="113"/>
      <c r="R106" s="58"/>
    </row>
    <row r="107" spans="1:18" ht="22">
      <c r="A107" s="52"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11"/>
      <c r="C107" s="115"/>
      <c r="D107" s="115"/>
      <c r="E107" s="115"/>
      <c r="F107" s="112" t="s">
        <v>233</v>
      </c>
      <c r="G107" s="58" t="s">
        <v>137</v>
      </c>
      <c r="H107" s="61"/>
      <c r="I107" s="61"/>
      <c r="J107" s="58"/>
      <c r="K107" s="58"/>
      <c r="L107" s="61"/>
      <c r="M107" s="61"/>
      <c r="N107" s="61"/>
      <c r="O107" s="61"/>
      <c r="P107" s="61"/>
      <c r="Q107" s="113"/>
      <c r="R107" s="58"/>
    </row>
    <row r="108" spans="1:18" ht="22">
      <c r="A108" s="52"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11"/>
      <c r="C108" s="112" t="s">
        <v>481</v>
      </c>
      <c r="D108" s="112" t="s">
        <v>90</v>
      </c>
      <c r="E108" s="112" t="s">
        <v>90</v>
      </c>
      <c r="F108" s="112" t="s">
        <v>235</v>
      </c>
      <c r="G108" s="58" t="s">
        <v>137</v>
      </c>
      <c r="H108" s="61"/>
      <c r="I108" s="61"/>
      <c r="J108" s="58"/>
      <c r="K108" s="58"/>
      <c r="L108" s="61"/>
      <c r="M108" s="61"/>
      <c r="N108" s="61"/>
      <c r="O108" s="61"/>
      <c r="P108" s="61"/>
      <c r="Q108" s="113"/>
      <c r="R108" s="58"/>
    </row>
    <row r="109" spans="1:18" ht="22">
      <c r="A109" s="52"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11"/>
      <c r="C109" s="111" t="s">
        <v>482</v>
      </c>
      <c r="D109" s="111" t="s">
        <v>90</v>
      </c>
      <c r="E109" s="116" t="s">
        <v>90</v>
      </c>
      <c r="F109" s="112" t="s">
        <v>237</v>
      </c>
      <c r="G109" s="58" t="s">
        <v>137</v>
      </c>
      <c r="H109" s="61"/>
      <c r="I109" s="61"/>
      <c r="J109" s="58"/>
      <c r="K109" s="58"/>
      <c r="L109" s="61"/>
      <c r="M109" s="61"/>
      <c r="N109" s="61"/>
      <c r="O109" s="61"/>
      <c r="P109" s="61"/>
      <c r="Q109" s="113"/>
      <c r="R109" s="58"/>
    </row>
    <row r="110" spans="1:18" ht="22">
      <c r="A110" s="52"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15"/>
      <c r="C110" s="115"/>
      <c r="D110" s="115"/>
      <c r="E110" s="117"/>
      <c r="F110" s="112" t="s">
        <v>238</v>
      </c>
      <c r="G110" s="58" t="s">
        <v>137</v>
      </c>
      <c r="H110" s="61"/>
      <c r="I110" s="61"/>
      <c r="J110" s="58"/>
      <c r="K110" s="58"/>
      <c r="L110" s="61"/>
      <c r="M110" s="61"/>
      <c r="N110" s="61"/>
      <c r="O110" s="61"/>
      <c r="P110" s="61"/>
      <c r="Q110" s="113"/>
      <c r="R110" s="58"/>
    </row>
    <row r="111" spans="1:18" ht="22">
      <c r="A111" s="52"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110" t="s">
        <v>239</v>
      </c>
      <c r="C111" s="110" t="s">
        <v>240</v>
      </c>
      <c r="D111" s="110" t="s">
        <v>471</v>
      </c>
      <c r="E111" s="127" t="s">
        <v>471</v>
      </c>
      <c r="F111" s="112" t="s">
        <v>241</v>
      </c>
      <c r="G111" s="58" t="s">
        <v>529</v>
      </c>
      <c r="H111" s="61"/>
      <c r="I111" s="61"/>
      <c r="J111" s="58"/>
      <c r="K111" s="58"/>
      <c r="L111" s="61"/>
      <c r="M111" s="61"/>
      <c r="N111" s="61"/>
      <c r="O111" s="61"/>
      <c r="P111" s="61"/>
      <c r="Q111" s="113"/>
      <c r="R111" s="58"/>
    </row>
    <row r="112" spans="1:18" ht="22">
      <c r="A112" s="52"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246" t="s">
        <v>483</v>
      </c>
      <c r="C112" s="116"/>
      <c r="D112" s="111"/>
      <c r="E112" s="124"/>
      <c r="F112" s="112" t="s">
        <v>243</v>
      </c>
      <c r="G112" s="58" t="s">
        <v>529</v>
      </c>
      <c r="H112" s="61"/>
      <c r="I112" s="61"/>
      <c r="J112" s="58"/>
      <c r="K112" s="58"/>
      <c r="L112" s="61"/>
      <c r="M112" s="61"/>
      <c r="N112" s="61"/>
      <c r="O112" s="61"/>
      <c r="P112" s="61"/>
      <c r="Q112" s="113"/>
      <c r="R112" s="58"/>
    </row>
    <row r="113" spans="1:18" ht="33">
      <c r="A113" s="52"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246"/>
      <c r="C113" s="116"/>
      <c r="D113" s="111"/>
      <c r="E113" s="124"/>
      <c r="F113" s="112" t="s">
        <v>244</v>
      </c>
      <c r="G113" s="58" t="s">
        <v>529</v>
      </c>
      <c r="H113" s="61"/>
      <c r="I113" s="61"/>
      <c r="J113" s="58"/>
      <c r="K113" s="58"/>
      <c r="L113" s="61"/>
      <c r="M113" s="61"/>
      <c r="N113" s="61"/>
      <c r="O113" s="61"/>
      <c r="P113" s="61"/>
      <c r="Q113" s="113"/>
      <c r="R113" s="58"/>
    </row>
    <row r="114" spans="1:18" ht="22">
      <c r="A114" s="52"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11"/>
      <c r="C114" s="116"/>
      <c r="D114" s="111"/>
      <c r="E114" s="115"/>
      <c r="F114" s="112" t="s">
        <v>245</v>
      </c>
      <c r="G114" s="58" t="s">
        <v>529</v>
      </c>
      <c r="H114" s="61"/>
      <c r="I114" s="61"/>
      <c r="J114" s="58"/>
      <c r="K114" s="58"/>
      <c r="L114" s="61"/>
      <c r="M114" s="61"/>
      <c r="N114" s="61"/>
      <c r="O114" s="61"/>
      <c r="P114" s="61"/>
      <c r="Q114" s="113"/>
      <c r="R114" s="58"/>
    </row>
    <row r="115" spans="1:18" ht="22">
      <c r="A115" s="52"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111"/>
      <c r="C115" s="116"/>
      <c r="D115" s="111"/>
      <c r="E115" s="116" t="s">
        <v>179</v>
      </c>
      <c r="F115" s="112" t="s">
        <v>246</v>
      </c>
      <c r="G115" s="58" t="s">
        <v>529</v>
      </c>
      <c r="H115" s="61"/>
      <c r="I115" s="61"/>
      <c r="J115" s="58"/>
      <c r="K115" s="58"/>
      <c r="L115" s="61"/>
      <c r="M115" s="61"/>
      <c r="N115" s="61"/>
      <c r="O115" s="61"/>
      <c r="P115" s="61"/>
      <c r="Q115" s="113"/>
      <c r="R115" s="58"/>
    </row>
    <row r="116" spans="1:18" ht="22">
      <c r="A116" s="52"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11"/>
      <c r="C116" s="116"/>
      <c r="D116" s="111"/>
      <c r="E116" s="116"/>
      <c r="F116" s="112" t="s">
        <v>247</v>
      </c>
      <c r="G116" s="58" t="s">
        <v>529</v>
      </c>
      <c r="H116" s="61"/>
      <c r="I116" s="61"/>
      <c r="J116" s="58"/>
      <c r="K116" s="58"/>
      <c r="L116" s="61"/>
      <c r="M116" s="61"/>
      <c r="N116" s="61"/>
      <c r="O116" s="61"/>
      <c r="P116" s="61"/>
      <c r="Q116" s="113"/>
      <c r="R116" s="58"/>
    </row>
    <row r="117" spans="1:18" ht="22">
      <c r="A117" s="52"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11"/>
      <c r="C117" s="116"/>
      <c r="D117" s="111"/>
      <c r="E117" s="116"/>
      <c r="F117" s="112" t="s">
        <v>248</v>
      </c>
      <c r="G117" s="58" t="s">
        <v>529</v>
      </c>
      <c r="H117" s="61"/>
      <c r="I117" s="61"/>
      <c r="J117" s="58"/>
      <c r="K117" s="58"/>
      <c r="L117" s="61"/>
      <c r="M117" s="61"/>
      <c r="N117" s="61"/>
      <c r="O117" s="61"/>
      <c r="P117" s="61"/>
      <c r="Q117" s="113"/>
      <c r="R117" s="58"/>
    </row>
    <row r="118" spans="1:18" ht="22">
      <c r="A118" s="52"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11"/>
      <c r="C118" s="116"/>
      <c r="D118" s="111"/>
      <c r="E118" s="116"/>
      <c r="F118" s="112" t="s">
        <v>249</v>
      </c>
      <c r="G118" s="58" t="s">
        <v>529</v>
      </c>
      <c r="H118" s="61"/>
      <c r="I118" s="61"/>
      <c r="J118" s="58"/>
      <c r="K118" s="58"/>
      <c r="L118" s="61"/>
      <c r="M118" s="61"/>
      <c r="N118" s="61"/>
      <c r="O118" s="61"/>
      <c r="P118" s="61"/>
      <c r="Q118" s="113"/>
      <c r="R118" s="58"/>
    </row>
    <row r="119" spans="1:18" ht="33">
      <c r="A119" s="52"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11"/>
      <c r="C119" s="116"/>
      <c r="D119" s="111"/>
      <c r="E119" s="115"/>
      <c r="F119" s="112" t="s">
        <v>250</v>
      </c>
      <c r="G119" s="58" t="s">
        <v>529</v>
      </c>
      <c r="H119" s="61"/>
      <c r="I119" s="61"/>
      <c r="J119" s="58"/>
      <c r="K119" s="58"/>
      <c r="L119" s="61"/>
      <c r="M119" s="61"/>
      <c r="N119" s="61"/>
      <c r="O119" s="61"/>
      <c r="P119" s="61"/>
      <c r="Q119" s="113"/>
      <c r="R119" s="58"/>
    </row>
    <row r="120" spans="1:18" ht="33">
      <c r="A120" s="52"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111"/>
      <c r="C120" s="116"/>
      <c r="D120" s="111"/>
      <c r="E120" s="116" t="s">
        <v>251</v>
      </c>
      <c r="F120" s="112" t="s">
        <v>252</v>
      </c>
      <c r="G120" s="58" t="s">
        <v>529</v>
      </c>
      <c r="H120" s="61"/>
      <c r="I120" s="61"/>
      <c r="J120" s="58"/>
      <c r="K120" s="58"/>
      <c r="L120" s="61"/>
      <c r="M120" s="61"/>
      <c r="N120" s="61"/>
      <c r="O120" s="61"/>
      <c r="P120" s="61"/>
      <c r="Q120" s="113"/>
      <c r="R120" s="58"/>
    </row>
    <row r="121" spans="1:18" ht="33">
      <c r="A121" s="52"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111"/>
      <c r="C121" s="116"/>
      <c r="D121" s="111"/>
      <c r="E121" s="116"/>
      <c r="F121" s="112" t="s">
        <v>253</v>
      </c>
      <c r="G121" s="58" t="s">
        <v>529</v>
      </c>
      <c r="H121" s="61"/>
      <c r="I121" s="61"/>
      <c r="J121" s="58"/>
      <c r="K121" s="58"/>
      <c r="L121" s="61"/>
      <c r="M121" s="61"/>
      <c r="N121" s="61"/>
      <c r="O121" s="61"/>
      <c r="P121" s="61"/>
      <c r="Q121" s="113"/>
      <c r="R121" s="58"/>
    </row>
    <row r="122" spans="1:18" ht="44">
      <c r="A122" s="52"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111"/>
      <c r="C122" s="116"/>
      <c r="D122" s="111"/>
      <c r="E122" s="116"/>
      <c r="F122" s="112" t="s">
        <v>254</v>
      </c>
      <c r="G122" s="58" t="s">
        <v>529</v>
      </c>
      <c r="H122" s="61"/>
      <c r="I122" s="61"/>
      <c r="J122" s="58"/>
      <c r="K122" s="58"/>
      <c r="L122" s="61"/>
      <c r="M122" s="61"/>
      <c r="N122" s="61"/>
      <c r="O122" s="61"/>
      <c r="P122" s="61"/>
      <c r="Q122" s="113"/>
      <c r="R122" s="58"/>
    </row>
    <row r="123" spans="1:18" ht="44">
      <c r="A123" s="52"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111"/>
      <c r="C123" s="116"/>
      <c r="D123" s="111"/>
      <c r="E123" s="116"/>
      <c r="F123" s="112" t="s">
        <v>255</v>
      </c>
      <c r="G123" s="58" t="s">
        <v>529</v>
      </c>
      <c r="H123" s="61"/>
      <c r="I123" s="61"/>
      <c r="J123" s="58"/>
      <c r="K123" s="58"/>
      <c r="L123" s="61"/>
      <c r="M123" s="61"/>
      <c r="N123" s="61"/>
      <c r="O123" s="61"/>
      <c r="P123" s="61"/>
      <c r="Q123" s="113"/>
      <c r="R123" s="58"/>
    </row>
    <row r="124" spans="1:18" ht="44">
      <c r="A124" s="52"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111"/>
      <c r="C124" s="116"/>
      <c r="D124" s="111"/>
      <c r="E124" s="115"/>
      <c r="F124" s="112" t="s">
        <v>256</v>
      </c>
      <c r="G124" s="58" t="s">
        <v>529</v>
      </c>
      <c r="H124" s="61"/>
      <c r="I124" s="61"/>
      <c r="J124" s="58"/>
      <c r="K124" s="58"/>
      <c r="L124" s="61"/>
      <c r="M124" s="61"/>
      <c r="N124" s="61"/>
      <c r="O124" s="61"/>
      <c r="P124" s="61"/>
      <c r="Q124" s="113"/>
      <c r="R124" s="58"/>
    </row>
    <row r="125" spans="1:18" ht="33">
      <c r="A125" s="52"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11"/>
      <c r="C125" s="116"/>
      <c r="D125" s="115"/>
      <c r="E125" s="115" t="s">
        <v>484</v>
      </c>
      <c r="F125" s="112" t="s">
        <v>258</v>
      </c>
      <c r="G125" s="58" t="s">
        <v>529</v>
      </c>
      <c r="H125" s="61"/>
      <c r="I125" s="61"/>
      <c r="J125" s="58"/>
      <c r="K125" s="58"/>
      <c r="L125" s="61"/>
      <c r="M125" s="61"/>
      <c r="N125" s="61"/>
      <c r="O125" s="61"/>
      <c r="P125" s="61"/>
      <c r="Q125" s="113"/>
      <c r="R125" s="58"/>
    </row>
    <row r="126" spans="1:18" ht="33">
      <c r="A126" s="52"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11"/>
      <c r="C126" s="117"/>
      <c r="D126" s="115" t="s">
        <v>480</v>
      </c>
      <c r="E126" s="115" t="s">
        <v>471</v>
      </c>
      <c r="F126" s="112" t="s">
        <v>259</v>
      </c>
      <c r="G126" s="58" t="s">
        <v>529</v>
      </c>
      <c r="H126" s="61"/>
      <c r="I126" s="61"/>
      <c r="J126" s="58"/>
      <c r="K126" s="58"/>
      <c r="L126" s="61"/>
      <c r="M126" s="61"/>
      <c r="N126" s="61"/>
      <c r="O126" s="61"/>
      <c r="P126" s="61"/>
      <c r="Q126" s="113"/>
      <c r="R126" s="58"/>
    </row>
    <row r="127" spans="1:18" ht="44">
      <c r="A127" s="52"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111"/>
      <c r="C127" s="111" t="s">
        <v>466</v>
      </c>
      <c r="D127" s="111" t="s">
        <v>260</v>
      </c>
      <c r="E127" s="110" t="s">
        <v>261</v>
      </c>
      <c r="F127" s="110" t="s">
        <v>262</v>
      </c>
      <c r="G127" s="58" t="s">
        <v>529</v>
      </c>
      <c r="H127" s="61"/>
      <c r="I127" s="61"/>
      <c r="J127" s="58"/>
      <c r="K127" s="58"/>
      <c r="L127" s="61"/>
      <c r="M127" s="61"/>
      <c r="N127" s="61"/>
      <c r="O127" s="61"/>
      <c r="P127" s="61"/>
      <c r="Q127" s="113"/>
      <c r="R127" s="58"/>
    </row>
    <row r="128" spans="1:18" ht="22">
      <c r="A128" s="52"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111"/>
      <c r="C128" s="111"/>
      <c r="D128" s="111"/>
      <c r="E128" s="116" t="s">
        <v>485</v>
      </c>
      <c r="F128" s="112" t="s">
        <v>264</v>
      </c>
      <c r="G128" s="58" t="s">
        <v>529</v>
      </c>
      <c r="H128" s="61"/>
      <c r="I128" s="61"/>
      <c r="J128" s="58"/>
      <c r="K128" s="58"/>
      <c r="L128" s="61"/>
      <c r="M128" s="61"/>
      <c r="N128" s="61"/>
      <c r="O128" s="61"/>
      <c r="P128" s="61"/>
      <c r="Q128" s="113"/>
      <c r="R128" s="58"/>
    </row>
    <row r="129" spans="1:18" ht="22">
      <c r="A129" s="52"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111"/>
      <c r="C129" s="111"/>
      <c r="D129" s="111"/>
      <c r="E129" s="116"/>
      <c r="F129" s="112" t="s">
        <v>265</v>
      </c>
      <c r="G129" s="58" t="s">
        <v>529</v>
      </c>
      <c r="H129" s="61"/>
      <c r="I129" s="61"/>
      <c r="J129" s="58"/>
      <c r="K129" s="58"/>
      <c r="L129" s="61"/>
      <c r="M129" s="61"/>
      <c r="N129" s="61"/>
      <c r="O129" s="61"/>
      <c r="P129" s="61"/>
      <c r="Q129" s="113"/>
      <c r="R129" s="58"/>
    </row>
    <row r="130" spans="1:18" ht="44">
      <c r="A130" s="52"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115"/>
      <c r="C130" s="115"/>
      <c r="D130" s="115"/>
      <c r="E130" s="117"/>
      <c r="F130" s="112" t="s">
        <v>266</v>
      </c>
      <c r="G130" s="58" t="s">
        <v>529</v>
      </c>
      <c r="H130" s="61"/>
      <c r="I130" s="61"/>
      <c r="J130" s="58"/>
      <c r="K130" s="58"/>
      <c r="L130" s="61"/>
      <c r="M130" s="61"/>
      <c r="N130" s="61"/>
      <c r="O130" s="61"/>
      <c r="P130" s="61"/>
      <c r="Q130" s="113"/>
      <c r="R130" s="58"/>
    </row>
    <row r="131" spans="1:18" ht="22">
      <c r="A131" s="52"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10" t="s">
        <v>267</v>
      </c>
      <c r="C131" s="110" t="s">
        <v>240</v>
      </c>
      <c r="D131" s="110" t="s">
        <v>471</v>
      </c>
      <c r="E131" s="127" t="s">
        <v>471</v>
      </c>
      <c r="F131" s="112" t="s">
        <v>268</v>
      </c>
      <c r="G131" s="56" t="s">
        <v>269</v>
      </c>
      <c r="H131" s="61"/>
      <c r="I131" s="61"/>
      <c r="J131" s="58"/>
      <c r="K131" s="58"/>
      <c r="L131" s="61"/>
      <c r="M131" s="61"/>
      <c r="N131" s="61"/>
      <c r="O131" s="61"/>
      <c r="P131" s="61"/>
      <c r="Q131" s="113"/>
      <c r="R131" s="58"/>
    </row>
    <row r="132" spans="1:18" ht="22">
      <c r="A132" s="52"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246" t="s">
        <v>270</v>
      </c>
      <c r="C132" s="116"/>
      <c r="D132" s="111"/>
      <c r="E132" s="116"/>
      <c r="F132" s="112" t="s">
        <v>271</v>
      </c>
      <c r="G132" s="56" t="s">
        <v>269</v>
      </c>
      <c r="H132" s="61"/>
      <c r="I132" s="61"/>
      <c r="J132" s="58"/>
      <c r="K132" s="58"/>
      <c r="L132" s="61"/>
      <c r="M132" s="61"/>
      <c r="N132" s="61"/>
      <c r="O132" s="61"/>
      <c r="P132" s="61"/>
      <c r="Q132" s="113"/>
      <c r="R132" s="58"/>
    </row>
    <row r="133" spans="1:18" ht="22">
      <c r="A133" s="52"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246"/>
      <c r="C133" s="116"/>
      <c r="D133" s="111"/>
      <c r="E133" s="116"/>
      <c r="F133" s="112" t="s">
        <v>272</v>
      </c>
      <c r="G133" s="56" t="s">
        <v>269</v>
      </c>
      <c r="H133" s="61"/>
      <c r="I133" s="61"/>
      <c r="J133" s="58"/>
      <c r="K133" s="58"/>
      <c r="L133" s="61"/>
      <c r="M133" s="61"/>
      <c r="N133" s="61"/>
      <c r="O133" s="61"/>
      <c r="P133" s="61"/>
      <c r="Q133" s="113"/>
      <c r="R133" s="58"/>
    </row>
    <row r="134" spans="1:18" ht="22">
      <c r="A134" s="52"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111"/>
      <c r="C134" s="116"/>
      <c r="D134" s="111"/>
      <c r="E134" s="115"/>
      <c r="F134" s="112" t="s">
        <v>273</v>
      </c>
      <c r="G134" s="56" t="s">
        <v>269</v>
      </c>
      <c r="H134" s="61"/>
      <c r="I134" s="61"/>
      <c r="J134" s="58"/>
      <c r="K134" s="58"/>
      <c r="L134" s="61"/>
      <c r="M134" s="61"/>
      <c r="N134" s="61"/>
      <c r="O134" s="61"/>
      <c r="P134" s="61"/>
      <c r="Q134" s="113"/>
      <c r="R134" s="58"/>
    </row>
    <row r="135" spans="1:18" ht="22">
      <c r="A135" s="52"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111"/>
      <c r="C135" s="116"/>
      <c r="D135" s="111"/>
      <c r="E135" s="116" t="s">
        <v>274</v>
      </c>
      <c r="F135" s="112" t="s">
        <v>275</v>
      </c>
      <c r="G135" s="56" t="s">
        <v>269</v>
      </c>
      <c r="H135" s="61"/>
      <c r="I135" s="61"/>
      <c r="J135" s="58"/>
      <c r="K135" s="58"/>
      <c r="L135" s="61"/>
      <c r="M135" s="61"/>
      <c r="N135" s="61"/>
      <c r="O135" s="61"/>
      <c r="P135" s="61"/>
      <c r="Q135" s="113"/>
      <c r="R135" s="58"/>
    </row>
    <row r="136" spans="1:18" ht="33">
      <c r="A136" s="52"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111"/>
      <c r="C136" s="116"/>
      <c r="D136" s="115"/>
      <c r="E136" s="115"/>
      <c r="F136" s="112" t="s">
        <v>276</v>
      </c>
      <c r="G136" s="56" t="s">
        <v>269</v>
      </c>
      <c r="H136" s="61"/>
      <c r="I136" s="61"/>
      <c r="J136" s="58"/>
      <c r="K136" s="58"/>
      <c r="L136" s="61"/>
      <c r="M136" s="61"/>
      <c r="N136" s="61"/>
      <c r="O136" s="61"/>
      <c r="P136" s="61"/>
      <c r="Q136" s="113"/>
      <c r="R136" s="58"/>
    </row>
    <row r="137" spans="1:18" ht="33">
      <c r="A137" s="52"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111"/>
      <c r="C137" s="117"/>
      <c r="D137" s="115" t="s">
        <v>480</v>
      </c>
      <c r="E137" s="115" t="s">
        <v>471</v>
      </c>
      <c r="F137" s="112" t="s">
        <v>277</v>
      </c>
      <c r="G137" s="56" t="s">
        <v>269</v>
      </c>
      <c r="H137" s="61"/>
      <c r="I137" s="61"/>
      <c r="J137" s="58"/>
      <c r="K137" s="58"/>
      <c r="L137" s="61"/>
      <c r="M137" s="61"/>
      <c r="N137" s="61"/>
      <c r="O137" s="61"/>
      <c r="P137" s="61"/>
      <c r="Q137" s="113"/>
      <c r="R137" s="58"/>
    </row>
    <row r="138" spans="1:18" ht="33">
      <c r="A138" s="52"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111"/>
      <c r="C138" s="116" t="s">
        <v>278</v>
      </c>
      <c r="D138" s="111" t="s">
        <v>260</v>
      </c>
      <c r="E138" s="112" t="s">
        <v>279</v>
      </c>
      <c r="F138" s="112" t="s">
        <v>280</v>
      </c>
      <c r="G138" s="56" t="s">
        <v>269</v>
      </c>
      <c r="H138" s="61"/>
      <c r="I138" s="61"/>
      <c r="J138" s="58"/>
      <c r="K138" s="58"/>
      <c r="L138" s="61"/>
      <c r="M138" s="61"/>
      <c r="N138" s="61"/>
      <c r="O138" s="61"/>
      <c r="P138" s="61"/>
      <c r="Q138" s="113"/>
      <c r="R138" s="58"/>
    </row>
    <row r="139" spans="1:18" ht="33">
      <c r="A139" s="52"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111"/>
      <c r="C139" s="116"/>
      <c r="D139" s="111"/>
      <c r="E139" s="112" t="s">
        <v>281</v>
      </c>
      <c r="F139" s="112" t="s">
        <v>282</v>
      </c>
      <c r="G139" s="56" t="s">
        <v>269</v>
      </c>
      <c r="H139" s="61"/>
      <c r="I139" s="61"/>
      <c r="J139" s="58"/>
      <c r="K139" s="58"/>
      <c r="L139" s="61"/>
      <c r="M139" s="61"/>
      <c r="N139" s="61"/>
      <c r="O139" s="61"/>
      <c r="P139" s="61"/>
      <c r="Q139" s="113"/>
      <c r="R139" s="58"/>
    </row>
    <row r="140" spans="1:18" ht="33">
      <c r="A140" s="52"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111"/>
      <c r="C140" s="116"/>
      <c r="D140" s="111"/>
      <c r="E140" s="112" t="s">
        <v>283</v>
      </c>
      <c r="F140" s="112" t="s">
        <v>284</v>
      </c>
      <c r="G140" s="56" t="s">
        <v>269</v>
      </c>
      <c r="H140" s="61"/>
      <c r="I140" s="61"/>
      <c r="J140" s="58"/>
      <c r="K140" s="58"/>
      <c r="L140" s="61"/>
      <c r="M140" s="61"/>
      <c r="N140" s="61"/>
      <c r="O140" s="61"/>
      <c r="P140" s="61"/>
      <c r="Q140" s="113"/>
      <c r="R140" s="58"/>
    </row>
    <row r="141" spans="1:18" ht="33">
      <c r="A141" s="52"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111"/>
      <c r="C141" s="116"/>
      <c r="D141" s="111"/>
      <c r="E141" s="112" t="s">
        <v>261</v>
      </c>
      <c r="F141" s="112" t="s">
        <v>285</v>
      </c>
      <c r="G141" s="56" t="s">
        <v>269</v>
      </c>
      <c r="H141" s="61"/>
      <c r="I141" s="61"/>
      <c r="J141" s="58"/>
      <c r="K141" s="58"/>
      <c r="L141" s="61"/>
      <c r="M141" s="61"/>
      <c r="N141" s="61"/>
      <c r="O141" s="61"/>
      <c r="P141" s="61"/>
      <c r="Q141" s="113"/>
      <c r="R141" s="58"/>
    </row>
    <row r="142" spans="1:18" ht="33">
      <c r="A142" s="52"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111"/>
      <c r="C142" s="116"/>
      <c r="D142" s="111"/>
      <c r="E142" s="112" t="s">
        <v>486</v>
      </c>
      <c r="F142" s="112" t="s">
        <v>287</v>
      </c>
      <c r="G142" s="56" t="s">
        <v>269</v>
      </c>
      <c r="H142" s="61"/>
      <c r="I142" s="61"/>
      <c r="J142" s="58"/>
      <c r="K142" s="58"/>
      <c r="L142" s="61"/>
      <c r="M142" s="61"/>
      <c r="N142" s="61"/>
      <c r="O142" s="61"/>
      <c r="P142" s="61"/>
      <c r="Q142" s="113"/>
      <c r="R142" s="58"/>
    </row>
    <row r="143" spans="1:18" ht="22">
      <c r="A143" s="52"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111"/>
      <c r="C143" s="116"/>
      <c r="D143" s="111"/>
      <c r="E143" s="124" t="s">
        <v>487</v>
      </c>
      <c r="F143" s="112" t="s">
        <v>289</v>
      </c>
      <c r="G143" s="56" t="s">
        <v>269</v>
      </c>
      <c r="H143" s="61"/>
      <c r="I143" s="61"/>
      <c r="J143" s="58"/>
      <c r="K143" s="58"/>
      <c r="L143" s="61"/>
      <c r="M143" s="61"/>
      <c r="N143" s="61"/>
      <c r="O143" s="61"/>
      <c r="P143" s="61"/>
      <c r="Q143" s="113"/>
      <c r="R143" s="58"/>
    </row>
    <row r="144" spans="1:18" ht="22">
      <c r="A144" s="52"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111"/>
      <c r="C144" s="116"/>
      <c r="D144" s="111"/>
      <c r="E144" s="124"/>
      <c r="F144" s="112" t="s">
        <v>290</v>
      </c>
      <c r="G144" s="56" t="s">
        <v>269</v>
      </c>
      <c r="H144" s="61"/>
      <c r="I144" s="61"/>
      <c r="J144" s="58"/>
      <c r="K144" s="58"/>
      <c r="L144" s="61"/>
      <c r="M144" s="61"/>
      <c r="N144" s="61"/>
      <c r="O144" s="61"/>
      <c r="P144" s="61"/>
      <c r="Q144" s="113"/>
      <c r="R144" s="58"/>
    </row>
    <row r="145" spans="1:18" ht="22">
      <c r="A145" s="52"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111"/>
      <c r="C145" s="116"/>
      <c r="D145" s="111"/>
      <c r="E145" s="124"/>
      <c r="F145" s="112" t="s">
        <v>291</v>
      </c>
      <c r="G145" s="56" t="s">
        <v>269</v>
      </c>
      <c r="H145" s="61"/>
      <c r="I145" s="61"/>
      <c r="J145" s="58"/>
      <c r="K145" s="58"/>
      <c r="L145" s="61"/>
      <c r="M145" s="61"/>
      <c r="N145" s="61"/>
      <c r="O145" s="61"/>
      <c r="P145" s="61"/>
      <c r="Q145" s="113"/>
      <c r="R145" s="58"/>
    </row>
    <row r="146" spans="1:18" ht="22">
      <c r="A146" s="52"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111"/>
      <c r="C146" s="116"/>
      <c r="D146" s="111"/>
      <c r="E146" s="124"/>
      <c r="F146" s="112" t="s">
        <v>292</v>
      </c>
      <c r="G146" s="56" t="s">
        <v>269</v>
      </c>
      <c r="H146" s="61"/>
      <c r="I146" s="61"/>
      <c r="J146" s="58"/>
      <c r="K146" s="58"/>
      <c r="L146" s="61"/>
      <c r="M146" s="61"/>
      <c r="N146" s="61"/>
      <c r="O146" s="61"/>
      <c r="P146" s="61"/>
      <c r="Q146" s="113"/>
      <c r="R146" s="58"/>
    </row>
    <row r="147" spans="1:18" ht="22">
      <c r="A147" s="52"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111"/>
      <c r="C147" s="116"/>
      <c r="D147" s="111"/>
      <c r="E147" s="124"/>
      <c r="F147" s="112" t="s">
        <v>293</v>
      </c>
      <c r="G147" s="56" t="s">
        <v>269</v>
      </c>
      <c r="H147" s="61"/>
      <c r="I147" s="61"/>
      <c r="J147" s="58"/>
      <c r="K147" s="58"/>
      <c r="L147" s="61"/>
      <c r="M147" s="61"/>
      <c r="N147" s="61"/>
      <c r="O147" s="61"/>
      <c r="P147" s="61"/>
      <c r="Q147" s="113"/>
      <c r="R147" s="58"/>
    </row>
    <row r="148" spans="1:18" ht="22">
      <c r="A148" s="52"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111"/>
      <c r="C148" s="116"/>
      <c r="D148" s="115"/>
      <c r="E148" s="115"/>
      <c r="F148" s="112" t="s">
        <v>294</v>
      </c>
      <c r="G148" s="56" t="s">
        <v>269</v>
      </c>
      <c r="H148" s="61"/>
      <c r="I148" s="61"/>
      <c r="J148" s="58"/>
      <c r="K148" s="58"/>
      <c r="L148" s="61"/>
      <c r="M148" s="61"/>
      <c r="N148" s="61"/>
      <c r="O148" s="61"/>
      <c r="P148" s="61"/>
      <c r="Q148" s="113"/>
      <c r="R148" s="58"/>
    </row>
    <row r="149" spans="1:18" ht="22">
      <c r="A149" s="52"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111"/>
      <c r="C149" s="116"/>
      <c r="D149" s="111" t="s">
        <v>295</v>
      </c>
      <c r="E149" s="110" t="s">
        <v>471</v>
      </c>
      <c r="F149" s="112" t="s">
        <v>296</v>
      </c>
      <c r="G149" s="56" t="s">
        <v>269</v>
      </c>
      <c r="H149" s="61"/>
      <c r="I149" s="61"/>
      <c r="J149" s="58"/>
      <c r="K149" s="58"/>
      <c r="L149" s="61"/>
      <c r="M149" s="61"/>
      <c r="N149" s="61"/>
      <c r="O149" s="61"/>
      <c r="P149" s="61"/>
      <c r="Q149" s="113"/>
      <c r="R149" s="58"/>
    </row>
    <row r="150" spans="1:18" ht="22">
      <c r="A150" s="52"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111"/>
      <c r="C150" s="116"/>
      <c r="D150" s="111"/>
      <c r="E150" s="115"/>
      <c r="F150" s="112" t="s">
        <v>297</v>
      </c>
      <c r="G150" s="56" t="s">
        <v>269</v>
      </c>
      <c r="H150" s="61"/>
      <c r="I150" s="61"/>
      <c r="J150" s="58"/>
      <c r="K150" s="58"/>
      <c r="L150" s="61"/>
      <c r="M150" s="61"/>
      <c r="N150" s="61"/>
      <c r="O150" s="61"/>
      <c r="P150" s="61"/>
      <c r="Q150" s="113"/>
      <c r="R150" s="58"/>
    </row>
    <row r="151" spans="1:18" ht="33">
      <c r="A151" s="52"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111"/>
      <c r="C151" s="116"/>
      <c r="D151" s="111"/>
      <c r="E151" s="116" t="s">
        <v>165</v>
      </c>
      <c r="F151" s="112" t="s">
        <v>298</v>
      </c>
      <c r="G151" s="56" t="s">
        <v>269</v>
      </c>
      <c r="H151" s="61"/>
      <c r="I151" s="61"/>
      <c r="J151" s="58"/>
      <c r="K151" s="58"/>
      <c r="L151" s="61"/>
      <c r="M151" s="61"/>
      <c r="N151" s="61"/>
      <c r="O151" s="61"/>
      <c r="P151" s="61"/>
      <c r="Q151" s="113"/>
      <c r="R151" s="58"/>
    </row>
    <row r="152" spans="1:18" ht="33">
      <c r="A152" s="52"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111"/>
      <c r="C152" s="116"/>
      <c r="D152" s="111"/>
      <c r="E152" s="124"/>
      <c r="F152" s="112" t="s">
        <v>299</v>
      </c>
      <c r="G152" s="56" t="s">
        <v>269</v>
      </c>
      <c r="H152" s="61"/>
      <c r="I152" s="61"/>
      <c r="J152" s="58"/>
      <c r="K152" s="58"/>
      <c r="L152" s="61"/>
      <c r="M152" s="61"/>
      <c r="N152" s="61"/>
      <c r="O152" s="61"/>
      <c r="P152" s="61"/>
      <c r="Q152" s="113"/>
      <c r="R152" s="58"/>
    </row>
    <row r="153" spans="1:18" ht="33">
      <c r="A153" s="52"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111"/>
      <c r="C153" s="116"/>
      <c r="D153" s="111"/>
      <c r="E153" s="124"/>
      <c r="F153" s="112" t="s">
        <v>488</v>
      </c>
      <c r="G153" s="56" t="s">
        <v>269</v>
      </c>
      <c r="H153" s="61"/>
      <c r="I153" s="61"/>
      <c r="J153" s="58"/>
      <c r="K153" s="58"/>
      <c r="L153" s="61"/>
      <c r="M153" s="61"/>
      <c r="N153" s="61"/>
      <c r="O153" s="61"/>
      <c r="P153" s="61"/>
      <c r="Q153" s="113"/>
      <c r="R153" s="58"/>
    </row>
    <row r="154" spans="1:18" ht="33">
      <c r="A154" s="52"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111"/>
      <c r="C154" s="116"/>
      <c r="D154" s="111"/>
      <c r="E154" s="124"/>
      <c r="F154" s="112" t="s">
        <v>489</v>
      </c>
      <c r="G154" s="56" t="s">
        <v>269</v>
      </c>
      <c r="H154" s="61"/>
      <c r="I154" s="61"/>
      <c r="J154" s="58"/>
      <c r="K154" s="58"/>
      <c r="L154" s="61"/>
      <c r="M154" s="61"/>
      <c r="N154" s="61"/>
      <c r="O154" s="61"/>
      <c r="P154" s="61"/>
      <c r="Q154" s="113"/>
      <c r="R154" s="58"/>
    </row>
    <row r="155" spans="1:18" ht="33">
      <c r="A155" s="52"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111"/>
      <c r="C155" s="116"/>
      <c r="D155" s="111"/>
      <c r="E155" s="124"/>
      <c r="F155" s="112" t="s">
        <v>302</v>
      </c>
      <c r="G155" s="56" t="s">
        <v>269</v>
      </c>
      <c r="H155" s="61"/>
      <c r="I155" s="61"/>
      <c r="J155" s="58"/>
      <c r="K155" s="58"/>
      <c r="L155" s="61"/>
      <c r="M155" s="61"/>
      <c r="N155" s="61"/>
      <c r="O155" s="61"/>
      <c r="P155" s="61"/>
      <c r="Q155" s="113"/>
      <c r="R155" s="58"/>
    </row>
    <row r="156" spans="1:18" ht="22">
      <c r="A156" s="52"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111"/>
      <c r="C156" s="116"/>
      <c r="D156" s="111"/>
      <c r="E156" s="124"/>
      <c r="F156" s="112" t="s">
        <v>303</v>
      </c>
      <c r="G156" s="56" t="s">
        <v>269</v>
      </c>
      <c r="H156" s="61"/>
      <c r="I156" s="61"/>
      <c r="J156" s="58"/>
      <c r="K156" s="58"/>
      <c r="L156" s="61"/>
      <c r="M156" s="61"/>
      <c r="N156" s="61"/>
      <c r="O156" s="61"/>
      <c r="P156" s="61"/>
      <c r="Q156" s="113"/>
      <c r="R156" s="58"/>
    </row>
    <row r="157" spans="1:18" ht="22">
      <c r="A157" s="52"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111"/>
      <c r="C157" s="116"/>
      <c r="D157" s="111"/>
      <c r="E157" s="124"/>
      <c r="F157" s="112" t="s">
        <v>304</v>
      </c>
      <c r="G157" s="56" t="s">
        <v>269</v>
      </c>
      <c r="H157" s="61"/>
      <c r="I157" s="61"/>
      <c r="J157" s="58"/>
      <c r="K157" s="58"/>
      <c r="L157" s="61"/>
      <c r="M157" s="61"/>
      <c r="N157" s="61"/>
      <c r="O157" s="61"/>
      <c r="P157" s="61"/>
      <c r="Q157" s="113"/>
      <c r="R157" s="58"/>
    </row>
    <row r="158" spans="1:18" ht="33">
      <c r="A158" s="52"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111"/>
      <c r="C158" s="116"/>
      <c r="D158" s="111"/>
      <c r="E158" s="124"/>
      <c r="F158" s="112" t="s">
        <v>305</v>
      </c>
      <c r="G158" s="56" t="s">
        <v>269</v>
      </c>
      <c r="H158" s="61"/>
      <c r="I158" s="61"/>
      <c r="J158" s="58"/>
      <c r="K158" s="58"/>
      <c r="L158" s="61"/>
      <c r="M158" s="61"/>
      <c r="N158" s="61"/>
      <c r="O158" s="61"/>
      <c r="P158" s="61"/>
      <c r="Q158" s="113"/>
      <c r="R158" s="58"/>
    </row>
    <row r="159" spans="1:18" ht="33">
      <c r="A159" s="52"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111"/>
      <c r="C159" s="116"/>
      <c r="D159" s="111"/>
      <c r="E159" s="124"/>
      <c r="F159" s="112" t="s">
        <v>306</v>
      </c>
      <c r="G159" s="56" t="s">
        <v>269</v>
      </c>
      <c r="H159" s="61"/>
      <c r="I159" s="61"/>
      <c r="J159" s="58"/>
      <c r="K159" s="58"/>
      <c r="L159" s="61"/>
      <c r="M159" s="61"/>
      <c r="N159" s="61"/>
      <c r="O159" s="61"/>
      <c r="P159" s="61"/>
      <c r="Q159" s="113"/>
      <c r="R159" s="58"/>
    </row>
    <row r="160" spans="1:18" ht="33">
      <c r="A160" s="52"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111"/>
      <c r="C160" s="116"/>
      <c r="D160" s="111"/>
      <c r="E160" s="124"/>
      <c r="F160" s="112" t="s">
        <v>307</v>
      </c>
      <c r="G160" s="56" t="s">
        <v>269</v>
      </c>
      <c r="H160" s="61"/>
      <c r="I160" s="61"/>
      <c r="J160" s="58"/>
      <c r="K160" s="58"/>
      <c r="L160" s="61"/>
      <c r="M160" s="61"/>
      <c r="N160" s="61"/>
      <c r="O160" s="61"/>
      <c r="P160" s="61"/>
      <c r="Q160" s="113"/>
      <c r="R160" s="58"/>
    </row>
    <row r="161" spans="1:18" ht="33">
      <c r="A161" s="52"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111"/>
      <c r="C161" s="116"/>
      <c r="D161" s="111"/>
      <c r="E161" s="115"/>
      <c r="F161" s="112" t="s">
        <v>308</v>
      </c>
      <c r="G161" s="56" t="s">
        <v>269</v>
      </c>
      <c r="H161" s="61"/>
      <c r="I161" s="61"/>
      <c r="J161" s="58"/>
      <c r="K161" s="58"/>
      <c r="L161" s="61"/>
      <c r="M161" s="61"/>
      <c r="N161" s="61"/>
      <c r="O161" s="61"/>
      <c r="P161" s="61"/>
      <c r="Q161" s="113"/>
      <c r="R161" s="58"/>
    </row>
    <row r="162" spans="1:18">
      <c r="A162" s="52"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111"/>
      <c r="C162" s="116"/>
      <c r="D162" s="111"/>
      <c r="E162" s="116" t="s">
        <v>97</v>
      </c>
      <c r="F162" s="112" t="s">
        <v>309</v>
      </c>
      <c r="G162" s="56" t="s">
        <v>269</v>
      </c>
      <c r="H162" s="61"/>
      <c r="I162" s="61"/>
      <c r="J162" s="58"/>
      <c r="K162" s="58"/>
      <c r="L162" s="61"/>
      <c r="M162" s="61"/>
      <c r="N162" s="61"/>
      <c r="O162" s="61"/>
      <c r="P162" s="61"/>
      <c r="Q162" s="113"/>
      <c r="R162" s="58"/>
    </row>
    <row r="163" spans="1:18">
      <c r="A163" s="52"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111"/>
      <c r="C163" s="116"/>
      <c r="D163" s="111"/>
      <c r="E163" s="116"/>
      <c r="F163" s="112" t="s">
        <v>310</v>
      </c>
      <c r="G163" s="56" t="s">
        <v>269</v>
      </c>
      <c r="H163" s="61"/>
      <c r="I163" s="61"/>
      <c r="J163" s="58"/>
      <c r="K163" s="58"/>
      <c r="L163" s="61"/>
      <c r="M163" s="61"/>
      <c r="N163" s="61"/>
      <c r="O163" s="61"/>
      <c r="P163" s="61"/>
      <c r="Q163" s="113"/>
      <c r="R163" s="58"/>
    </row>
    <row r="164" spans="1:18" ht="33">
      <c r="A164" s="52"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111"/>
      <c r="C164" s="116"/>
      <c r="D164" s="111"/>
      <c r="E164" s="116"/>
      <c r="F164" s="112" t="s">
        <v>311</v>
      </c>
      <c r="G164" s="56" t="s">
        <v>269</v>
      </c>
      <c r="H164" s="61"/>
      <c r="I164" s="61"/>
      <c r="J164" s="58"/>
      <c r="K164" s="58"/>
      <c r="L164" s="61"/>
      <c r="M164" s="61"/>
      <c r="N164" s="61"/>
      <c r="O164" s="61"/>
      <c r="P164" s="61"/>
      <c r="Q164" s="113"/>
      <c r="R164" s="58"/>
    </row>
    <row r="165" spans="1:18" ht="22">
      <c r="A165" s="52"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111"/>
      <c r="C165" s="116"/>
      <c r="D165" s="111"/>
      <c r="E165" s="116"/>
      <c r="F165" s="112" t="s">
        <v>312</v>
      </c>
      <c r="G165" s="56" t="s">
        <v>269</v>
      </c>
      <c r="H165" s="61"/>
      <c r="I165" s="61"/>
      <c r="J165" s="58"/>
      <c r="K165" s="58"/>
      <c r="L165" s="61"/>
      <c r="M165" s="61"/>
      <c r="N165" s="61"/>
      <c r="O165" s="61"/>
      <c r="P165" s="61"/>
      <c r="Q165" s="113"/>
      <c r="R165" s="58"/>
    </row>
    <row r="166" spans="1:18" ht="22">
      <c r="A166" s="52"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111"/>
      <c r="C166" s="116"/>
      <c r="D166" s="111"/>
      <c r="E166" s="116"/>
      <c r="F166" s="112" t="s">
        <v>313</v>
      </c>
      <c r="G166" s="56" t="s">
        <v>269</v>
      </c>
      <c r="H166" s="61"/>
      <c r="I166" s="61"/>
      <c r="J166" s="58"/>
      <c r="K166" s="58"/>
      <c r="L166" s="61"/>
      <c r="M166" s="61"/>
      <c r="N166" s="61"/>
      <c r="O166" s="61"/>
      <c r="P166" s="61"/>
      <c r="Q166" s="113"/>
      <c r="R166" s="58"/>
    </row>
    <row r="167" spans="1:18" ht="33">
      <c r="A167" s="52"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111"/>
      <c r="C167" s="116"/>
      <c r="D167" s="111"/>
      <c r="E167" s="116"/>
      <c r="F167" s="112" t="s">
        <v>314</v>
      </c>
      <c r="G167" s="56" t="s">
        <v>269</v>
      </c>
      <c r="H167" s="61"/>
      <c r="I167" s="61"/>
      <c r="J167" s="58"/>
      <c r="K167" s="58"/>
      <c r="L167" s="61"/>
      <c r="M167" s="61"/>
      <c r="N167" s="61"/>
      <c r="O167" s="61"/>
      <c r="P167" s="61"/>
      <c r="Q167" s="113"/>
      <c r="R167" s="58"/>
    </row>
    <row r="168" spans="1:18" ht="22">
      <c r="A168" s="52"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172"/>
      <c r="C168" s="116"/>
      <c r="D168" s="172"/>
      <c r="E168" s="117"/>
      <c r="F168" s="112" t="s">
        <v>315</v>
      </c>
      <c r="G168" s="56" t="s">
        <v>269</v>
      </c>
      <c r="H168" s="61"/>
      <c r="I168" s="61"/>
      <c r="J168" s="58"/>
      <c r="K168" s="58"/>
      <c r="L168" s="61"/>
      <c r="M168" s="61"/>
      <c r="N168" s="61"/>
      <c r="O168" s="61"/>
      <c r="P168" s="61"/>
      <c r="Q168" s="113"/>
      <c r="R168" s="58"/>
    </row>
    <row r="169" spans="1:18" ht="22">
      <c r="A169" s="52"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172"/>
      <c r="C169" s="116"/>
      <c r="D169" s="172"/>
      <c r="E169" s="118" t="s">
        <v>251</v>
      </c>
      <c r="F169" s="112" t="s">
        <v>316</v>
      </c>
      <c r="G169" s="56" t="s">
        <v>269</v>
      </c>
      <c r="H169" s="61"/>
      <c r="I169" s="61"/>
      <c r="J169" s="58"/>
      <c r="K169" s="58"/>
      <c r="L169" s="61"/>
      <c r="M169" s="61"/>
      <c r="N169" s="61"/>
      <c r="O169" s="61"/>
      <c r="P169" s="61"/>
      <c r="Q169" s="113"/>
      <c r="R169" s="58"/>
    </row>
    <row r="170" spans="1:18" ht="33">
      <c r="A170" s="52"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111"/>
      <c r="C170" s="116"/>
      <c r="D170" s="111"/>
      <c r="E170" s="116"/>
      <c r="F170" s="112" t="s">
        <v>317</v>
      </c>
      <c r="G170" s="56" t="s">
        <v>269</v>
      </c>
      <c r="H170" s="61"/>
      <c r="I170" s="61"/>
      <c r="J170" s="58"/>
      <c r="K170" s="58"/>
      <c r="L170" s="61"/>
      <c r="M170" s="61"/>
      <c r="N170" s="61"/>
      <c r="O170" s="61"/>
      <c r="P170" s="61"/>
      <c r="Q170" s="113"/>
      <c r="R170" s="58"/>
    </row>
    <row r="171" spans="1:18" ht="33">
      <c r="A171" s="52"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111"/>
      <c r="C171" s="116"/>
      <c r="D171" s="111"/>
      <c r="E171" s="116"/>
      <c r="F171" s="112" t="s">
        <v>318</v>
      </c>
      <c r="G171" s="56" t="s">
        <v>269</v>
      </c>
      <c r="H171" s="61"/>
      <c r="I171" s="61"/>
      <c r="J171" s="58"/>
      <c r="K171" s="58"/>
      <c r="L171" s="61"/>
      <c r="M171" s="61"/>
      <c r="N171" s="61"/>
      <c r="O171" s="61"/>
      <c r="P171" s="61"/>
      <c r="Q171" s="113"/>
      <c r="R171" s="58"/>
    </row>
    <row r="172" spans="1:18" ht="44">
      <c r="A172" s="52"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111"/>
      <c r="C172" s="116"/>
      <c r="D172" s="111"/>
      <c r="E172" s="116"/>
      <c r="F172" s="112" t="s">
        <v>319</v>
      </c>
      <c r="G172" s="56" t="s">
        <v>269</v>
      </c>
      <c r="H172" s="61"/>
      <c r="I172" s="61"/>
      <c r="J172" s="58"/>
      <c r="K172" s="58"/>
      <c r="L172" s="61"/>
      <c r="M172" s="61"/>
      <c r="N172" s="61"/>
      <c r="O172" s="61"/>
      <c r="P172" s="61"/>
      <c r="Q172" s="113"/>
      <c r="R172" s="58"/>
    </row>
    <row r="173" spans="1:18" ht="44">
      <c r="A173" s="52"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111"/>
      <c r="C173" s="116"/>
      <c r="D173" s="111"/>
      <c r="E173" s="116"/>
      <c r="F173" s="112" t="s">
        <v>320</v>
      </c>
      <c r="G173" s="56" t="s">
        <v>269</v>
      </c>
      <c r="H173" s="61"/>
      <c r="I173" s="61"/>
      <c r="J173" s="58"/>
      <c r="K173" s="58"/>
      <c r="L173" s="61"/>
      <c r="M173" s="61"/>
      <c r="N173" s="61"/>
      <c r="O173" s="61"/>
      <c r="P173" s="61"/>
      <c r="Q173" s="113"/>
      <c r="R173" s="58"/>
    </row>
    <row r="174" spans="1:18" ht="33">
      <c r="A174" s="52"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111"/>
      <c r="C174" s="116"/>
      <c r="D174" s="111"/>
      <c r="E174" s="116"/>
      <c r="F174" s="112" t="s">
        <v>321</v>
      </c>
      <c r="G174" s="56" t="s">
        <v>269</v>
      </c>
      <c r="H174" s="61"/>
      <c r="I174" s="61"/>
      <c r="J174" s="58"/>
      <c r="K174" s="58"/>
      <c r="L174" s="61"/>
      <c r="M174" s="61"/>
      <c r="N174" s="61"/>
      <c r="O174" s="61"/>
      <c r="P174" s="61"/>
      <c r="Q174" s="113"/>
      <c r="R174" s="58"/>
    </row>
    <row r="175" spans="1:18" ht="44">
      <c r="A175" s="52"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111"/>
      <c r="C175" s="116"/>
      <c r="D175" s="111"/>
      <c r="E175" s="116"/>
      <c r="F175" s="112" t="s">
        <v>322</v>
      </c>
      <c r="G175" s="56" t="s">
        <v>269</v>
      </c>
      <c r="H175" s="61"/>
      <c r="I175" s="61"/>
      <c r="J175" s="58"/>
      <c r="K175" s="58"/>
      <c r="L175" s="61"/>
      <c r="M175" s="61"/>
      <c r="N175" s="61"/>
      <c r="O175" s="61"/>
      <c r="P175" s="61"/>
      <c r="Q175" s="113"/>
      <c r="R175" s="58"/>
    </row>
    <row r="176" spans="1:18" ht="44">
      <c r="A176" s="52"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111"/>
      <c r="C176" s="116"/>
      <c r="D176" s="111"/>
      <c r="E176" s="116"/>
      <c r="F176" s="112" t="s">
        <v>323</v>
      </c>
      <c r="G176" s="56" t="s">
        <v>269</v>
      </c>
      <c r="H176" s="61"/>
      <c r="I176" s="61"/>
      <c r="J176" s="58"/>
      <c r="K176" s="58"/>
      <c r="L176" s="61"/>
      <c r="M176" s="61"/>
      <c r="N176" s="61"/>
      <c r="O176" s="61"/>
      <c r="P176" s="61"/>
      <c r="Q176" s="113"/>
      <c r="R176" s="58"/>
    </row>
    <row r="177" spans="1:18" ht="22">
      <c r="A177" s="52"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111"/>
      <c r="C177" s="116"/>
      <c r="D177" s="111"/>
      <c r="E177" s="115"/>
      <c r="F177" s="112" t="s">
        <v>324</v>
      </c>
      <c r="G177" s="56" t="s">
        <v>269</v>
      </c>
      <c r="H177" s="61"/>
      <c r="I177" s="61"/>
      <c r="J177" s="58"/>
      <c r="K177" s="58"/>
      <c r="L177" s="61"/>
      <c r="M177" s="61"/>
      <c r="N177" s="61"/>
      <c r="O177" s="61"/>
      <c r="P177" s="61"/>
      <c r="Q177" s="113"/>
      <c r="R177" s="58"/>
    </row>
    <row r="178" spans="1:18" ht="33">
      <c r="A178" s="52"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111"/>
      <c r="C178" s="116"/>
      <c r="D178" s="111"/>
      <c r="E178" s="115" t="s">
        <v>286</v>
      </c>
      <c r="F178" s="112" t="s">
        <v>325</v>
      </c>
      <c r="G178" s="56" t="s">
        <v>269</v>
      </c>
      <c r="H178" s="61"/>
      <c r="I178" s="61"/>
      <c r="J178" s="58"/>
      <c r="K178" s="58"/>
      <c r="L178" s="61"/>
      <c r="M178" s="61"/>
      <c r="N178" s="61"/>
      <c r="O178" s="61"/>
      <c r="P178" s="61"/>
      <c r="Q178" s="113"/>
      <c r="R178" s="58"/>
    </row>
    <row r="179" spans="1:18" ht="22">
      <c r="A179" s="52"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115"/>
      <c r="C179" s="117"/>
      <c r="D179" s="115"/>
      <c r="E179" s="117" t="s">
        <v>326</v>
      </c>
      <c r="F179" s="112" t="s">
        <v>327</v>
      </c>
      <c r="G179" s="56" t="s">
        <v>269</v>
      </c>
      <c r="H179" s="61"/>
      <c r="I179" s="61"/>
      <c r="J179" s="58"/>
      <c r="K179" s="58"/>
      <c r="L179" s="61"/>
      <c r="M179" s="61"/>
      <c r="N179" s="61"/>
      <c r="O179" s="61"/>
      <c r="P179" s="61"/>
      <c r="Q179" s="113"/>
      <c r="R179" s="58"/>
    </row>
    <row r="180" spans="1:18" ht="22">
      <c r="A180" s="52"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110" t="s">
        <v>328</v>
      </c>
      <c r="C180" s="110" t="s">
        <v>240</v>
      </c>
      <c r="D180" s="112" t="s">
        <v>329</v>
      </c>
      <c r="E180" s="112" t="s">
        <v>124</v>
      </c>
      <c r="F180" s="112" t="s">
        <v>330</v>
      </c>
      <c r="G180" s="56" t="s">
        <v>331</v>
      </c>
      <c r="H180" s="61"/>
      <c r="I180" s="61"/>
      <c r="J180" s="58"/>
      <c r="K180" s="58"/>
      <c r="L180" s="61"/>
      <c r="M180" s="61"/>
      <c r="N180" s="61"/>
      <c r="O180" s="61"/>
      <c r="P180" s="61"/>
      <c r="Q180" s="113"/>
      <c r="R180" s="58"/>
    </row>
    <row r="181" spans="1:18" ht="22">
      <c r="A181" s="52"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11"/>
      <c r="C181" s="116"/>
      <c r="D181" s="112" t="s">
        <v>332</v>
      </c>
      <c r="E181" s="115" t="s">
        <v>90</v>
      </c>
      <c r="F181" s="112" t="s">
        <v>333</v>
      </c>
      <c r="G181" s="56" t="s">
        <v>331</v>
      </c>
      <c r="H181" s="61"/>
      <c r="I181" s="61"/>
      <c r="J181" s="58"/>
      <c r="K181" s="58"/>
      <c r="L181" s="61"/>
      <c r="M181" s="61"/>
      <c r="N181" s="61"/>
      <c r="O181" s="61"/>
      <c r="P181" s="61"/>
      <c r="Q181" s="113"/>
      <c r="R181" s="58"/>
    </row>
    <row r="182" spans="1:18">
      <c r="A182" s="52"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15"/>
      <c r="C182" s="117"/>
      <c r="D182" s="117" t="s">
        <v>490</v>
      </c>
      <c r="E182" s="117" t="s">
        <v>90</v>
      </c>
      <c r="F182" s="112" t="s">
        <v>335</v>
      </c>
      <c r="G182" s="56" t="s">
        <v>331</v>
      </c>
      <c r="H182" s="61"/>
      <c r="I182" s="61"/>
      <c r="J182" s="58"/>
      <c r="K182" s="58"/>
      <c r="L182" s="61"/>
      <c r="M182" s="61"/>
      <c r="N182" s="61"/>
      <c r="O182" s="61"/>
      <c r="P182" s="61"/>
      <c r="Q182" s="113"/>
      <c r="R182" s="58"/>
    </row>
    <row r="183" spans="1:18" ht="22">
      <c r="A183" s="52"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110" t="s">
        <v>336</v>
      </c>
      <c r="C183" s="110" t="s">
        <v>240</v>
      </c>
      <c r="D183" s="110" t="s">
        <v>471</v>
      </c>
      <c r="E183" s="112" t="s">
        <v>337</v>
      </c>
      <c r="F183" s="112" t="s">
        <v>338</v>
      </c>
      <c r="G183" s="56" t="s">
        <v>339</v>
      </c>
      <c r="H183" s="61"/>
      <c r="I183" s="61"/>
      <c r="J183" s="58"/>
      <c r="K183" s="58"/>
      <c r="L183" s="61"/>
      <c r="M183" s="61"/>
      <c r="N183" s="61"/>
      <c r="O183" s="61"/>
      <c r="P183" s="61"/>
      <c r="Q183" s="113"/>
      <c r="R183" s="58"/>
    </row>
    <row r="184" spans="1:18" ht="22">
      <c r="A184" s="52"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111"/>
      <c r="C184" s="114"/>
      <c r="D184" s="111"/>
      <c r="E184" s="116" t="s">
        <v>97</v>
      </c>
      <c r="F184" s="112" t="s">
        <v>340</v>
      </c>
      <c r="G184" s="56" t="s">
        <v>339</v>
      </c>
      <c r="H184" s="61"/>
      <c r="I184" s="61"/>
      <c r="J184" s="58"/>
      <c r="K184" s="58"/>
      <c r="L184" s="61"/>
      <c r="M184" s="61"/>
      <c r="N184" s="61"/>
      <c r="O184" s="61"/>
      <c r="P184" s="61"/>
      <c r="Q184" s="113"/>
      <c r="R184" s="58"/>
    </row>
    <row r="185" spans="1:18" ht="22">
      <c r="A185" s="52"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111"/>
      <c r="C185" s="124"/>
      <c r="D185" s="111"/>
      <c r="E185" s="115"/>
      <c r="F185" s="112" t="s">
        <v>341</v>
      </c>
      <c r="G185" s="56" t="s">
        <v>339</v>
      </c>
      <c r="H185" s="61"/>
      <c r="I185" s="61"/>
      <c r="J185" s="58"/>
      <c r="K185" s="58"/>
      <c r="L185" s="61"/>
      <c r="M185" s="61"/>
      <c r="N185" s="61"/>
      <c r="O185" s="61"/>
      <c r="P185" s="61"/>
      <c r="Q185" s="113"/>
      <c r="R185" s="58"/>
    </row>
    <row r="186" spans="1:18" ht="33">
      <c r="A186" s="52"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111"/>
      <c r="C186" s="116"/>
      <c r="D186" s="111"/>
      <c r="E186" s="116" t="s">
        <v>342</v>
      </c>
      <c r="F186" s="112" t="s">
        <v>343</v>
      </c>
      <c r="G186" s="56" t="s">
        <v>339</v>
      </c>
      <c r="H186" s="61"/>
      <c r="I186" s="61"/>
      <c r="J186" s="58"/>
      <c r="K186" s="58"/>
      <c r="L186" s="61"/>
      <c r="M186" s="61"/>
      <c r="N186" s="61"/>
      <c r="O186" s="61"/>
      <c r="P186" s="61"/>
      <c r="Q186" s="113"/>
      <c r="R186" s="58"/>
    </row>
    <row r="187" spans="1:18" ht="33">
      <c r="A187" s="52"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111"/>
      <c r="C187" s="116"/>
      <c r="D187" s="133"/>
      <c r="E187" s="115"/>
      <c r="F187" s="112" t="s">
        <v>344</v>
      </c>
      <c r="G187" s="56" t="s">
        <v>339</v>
      </c>
      <c r="H187" s="61"/>
      <c r="I187" s="61"/>
      <c r="J187" s="58"/>
      <c r="K187" s="58"/>
      <c r="L187" s="61"/>
      <c r="M187" s="61"/>
      <c r="N187" s="61"/>
      <c r="O187" s="61"/>
      <c r="P187" s="61"/>
      <c r="Q187" s="113"/>
      <c r="R187" s="58"/>
    </row>
    <row r="188" spans="1:18" ht="33">
      <c r="A188" s="52"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11"/>
      <c r="C188" s="115"/>
      <c r="D188" s="115" t="s">
        <v>480</v>
      </c>
      <c r="E188" s="115" t="s">
        <v>471</v>
      </c>
      <c r="F188" s="112" t="s">
        <v>345</v>
      </c>
      <c r="G188" s="56" t="s">
        <v>339</v>
      </c>
      <c r="H188" s="61"/>
      <c r="I188" s="61"/>
      <c r="J188" s="58"/>
      <c r="K188" s="58"/>
      <c r="L188" s="61"/>
      <c r="M188" s="61"/>
      <c r="N188" s="61"/>
      <c r="O188" s="61"/>
      <c r="P188" s="61"/>
      <c r="Q188" s="113"/>
      <c r="R188" s="58"/>
    </row>
    <row r="189" spans="1:18" ht="22">
      <c r="A189" s="52"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111"/>
      <c r="C189" s="116" t="s">
        <v>346</v>
      </c>
      <c r="D189" s="111" t="s">
        <v>491</v>
      </c>
      <c r="E189" s="116" t="s">
        <v>348</v>
      </c>
      <c r="F189" s="112" t="s">
        <v>349</v>
      </c>
      <c r="G189" s="56" t="s">
        <v>339</v>
      </c>
      <c r="H189" s="61"/>
      <c r="I189" s="61"/>
      <c r="J189" s="58"/>
      <c r="K189" s="58"/>
      <c r="L189" s="61"/>
      <c r="M189" s="61"/>
      <c r="N189" s="61"/>
      <c r="O189" s="61"/>
      <c r="P189" s="61"/>
      <c r="Q189" s="113"/>
      <c r="R189" s="58"/>
    </row>
    <row r="190" spans="1:18" ht="22">
      <c r="A190" s="52"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111"/>
      <c r="C190" s="124"/>
      <c r="D190" s="111"/>
      <c r="E190" s="116"/>
      <c r="F190" s="112" t="s">
        <v>350</v>
      </c>
      <c r="G190" s="56" t="s">
        <v>339</v>
      </c>
      <c r="H190" s="61"/>
      <c r="I190" s="61"/>
      <c r="J190" s="58"/>
      <c r="K190" s="58"/>
      <c r="L190" s="61"/>
      <c r="M190" s="61"/>
      <c r="N190" s="61"/>
      <c r="O190" s="61"/>
      <c r="P190" s="61"/>
      <c r="Q190" s="113"/>
      <c r="R190" s="58"/>
    </row>
    <row r="191" spans="1:18" ht="22">
      <c r="A191" s="52"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111"/>
      <c r="C191" s="124"/>
      <c r="D191" s="111"/>
      <c r="E191" s="116"/>
      <c r="F191" s="112" t="s">
        <v>351</v>
      </c>
      <c r="G191" s="56" t="s">
        <v>339</v>
      </c>
      <c r="H191" s="61"/>
      <c r="I191" s="61"/>
      <c r="J191" s="58"/>
      <c r="K191" s="58"/>
      <c r="L191" s="61"/>
      <c r="M191" s="61"/>
      <c r="N191" s="61"/>
      <c r="O191" s="61"/>
      <c r="P191" s="61"/>
      <c r="Q191" s="113"/>
      <c r="R191" s="58"/>
    </row>
    <row r="192" spans="1:18" ht="22">
      <c r="A192" s="52"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111"/>
      <c r="C192" s="124"/>
      <c r="D192" s="111"/>
      <c r="E192" s="116"/>
      <c r="F192" s="112" t="s">
        <v>352</v>
      </c>
      <c r="G192" s="56" t="s">
        <v>339</v>
      </c>
      <c r="H192" s="61"/>
      <c r="I192" s="61"/>
      <c r="J192" s="58"/>
      <c r="K192" s="58"/>
      <c r="L192" s="61"/>
      <c r="M192" s="61"/>
      <c r="N192" s="61"/>
      <c r="O192" s="61"/>
      <c r="P192" s="61"/>
      <c r="Q192" s="113"/>
      <c r="R192" s="58"/>
    </row>
    <row r="193" spans="1:18" ht="22">
      <c r="A193" s="52"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111"/>
      <c r="C193" s="124"/>
      <c r="D193" s="111"/>
      <c r="E193" s="116"/>
      <c r="F193" s="112" t="s">
        <v>353</v>
      </c>
      <c r="G193" s="56" t="s">
        <v>339</v>
      </c>
      <c r="H193" s="61"/>
      <c r="I193" s="61"/>
      <c r="J193" s="58"/>
      <c r="K193" s="58"/>
      <c r="L193" s="61"/>
      <c r="M193" s="61"/>
      <c r="N193" s="61"/>
      <c r="O193" s="61"/>
      <c r="P193" s="61"/>
      <c r="Q193" s="113"/>
      <c r="R193" s="58"/>
    </row>
    <row r="194" spans="1:18" ht="22">
      <c r="A194" s="52"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111"/>
      <c r="C194" s="124"/>
      <c r="D194" s="111"/>
      <c r="E194" s="116"/>
      <c r="F194" s="112" t="s">
        <v>354</v>
      </c>
      <c r="G194" s="56" t="s">
        <v>339</v>
      </c>
      <c r="H194" s="61"/>
      <c r="I194" s="61"/>
      <c r="J194" s="58"/>
      <c r="K194" s="58"/>
      <c r="L194" s="61"/>
      <c r="M194" s="61"/>
      <c r="N194" s="61"/>
      <c r="O194" s="61"/>
      <c r="P194" s="61"/>
      <c r="Q194" s="113"/>
      <c r="R194" s="58"/>
    </row>
    <row r="195" spans="1:18" ht="22">
      <c r="A195" s="52"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111"/>
      <c r="C195" s="124"/>
      <c r="D195" s="111"/>
      <c r="E195" s="115"/>
      <c r="F195" s="112" t="s">
        <v>355</v>
      </c>
      <c r="G195" s="56" t="s">
        <v>339</v>
      </c>
      <c r="H195" s="61"/>
      <c r="I195" s="61"/>
      <c r="J195" s="58"/>
      <c r="K195" s="58"/>
      <c r="L195" s="61"/>
      <c r="M195" s="61"/>
      <c r="N195" s="61"/>
      <c r="O195" s="61"/>
      <c r="P195" s="61"/>
      <c r="Q195" s="113"/>
      <c r="R195" s="58"/>
    </row>
    <row r="196" spans="1:18" ht="22">
      <c r="A196" s="52"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111"/>
      <c r="C196" s="114"/>
      <c r="D196" s="115"/>
      <c r="E196" s="112" t="s">
        <v>356</v>
      </c>
      <c r="F196" s="112" t="s">
        <v>492</v>
      </c>
      <c r="G196" s="56" t="s">
        <v>339</v>
      </c>
      <c r="H196" s="61"/>
      <c r="I196" s="61"/>
      <c r="J196" s="58"/>
      <c r="K196" s="58"/>
      <c r="L196" s="61"/>
      <c r="M196" s="61"/>
      <c r="N196" s="61"/>
      <c r="O196" s="61"/>
      <c r="P196" s="61"/>
      <c r="Q196" s="113"/>
      <c r="R196" s="58"/>
    </row>
    <row r="197" spans="1:18" ht="22">
      <c r="A197" s="52"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111"/>
      <c r="C197" s="114"/>
      <c r="D197" s="111" t="s">
        <v>358</v>
      </c>
      <c r="E197" s="116" t="s">
        <v>165</v>
      </c>
      <c r="F197" s="112" t="s">
        <v>359</v>
      </c>
      <c r="G197" s="56" t="s">
        <v>339</v>
      </c>
      <c r="H197" s="61"/>
      <c r="I197" s="61"/>
      <c r="J197" s="58"/>
      <c r="K197" s="58"/>
      <c r="L197" s="61"/>
      <c r="M197" s="61"/>
      <c r="N197" s="61"/>
      <c r="O197" s="61"/>
      <c r="P197" s="61"/>
      <c r="Q197" s="113"/>
      <c r="R197" s="58"/>
    </row>
    <row r="198" spans="1:18" ht="22">
      <c r="A198" s="52"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111"/>
      <c r="C198" s="114"/>
      <c r="D198" s="111"/>
      <c r="E198" s="116"/>
      <c r="F198" s="112" t="s">
        <v>360</v>
      </c>
      <c r="G198" s="56" t="s">
        <v>339</v>
      </c>
      <c r="H198" s="61"/>
      <c r="I198" s="61"/>
      <c r="J198" s="58"/>
      <c r="K198" s="58"/>
      <c r="L198" s="61"/>
      <c r="M198" s="61"/>
      <c r="N198" s="61"/>
      <c r="O198" s="61"/>
      <c r="P198" s="61"/>
      <c r="Q198" s="113"/>
      <c r="R198" s="58"/>
    </row>
    <row r="199" spans="1:18">
      <c r="A199" s="52"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111"/>
      <c r="C199" s="114"/>
      <c r="D199" s="111"/>
      <c r="E199" s="116"/>
      <c r="F199" s="112" t="s">
        <v>361</v>
      </c>
      <c r="G199" s="56" t="s">
        <v>339</v>
      </c>
      <c r="H199" s="61"/>
      <c r="I199" s="61"/>
      <c r="J199" s="58"/>
      <c r="K199" s="58"/>
      <c r="L199" s="61"/>
      <c r="M199" s="61"/>
      <c r="N199" s="61"/>
      <c r="O199" s="61"/>
      <c r="P199" s="61"/>
      <c r="Q199" s="113"/>
      <c r="R199" s="58"/>
    </row>
    <row r="200" spans="1:18" ht="22">
      <c r="A200" s="52"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111"/>
      <c r="C200" s="114"/>
      <c r="D200" s="111"/>
      <c r="E200" s="116"/>
      <c r="F200" s="112" t="s">
        <v>362</v>
      </c>
      <c r="G200" s="56" t="s">
        <v>339</v>
      </c>
      <c r="H200" s="61"/>
      <c r="I200" s="61"/>
      <c r="J200" s="58"/>
      <c r="K200" s="58"/>
      <c r="L200" s="61"/>
      <c r="M200" s="61"/>
      <c r="N200" s="61"/>
      <c r="O200" s="61"/>
      <c r="P200" s="61"/>
      <c r="Q200" s="113"/>
      <c r="R200" s="58"/>
    </row>
    <row r="201" spans="1:18" ht="33">
      <c r="A201" s="52"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111"/>
      <c r="C201" s="114"/>
      <c r="D201" s="111"/>
      <c r="E201" s="116"/>
      <c r="F201" s="112" t="s">
        <v>363</v>
      </c>
      <c r="G201" s="56" t="s">
        <v>339</v>
      </c>
      <c r="H201" s="61"/>
      <c r="I201" s="61"/>
      <c r="J201" s="58"/>
      <c r="K201" s="58"/>
      <c r="L201" s="61"/>
      <c r="M201" s="61"/>
      <c r="N201" s="61"/>
      <c r="O201" s="61"/>
      <c r="P201" s="61"/>
      <c r="Q201" s="113"/>
      <c r="R201" s="58"/>
    </row>
    <row r="202" spans="1:18" ht="44">
      <c r="A202" s="52"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111"/>
      <c r="C202" s="114"/>
      <c r="D202" s="111"/>
      <c r="E202" s="116"/>
      <c r="F202" s="112" t="s">
        <v>364</v>
      </c>
      <c r="G202" s="56" t="s">
        <v>339</v>
      </c>
      <c r="H202" s="61"/>
      <c r="I202" s="61"/>
      <c r="J202" s="58"/>
      <c r="K202" s="58"/>
      <c r="L202" s="61"/>
      <c r="M202" s="61"/>
      <c r="N202" s="61"/>
      <c r="O202" s="61"/>
      <c r="P202" s="61"/>
      <c r="Q202" s="113"/>
      <c r="R202" s="58"/>
    </row>
    <row r="203" spans="1:18" ht="44">
      <c r="A203" s="52"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111"/>
      <c r="C203" s="114"/>
      <c r="D203" s="111"/>
      <c r="E203" s="116"/>
      <c r="F203" s="112" t="s">
        <v>493</v>
      </c>
      <c r="G203" s="56" t="s">
        <v>339</v>
      </c>
      <c r="H203" s="61"/>
      <c r="I203" s="61"/>
      <c r="J203" s="58"/>
      <c r="K203" s="58"/>
      <c r="L203" s="61"/>
      <c r="M203" s="61"/>
      <c r="N203" s="61"/>
      <c r="O203" s="61"/>
      <c r="P203" s="61"/>
      <c r="Q203" s="113"/>
      <c r="R203" s="58"/>
    </row>
    <row r="204" spans="1:18" ht="44">
      <c r="A204" s="52"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111"/>
      <c r="C204" s="114"/>
      <c r="D204" s="111"/>
      <c r="E204" s="116"/>
      <c r="F204" s="112" t="s">
        <v>366</v>
      </c>
      <c r="G204" s="56" t="s">
        <v>339</v>
      </c>
      <c r="H204" s="61"/>
      <c r="I204" s="61"/>
      <c r="J204" s="58"/>
      <c r="K204" s="58"/>
      <c r="L204" s="61"/>
      <c r="M204" s="61"/>
      <c r="N204" s="61"/>
      <c r="O204" s="61"/>
      <c r="P204" s="61"/>
      <c r="Q204" s="113"/>
      <c r="R204" s="58"/>
    </row>
    <row r="205" spans="1:18" ht="33">
      <c r="A205" s="52"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111"/>
      <c r="C205" s="114"/>
      <c r="D205" s="111"/>
      <c r="E205" s="116"/>
      <c r="F205" s="112" t="s">
        <v>367</v>
      </c>
      <c r="G205" s="56" t="s">
        <v>339</v>
      </c>
      <c r="H205" s="61"/>
      <c r="I205" s="61"/>
      <c r="J205" s="58"/>
      <c r="K205" s="58"/>
      <c r="L205" s="61"/>
      <c r="M205" s="61"/>
      <c r="N205" s="61"/>
      <c r="O205" s="61"/>
      <c r="P205" s="61"/>
      <c r="Q205" s="113"/>
      <c r="R205" s="58"/>
    </row>
    <row r="206" spans="1:18" ht="22">
      <c r="A206" s="52"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111"/>
      <c r="C206" s="114"/>
      <c r="D206" s="111"/>
      <c r="E206" s="116"/>
      <c r="F206" s="112" t="s">
        <v>368</v>
      </c>
      <c r="G206" s="56" t="s">
        <v>339</v>
      </c>
      <c r="H206" s="61"/>
      <c r="I206" s="61"/>
      <c r="J206" s="58"/>
      <c r="K206" s="58"/>
      <c r="L206" s="61"/>
      <c r="M206" s="61"/>
      <c r="N206" s="61"/>
      <c r="O206" s="61"/>
      <c r="P206" s="61"/>
      <c r="Q206" s="113"/>
      <c r="R206" s="58"/>
    </row>
    <row r="207" spans="1:18" ht="22">
      <c r="A207" s="52"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111"/>
      <c r="C207" s="114"/>
      <c r="D207" s="111"/>
      <c r="E207" s="116"/>
      <c r="F207" s="112" t="s">
        <v>369</v>
      </c>
      <c r="G207" s="56" t="s">
        <v>339</v>
      </c>
      <c r="H207" s="61"/>
      <c r="I207" s="61"/>
      <c r="J207" s="58"/>
      <c r="K207" s="58"/>
      <c r="L207" s="61"/>
      <c r="M207" s="61"/>
      <c r="N207" s="61"/>
      <c r="O207" s="61"/>
      <c r="P207" s="61"/>
      <c r="Q207" s="113"/>
      <c r="R207" s="58"/>
    </row>
    <row r="208" spans="1:18" ht="33">
      <c r="A208" s="52"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111"/>
      <c r="C208" s="114"/>
      <c r="D208" s="111"/>
      <c r="E208" s="116"/>
      <c r="F208" s="112" t="s">
        <v>370</v>
      </c>
      <c r="G208" s="56" t="s">
        <v>339</v>
      </c>
      <c r="H208" s="61"/>
      <c r="I208" s="61"/>
      <c r="J208" s="58"/>
      <c r="K208" s="58"/>
      <c r="L208" s="61"/>
      <c r="M208" s="61"/>
      <c r="N208" s="61"/>
      <c r="O208" s="61"/>
      <c r="P208" s="61"/>
      <c r="Q208" s="113"/>
      <c r="R208" s="58"/>
    </row>
    <row r="209" spans="1:18" ht="22">
      <c r="A209" s="52"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11"/>
      <c r="C209" s="114"/>
      <c r="D209" s="115"/>
      <c r="E209" s="117"/>
      <c r="F209" s="112" t="s">
        <v>371</v>
      </c>
      <c r="G209" s="56" t="s">
        <v>339</v>
      </c>
      <c r="H209" s="61"/>
      <c r="I209" s="61"/>
      <c r="J209" s="58"/>
      <c r="K209" s="58"/>
      <c r="L209" s="61"/>
      <c r="M209" s="61"/>
      <c r="N209" s="61"/>
      <c r="O209" s="61"/>
      <c r="P209" s="61"/>
      <c r="Q209" s="113"/>
      <c r="R209" s="58"/>
    </row>
    <row r="210" spans="1:18" ht="22">
      <c r="A210" s="52"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11"/>
      <c r="C210" s="114"/>
      <c r="D210" s="110" t="s">
        <v>494</v>
      </c>
      <c r="E210" s="118" t="s">
        <v>165</v>
      </c>
      <c r="F210" s="112" t="s">
        <v>373</v>
      </c>
      <c r="G210" s="56" t="s">
        <v>339</v>
      </c>
      <c r="H210" s="61"/>
      <c r="I210" s="61"/>
      <c r="J210" s="58"/>
      <c r="K210" s="58"/>
      <c r="L210" s="61"/>
      <c r="M210" s="61"/>
      <c r="N210" s="61"/>
      <c r="O210" s="61"/>
      <c r="P210" s="61"/>
      <c r="Q210" s="113"/>
      <c r="R210" s="58"/>
    </row>
    <row r="211" spans="1:18" ht="22">
      <c r="A211" s="52"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111"/>
      <c r="C211" s="114"/>
      <c r="D211" s="111"/>
      <c r="E211" s="116"/>
      <c r="F211" s="112" t="s">
        <v>374</v>
      </c>
      <c r="G211" s="56" t="s">
        <v>339</v>
      </c>
      <c r="H211" s="61"/>
      <c r="I211" s="61"/>
      <c r="J211" s="58"/>
      <c r="K211" s="58"/>
      <c r="L211" s="61"/>
      <c r="M211" s="61"/>
      <c r="N211" s="61"/>
      <c r="O211" s="61"/>
      <c r="P211" s="61"/>
      <c r="Q211" s="113"/>
      <c r="R211" s="58"/>
    </row>
    <row r="212" spans="1:18" ht="22">
      <c r="A212" s="52"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111"/>
      <c r="C212" s="114"/>
      <c r="D212" s="111"/>
      <c r="E212" s="116"/>
      <c r="F212" s="112" t="s">
        <v>375</v>
      </c>
      <c r="G212" s="56" t="s">
        <v>339</v>
      </c>
      <c r="H212" s="61"/>
      <c r="I212" s="61"/>
      <c r="J212" s="58"/>
      <c r="K212" s="58"/>
      <c r="L212" s="61"/>
      <c r="M212" s="61"/>
      <c r="N212" s="61"/>
      <c r="O212" s="61"/>
      <c r="P212" s="61"/>
      <c r="Q212" s="113"/>
      <c r="R212" s="58"/>
    </row>
    <row r="213" spans="1:18">
      <c r="A213" s="52"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111"/>
      <c r="C213" s="114"/>
      <c r="D213" s="111"/>
      <c r="E213" s="116"/>
      <c r="F213" s="112" t="s">
        <v>361</v>
      </c>
      <c r="G213" s="56" t="s">
        <v>339</v>
      </c>
      <c r="H213" s="61"/>
      <c r="I213" s="61"/>
      <c r="J213" s="58"/>
      <c r="K213" s="58"/>
      <c r="L213" s="61"/>
      <c r="M213" s="61"/>
      <c r="N213" s="61"/>
      <c r="O213" s="61"/>
      <c r="P213" s="61"/>
      <c r="Q213" s="113"/>
      <c r="R213" s="58"/>
    </row>
    <row r="214" spans="1:18" ht="22">
      <c r="A214" s="52"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111"/>
      <c r="C214" s="114"/>
      <c r="D214" s="111"/>
      <c r="E214" s="116"/>
      <c r="F214" s="112" t="s">
        <v>362</v>
      </c>
      <c r="G214" s="56" t="s">
        <v>339</v>
      </c>
      <c r="H214" s="61"/>
      <c r="I214" s="61"/>
      <c r="J214" s="58"/>
      <c r="K214" s="58"/>
      <c r="L214" s="61"/>
      <c r="M214" s="61"/>
      <c r="N214" s="61"/>
      <c r="O214" s="61"/>
      <c r="P214" s="61"/>
      <c r="Q214" s="113"/>
      <c r="R214" s="58"/>
    </row>
    <row r="215" spans="1:18" ht="44">
      <c r="A215" s="52"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111"/>
      <c r="C215" s="114"/>
      <c r="D215" s="111"/>
      <c r="E215" s="116"/>
      <c r="F215" s="112" t="s">
        <v>376</v>
      </c>
      <c r="G215" s="56" t="s">
        <v>339</v>
      </c>
      <c r="H215" s="61"/>
      <c r="I215" s="61"/>
      <c r="J215" s="58"/>
      <c r="K215" s="58"/>
      <c r="L215" s="61"/>
      <c r="M215" s="61"/>
      <c r="N215" s="61"/>
      <c r="O215" s="61"/>
      <c r="P215" s="61"/>
      <c r="Q215" s="113"/>
      <c r="R215" s="58"/>
    </row>
    <row r="216" spans="1:18" ht="33">
      <c r="A216" s="52"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111"/>
      <c r="C216" s="114"/>
      <c r="D216" s="111"/>
      <c r="E216" s="116"/>
      <c r="F216" s="112" t="s">
        <v>377</v>
      </c>
      <c r="G216" s="56" t="s">
        <v>339</v>
      </c>
      <c r="H216" s="61"/>
      <c r="I216" s="61"/>
      <c r="J216" s="58"/>
      <c r="K216" s="58"/>
      <c r="L216" s="61"/>
      <c r="M216" s="61"/>
      <c r="N216" s="61"/>
      <c r="O216" s="61"/>
      <c r="P216" s="61"/>
      <c r="Q216" s="113"/>
      <c r="R216" s="58"/>
    </row>
    <row r="217" spans="1:18" ht="44">
      <c r="A217" s="52"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111"/>
      <c r="C217" s="114"/>
      <c r="D217" s="111"/>
      <c r="E217" s="116"/>
      <c r="F217" s="112" t="s">
        <v>495</v>
      </c>
      <c r="G217" s="56" t="s">
        <v>339</v>
      </c>
      <c r="H217" s="61"/>
      <c r="I217" s="61"/>
      <c r="J217" s="58"/>
      <c r="K217" s="58"/>
      <c r="L217" s="61"/>
      <c r="M217" s="61"/>
      <c r="N217" s="61"/>
      <c r="O217" s="61"/>
      <c r="P217" s="61"/>
      <c r="Q217" s="113"/>
      <c r="R217" s="58"/>
    </row>
    <row r="218" spans="1:18" ht="44">
      <c r="A218" s="52"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111"/>
      <c r="C218" s="114"/>
      <c r="D218" s="111"/>
      <c r="E218" s="116"/>
      <c r="F218" s="112" t="s">
        <v>496</v>
      </c>
      <c r="G218" s="56" t="s">
        <v>339</v>
      </c>
      <c r="H218" s="61"/>
      <c r="I218" s="61"/>
      <c r="J218" s="58"/>
      <c r="K218" s="58"/>
      <c r="L218" s="61"/>
      <c r="M218" s="61"/>
      <c r="N218" s="61"/>
      <c r="O218" s="61"/>
      <c r="P218" s="61"/>
      <c r="Q218" s="113"/>
      <c r="R218" s="58"/>
    </row>
    <row r="219" spans="1:18" ht="44">
      <c r="A219" s="52"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111"/>
      <c r="C219" s="114"/>
      <c r="D219" s="111"/>
      <c r="E219" s="116"/>
      <c r="F219" s="112" t="s">
        <v>380</v>
      </c>
      <c r="G219" s="56" t="s">
        <v>339</v>
      </c>
      <c r="H219" s="61"/>
      <c r="I219" s="61"/>
      <c r="J219" s="58"/>
      <c r="K219" s="58"/>
      <c r="L219" s="61"/>
      <c r="M219" s="61"/>
      <c r="N219" s="61"/>
      <c r="O219" s="61"/>
      <c r="P219" s="61"/>
      <c r="Q219" s="113"/>
      <c r="R219" s="58"/>
    </row>
    <row r="220" spans="1:18" ht="33">
      <c r="A220" s="52"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111"/>
      <c r="C220" s="114"/>
      <c r="D220" s="111"/>
      <c r="E220" s="116"/>
      <c r="F220" s="112" t="s">
        <v>381</v>
      </c>
      <c r="G220" s="56" t="s">
        <v>339</v>
      </c>
      <c r="H220" s="61"/>
      <c r="I220" s="61"/>
      <c r="J220" s="58"/>
      <c r="K220" s="58"/>
      <c r="L220" s="61"/>
      <c r="M220" s="61"/>
      <c r="N220" s="61"/>
      <c r="O220" s="61"/>
      <c r="P220" s="61"/>
      <c r="Q220" s="113"/>
      <c r="R220" s="58"/>
    </row>
    <row r="221" spans="1:18" ht="22">
      <c r="A221" s="52"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111"/>
      <c r="C221" s="114"/>
      <c r="D221" s="111"/>
      <c r="E221" s="116"/>
      <c r="F221" s="112" t="s">
        <v>382</v>
      </c>
      <c r="G221" s="56" t="s">
        <v>339</v>
      </c>
      <c r="H221" s="61"/>
      <c r="I221" s="61"/>
      <c r="J221" s="58"/>
      <c r="K221" s="58"/>
      <c r="L221" s="61"/>
      <c r="M221" s="61"/>
      <c r="N221" s="61"/>
      <c r="O221" s="61"/>
      <c r="P221" s="61"/>
      <c r="Q221" s="113"/>
      <c r="R221" s="58"/>
    </row>
    <row r="222" spans="1:18" ht="22">
      <c r="A222" s="52"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111"/>
      <c r="C222" s="114"/>
      <c r="D222" s="111"/>
      <c r="E222" s="116"/>
      <c r="F222" s="112" t="s">
        <v>383</v>
      </c>
      <c r="G222" s="56" t="s">
        <v>339</v>
      </c>
      <c r="H222" s="61"/>
      <c r="I222" s="61"/>
      <c r="J222" s="58"/>
      <c r="K222" s="58"/>
      <c r="L222" s="61"/>
      <c r="M222" s="61"/>
      <c r="N222" s="61"/>
      <c r="O222" s="61"/>
      <c r="P222" s="61"/>
      <c r="Q222" s="113"/>
      <c r="R222" s="58"/>
    </row>
    <row r="223" spans="1:18" ht="33">
      <c r="A223" s="52"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111"/>
      <c r="C223" s="114"/>
      <c r="D223" s="111"/>
      <c r="E223" s="116"/>
      <c r="F223" s="112" t="s">
        <v>384</v>
      </c>
      <c r="G223" s="56" t="s">
        <v>339</v>
      </c>
      <c r="H223" s="61"/>
      <c r="I223" s="61"/>
      <c r="J223" s="58"/>
      <c r="K223" s="58"/>
      <c r="L223" s="61"/>
      <c r="M223" s="61"/>
      <c r="N223" s="61"/>
      <c r="O223" s="61"/>
      <c r="P223" s="61"/>
      <c r="Q223" s="113"/>
      <c r="R223" s="58"/>
    </row>
    <row r="224" spans="1:18" ht="22">
      <c r="A224" s="52"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111"/>
      <c r="C224" s="114"/>
      <c r="D224" s="111"/>
      <c r="E224" s="115"/>
      <c r="F224" s="112" t="s">
        <v>371</v>
      </c>
      <c r="G224" s="56" t="s">
        <v>339</v>
      </c>
      <c r="H224" s="61"/>
      <c r="I224" s="61"/>
      <c r="J224" s="58"/>
      <c r="K224" s="58"/>
      <c r="L224" s="61"/>
      <c r="M224" s="61"/>
      <c r="N224" s="61"/>
      <c r="O224" s="61"/>
      <c r="P224" s="61"/>
      <c r="Q224" s="113"/>
      <c r="R224" s="58"/>
    </row>
    <row r="225" spans="1:18" ht="44">
      <c r="A225" s="52"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111"/>
      <c r="C225" s="114"/>
      <c r="D225" s="111"/>
      <c r="E225" s="116" t="s">
        <v>385</v>
      </c>
      <c r="F225" s="112" t="s">
        <v>386</v>
      </c>
      <c r="G225" s="56" t="s">
        <v>339</v>
      </c>
      <c r="H225" s="61"/>
      <c r="I225" s="61"/>
      <c r="J225" s="58"/>
      <c r="K225" s="58"/>
      <c r="L225" s="61"/>
      <c r="M225" s="61"/>
      <c r="N225" s="61"/>
      <c r="O225" s="61"/>
      <c r="P225" s="61"/>
      <c r="Q225" s="113"/>
      <c r="R225" s="58"/>
    </row>
    <row r="226" spans="1:18" ht="44">
      <c r="A226" s="52"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111"/>
      <c r="C226" s="114"/>
      <c r="D226" s="111"/>
      <c r="E226" s="116"/>
      <c r="F226" s="112" t="s">
        <v>387</v>
      </c>
      <c r="G226" s="56" t="s">
        <v>339</v>
      </c>
      <c r="H226" s="61"/>
      <c r="I226" s="61"/>
      <c r="J226" s="58"/>
      <c r="K226" s="58"/>
      <c r="L226" s="61"/>
      <c r="M226" s="61"/>
      <c r="N226" s="61"/>
      <c r="O226" s="61"/>
      <c r="P226" s="61"/>
      <c r="Q226" s="113"/>
      <c r="R226" s="58"/>
    </row>
    <row r="227" spans="1:18" ht="44">
      <c r="A227" s="52"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111"/>
      <c r="C227" s="114"/>
      <c r="D227" s="111"/>
      <c r="E227" s="115"/>
      <c r="F227" s="112" t="s">
        <v>388</v>
      </c>
      <c r="G227" s="56" t="s">
        <v>339</v>
      </c>
      <c r="H227" s="61"/>
      <c r="I227" s="61"/>
      <c r="J227" s="58"/>
      <c r="K227" s="58"/>
      <c r="L227" s="61"/>
      <c r="M227" s="61"/>
      <c r="N227" s="61"/>
      <c r="O227" s="61"/>
      <c r="P227" s="61"/>
      <c r="Q227" s="113"/>
      <c r="R227" s="58"/>
    </row>
    <row r="228" spans="1:18" ht="44">
      <c r="A228" s="52"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111"/>
      <c r="C228" s="114"/>
      <c r="D228" s="111"/>
      <c r="E228" s="112" t="s">
        <v>195</v>
      </c>
      <c r="F228" s="112" t="s">
        <v>497</v>
      </c>
      <c r="G228" s="56" t="s">
        <v>339</v>
      </c>
      <c r="H228" s="61"/>
      <c r="I228" s="61"/>
      <c r="J228" s="58"/>
      <c r="K228" s="58"/>
      <c r="L228" s="61"/>
      <c r="M228" s="61"/>
      <c r="N228" s="61"/>
      <c r="O228" s="61"/>
      <c r="P228" s="61"/>
      <c r="Q228" s="113"/>
      <c r="R228" s="58"/>
    </row>
    <row r="229" spans="1:18" ht="22">
      <c r="A229" s="52"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15"/>
      <c r="C229" s="115"/>
      <c r="D229" s="115"/>
      <c r="E229" s="134" t="s">
        <v>390</v>
      </c>
      <c r="F229" s="112" t="s">
        <v>391</v>
      </c>
      <c r="G229" s="56" t="s">
        <v>339</v>
      </c>
      <c r="H229" s="61"/>
      <c r="I229" s="61"/>
      <c r="J229" s="58"/>
      <c r="K229" s="58"/>
      <c r="L229" s="61"/>
      <c r="M229" s="61"/>
      <c r="N229" s="61"/>
      <c r="O229" s="61"/>
      <c r="P229" s="61"/>
      <c r="Q229" s="113"/>
      <c r="R229" s="58"/>
    </row>
    <row r="230" spans="1:18" ht="22">
      <c r="A230" s="52"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160" t="s">
        <v>392</v>
      </c>
      <c r="C230" s="160" t="s">
        <v>240</v>
      </c>
      <c r="D230" s="160" t="s">
        <v>471</v>
      </c>
      <c r="E230" s="112" t="s">
        <v>471</v>
      </c>
      <c r="F230" s="112" t="s">
        <v>393</v>
      </c>
      <c r="G230" s="58" t="s">
        <v>467</v>
      </c>
      <c r="H230" s="61"/>
      <c r="I230" s="61"/>
      <c r="J230" s="58"/>
      <c r="K230" s="58"/>
      <c r="L230" s="61"/>
      <c r="M230" s="61"/>
      <c r="N230" s="61"/>
      <c r="O230" s="61"/>
      <c r="P230" s="61"/>
      <c r="Q230" s="113"/>
      <c r="R230" s="58"/>
    </row>
    <row r="231" spans="1:18" ht="55">
      <c r="A231" s="52"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163"/>
      <c r="C231" s="163"/>
      <c r="D231" s="163"/>
      <c r="E231" s="164" t="s">
        <v>179</v>
      </c>
      <c r="F231" s="161" t="s">
        <v>395</v>
      </c>
      <c r="G231" s="147"/>
      <c r="H231" s="38" t="s">
        <v>556</v>
      </c>
      <c r="I231" s="39" t="s">
        <v>557</v>
      </c>
      <c r="J231" s="42" t="s">
        <v>549</v>
      </c>
      <c r="K231" s="42" t="s">
        <v>28</v>
      </c>
      <c r="L231" s="148" t="s">
        <v>548</v>
      </c>
      <c r="M231" s="148">
        <v>3</v>
      </c>
      <c r="N231" s="148"/>
      <c r="O231" s="148"/>
      <c r="P231" s="148"/>
      <c r="Q231" s="162"/>
      <c r="R231" s="147"/>
    </row>
    <row r="232" spans="1:18" ht="22">
      <c r="A232" s="52"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163"/>
      <c r="C232" s="163"/>
      <c r="D232" s="163"/>
      <c r="E232" s="164"/>
      <c r="F232" s="112" t="s">
        <v>396</v>
      </c>
      <c r="G232" s="58" t="s">
        <v>550</v>
      </c>
      <c r="H232" s="61"/>
      <c r="I232" s="61"/>
      <c r="J232" s="58"/>
      <c r="K232" s="58"/>
      <c r="L232" s="61"/>
      <c r="M232" s="61"/>
      <c r="N232" s="61"/>
      <c r="O232" s="61"/>
      <c r="P232" s="61"/>
      <c r="Q232" s="113"/>
      <c r="R232" s="58"/>
    </row>
    <row r="233" spans="1:18" ht="22">
      <c r="A233" s="52"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163"/>
      <c r="C233" s="163"/>
      <c r="D233" s="163"/>
      <c r="E233" s="164"/>
      <c r="F233" s="112" t="s">
        <v>397</v>
      </c>
      <c r="G233" s="58" t="s">
        <v>183</v>
      </c>
      <c r="H233" s="61"/>
      <c r="I233" s="61"/>
      <c r="J233" s="58"/>
      <c r="K233" s="58"/>
      <c r="L233" s="61"/>
      <c r="M233" s="61"/>
      <c r="N233" s="61"/>
      <c r="O233" s="61"/>
      <c r="P233" s="61"/>
      <c r="Q233" s="113"/>
      <c r="R233" s="58"/>
    </row>
    <row r="234" spans="1:18" ht="22">
      <c r="A234" s="52"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163"/>
      <c r="C234" s="163"/>
      <c r="D234" s="163"/>
      <c r="E234" s="164"/>
      <c r="F234" s="112" t="s">
        <v>398</v>
      </c>
      <c r="G234" s="58" t="s">
        <v>183</v>
      </c>
      <c r="H234" s="61"/>
      <c r="I234" s="61"/>
      <c r="J234" s="58"/>
      <c r="K234" s="58"/>
      <c r="L234" s="61"/>
      <c r="M234" s="61"/>
      <c r="N234" s="61"/>
      <c r="O234" s="61"/>
      <c r="P234" s="61"/>
      <c r="Q234" s="113"/>
      <c r="R234" s="58"/>
    </row>
    <row r="235" spans="1:18" ht="33">
      <c r="A235" s="52"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163"/>
      <c r="C235" s="163"/>
      <c r="D235" s="163"/>
      <c r="E235" s="165"/>
      <c r="F235" s="112" t="s">
        <v>399</v>
      </c>
      <c r="G235" s="58" t="s">
        <v>183</v>
      </c>
      <c r="H235" s="61"/>
      <c r="I235" s="61"/>
      <c r="J235" s="58"/>
      <c r="K235" s="58"/>
      <c r="L235" s="61"/>
      <c r="M235" s="61"/>
      <c r="N235" s="61"/>
      <c r="O235" s="61"/>
      <c r="P235" s="61"/>
      <c r="Q235" s="113"/>
      <c r="R235" s="58"/>
    </row>
    <row r="236" spans="1:18" ht="33">
      <c r="A236" s="52"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163"/>
      <c r="C236" s="163"/>
      <c r="D236" s="163"/>
      <c r="E236" s="164" t="s">
        <v>251</v>
      </c>
      <c r="F236" s="112" t="s">
        <v>400</v>
      </c>
      <c r="G236" s="58" t="s">
        <v>183</v>
      </c>
      <c r="H236" s="61"/>
      <c r="I236" s="61"/>
      <c r="J236" s="58"/>
      <c r="K236" s="58"/>
      <c r="L236" s="61"/>
      <c r="M236" s="61"/>
      <c r="N236" s="61"/>
      <c r="O236" s="61"/>
      <c r="P236" s="61"/>
      <c r="Q236" s="113"/>
      <c r="R236" s="58"/>
    </row>
    <row r="237" spans="1:18" ht="33">
      <c r="A237" s="52"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163"/>
      <c r="C237" s="163"/>
      <c r="D237" s="163"/>
      <c r="E237" s="164"/>
      <c r="F237" s="112" t="s">
        <v>401</v>
      </c>
      <c r="G237" s="58" t="s">
        <v>183</v>
      </c>
      <c r="H237" s="61"/>
      <c r="I237" s="61"/>
      <c r="J237" s="58"/>
      <c r="K237" s="58"/>
      <c r="L237" s="61"/>
      <c r="M237" s="61"/>
      <c r="N237" s="61"/>
      <c r="O237" s="61"/>
      <c r="P237" s="61"/>
      <c r="Q237" s="113"/>
      <c r="R237" s="58"/>
    </row>
    <row r="238" spans="1:18" ht="44">
      <c r="A238" s="52"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163"/>
      <c r="C238" s="163"/>
      <c r="D238" s="163"/>
      <c r="E238" s="164"/>
      <c r="F238" s="112" t="s">
        <v>402</v>
      </c>
      <c r="G238" s="58" t="s">
        <v>183</v>
      </c>
      <c r="H238" s="61"/>
      <c r="I238" s="61"/>
      <c r="J238" s="58"/>
      <c r="K238" s="58"/>
      <c r="L238" s="61"/>
      <c r="M238" s="61"/>
      <c r="N238" s="61"/>
      <c r="O238" s="61"/>
      <c r="P238" s="61"/>
      <c r="Q238" s="113"/>
      <c r="R238" s="58"/>
    </row>
    <row r="239" spans="1:18" ht="44">
      <c r="A239" s="52"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163"/>
      <c r="C239" s="163"/>
      <c r="D239" s="163"/>
      <c r="E239" s="164"/>
      <c r="F239" s="112" t="s">
        <v>403</v>
      </c>
      <c r="G239" s="58" t="s">
        <v>183</v>
      </c>
      <c r="H239" s="61"/>
      <c r="I239" s="61"/>
      <c r="J239" s="58"/>
      <c r="K239" s="58"/>
      <c r="L239" s="61"/>
      <c r="M239" s="61"/>
      <c r="N239" s="61"/>
      <c r="O239" s="61"/>
      <c r="P239" s="61"/>
      <c r="Q239" s="113"/>
      <c r="R239" s="58"/>
    </row>
    <row r="240" spans="1:18" ht="33">
      <c r="A240" s="52"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163"/>
      <c r="C240" s="163"/>
      <c r="D240" s="163"/>
      <c r="E240" s="165"/>
      <c r="F240" s="161" t="s">
        <v>404</v>
      </c>
      <c r="G240" s="147"/>
      <c r="H240" s="38" t="s">
        <v>556</v>
      </c>
      <c r="I240" s="39" t="s">
        <v>557</v>
      </c>
      <c r="J240" s="42" t="s">
        <v>564</v>
      </c>
      <c r="K240" s="42" t="s">
        <v>565</v>
      </c>
      <c r="L240" s="87" t="s">
        <v>548</v>
      </c>
      <c r="M240" s="87">
        <v>1</v>
      </c>
      <c r="N240" s="148"/>
      <c r="O240" s="148"/>
      <c r="P240" s="148"/>
      <c r="Q240" s="162"/>
      <c r="R240" s="147"/>
    </row>
    <row r="241" spans="1:18" ht="44">
      <c r="A241" s="52"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163"/>
      <c r="C241" s="163"/>
      <c r="D241" s="163"/>
      <c r="E241" s="163" t="s">
        <v>484</v>
      </c>
      <c r="F241" s="160" t="s">
        <v>405</v>
      </c>
      <c r="G241" s="170"/>
      <c r="H241" s="38" t="s">
        <v>556</v>
      </c>
      <c r="I241" s="39" t="s">
        <v>563</v>
      </c>
      <c r="J241" s="37" t="s">
        <v>562</v>
      </c>
      <c r="K241" s="40" t="s">
        <v>566</v>
      </c>
      <c r="L241" s="148" t="s">
        <v>32</v>
      </c>
      <c r="M241" s="148">
        <v>3</v>
      </c>
      <c r="N241" s="148"/>
      <c r="O241" s="148"/>
      <c r="P241" s="148"/>
      <c r="Q241" s="162"/>
      <c r="R241" s="147"/>
    </row>
    <row r="242" spans="1:18" ht="44">
      <c r="A242" s="52"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82-1-2</v>
      </c>
      <c r="B242" s="163"/>
      <c r="C242" s="165"/>
      <c r="D242" s="165"/>
      <c r="E242" s="166"/>
      <c r="F242" s="165"/>
      <c r="G242" s="173"/>
      <c r="H242" s="38" t="s">
        <v>556</v>
      </c>
      <c r="I242" s="39" t="s">
        <v>563</v>
      </c>
      <c r="J242" s="37" t="s">
        <v>562</v>
      </c>
      <c r="K242" s="40" t="s">
        <v>31</v>
      </c>
      <c r="L242" s="148" t="s">
        <v>32</v>
      </c>
      <c r="M242" s="148">
        <v>4</v>
      </c>
      <c r="N242" s="148"/>
      <c r="O242" s="148"/>
      <c r="P242" s="148"/>
      <c r="Q242" s="162"/>
      <c r="R242" s="147"/>
    </row>
    <row r="243" spans="1:18" ht="33">
      <c r="A243" s="52"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83-1-1</v>
      </c>
      <c r="B243" s="165"/>
      <c r="C243" s="165" t="s">
        <v>466</v>
      </c>
      <c r="D243" s="165" t="s">
        <v>260</v>
      </c>
      <c r="E243" s="166" t="s">
        <v>261</v>
      </c>
      <c r="F243" s="161" t="s">
        <v>406</v>
      </c>
      <c r="G243" s="147"/>
      <c r="H243" s="38" t="s">
        <v>556</v>
      </c>
      <c r="I243" s="39" t="s">
        <v>557</v>
      </c>
      <c r="J243" s="42" t="s">
        <v>564</v>
      </c>
      <c r="K243" s="42" t="s">
        <v>565</v>
      </c>
      <c r="L243" s="87" t="s">
        <v>548</v>
      </c>
      <c r="M243" s="87">
        <v>1</v>
      </c>
      <c r="N243" s="148"/>
      <c r="O243" s="148"/>
      <c r="P243" s="148"/>
      <c r="Q243" s="162"/>
      <c r="R243" s="147"/>
    </row>
    <row r="244" spans="1:18" ht="22">
      <c r="A244" s="52"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84-1-1</v>
      </c>
      <c r="B244" s="160" t="s">
        <v>407</v>
      </c>
      <c r="C244" s="110" t="s">
        <v>408</v>
      </c>
      <c r="D244" s="110" t="s">
        <v>471</v>
      </c>
      <c r="E244" s="118" t="s">
        <v>471</v>
      </c>
      <c r="F244" s="112" t="s">
        <v>409</v>
      </c>
      <c r="G244" s="58" t="s">
        <v>467</v>
      </c>
      <c r="H244" s="61"/>
      <c r="I244" s="61"/>
      <c r="J244" s="58"/>
      <c r="K244" s="58"/>
      <c r="L244" s="61"/>
      <c r="M244" s="61"/>
      <c r="N244" s="61"/>
      <c r="O244" s="61"/>
      <c r="P244" s="61"/>
      <c r="Q244" s="113"/>
      <c r="R244" s="58"/>
    </row>
    <row r="245" spans="1:18" ht="22">
      <c r="A245" s="52"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84-2-1</v>
      </c>
      <c r="B245" s="163"/>
      <c r="C245" s="132"/>
      <c r="D245" s="115"/>
      <c r="E245" s="115"/>
      <c r="F245" s="112" t="s">
        <v>410</v>
      </c>
      <c r="G245" s="58" t="s">
        <v>467</v>
      </c>
      <c r="H245" s="61"/>
      <c r="I245" s="61"/>
      <c r="J245" s="58"/>
      <c r="K245" s="58"/>
      <c r="L245" s="61"/>
      <c r="M245" s="61"/>
      <c r="N245" s="61"/>
      <c r="O245" s="61"/>
      <c r="P245" s="61"/>
      <c r="Q245" s="113"/>
      <c r="R245" s="58"/>
    </row>
    <row r="246" spans="1:18" ht="33">
      <c r="A246" s="52"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85-1-1</v>
      </c>
      <c r="B246" s="163"/>
      <c r="C246" s="132"/>
      <c r="D246" s="132" t="s">
        <v>480</v>
      </c>
      <c r="E246" s="116" t="s">
        <v>471</v>
      </c>
      <c r="F246" s="112" t="s">
        <v>411</v>
      </c>
      <c r="G246" s="58" t="s">
        <v>467</v>
      </c>
      <c r="H246" s="61"/>
      <c r="I246" s="61"/>
      <c r="J246" s="58"/>
      <c r="K246" s="58"/>
      <c r="L246" s="61"/>
      <c r="M246" s="61"/>
      <c r="N246" s="61"/>
      <c r="O246" s="61"/>
      <c r="P246" s="61"/>
      <c r="Q246" s="113"/>
      <c r="R246" s="58"/>
    </row>
    <row r="247" spans="1:18" ht="33">
      <c r="A247" s="52"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85-2-1</v>
      </c>
      <c r="B247" s="163"/>
      <c r="C247" s="115"/>
      <c r="D247" s="115"/>
      <c r="E247" s="115"/>
      <c r="F247" s="112" t="s">
        <v>412</v>
      </c>
      <c r="G247" s="58" t="s">
        <v>467</v>
      </c>
      <c r="H247" s="61"/>
      <c r="I247" s="61"/>
      <c r="J247" s="58"/>
      <c r="K247" s="58"/>
      <c r="L247" s="61"/>
      <c r="M247" s="61"/>
      <c r="N247" s="61"/>
      <c r="O247" s="61"/>
      <c r="P247" s="61"/>
      <c r="Q247" s="113"/>
      <c r="R247" s="58"/>
    </row>
    <row r="248" spans="1:18" ht="33">
      <c r="A248" s="52"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86-1-1</v>
      </c>
      <c r="B248" s="163"/>
      <c r="C248" s="164" t="s">
        <v>413</v>
      </c>
      <c r="D248" s="163" t="s">
        <v>260</v>
      </c>
      <c r="E248" s="115" t="s">
        <v>279</v>
      </c>
      <c r="F248" s="112" t="s">
        <v>414</v>
      </c>
      <c r="G248" s="58" t="s">
        <v>183</v>
      </c>
      <c r="H248" s="61"/>
      <c r="I248" s="61"/>
      <c r="J248" s="58"/>
      <c r="K248" s="58"/>
      <c r="L248" s="61"/>
      <c r="M248" s="61"/>
      <c r="N248" s="61"/>
      <c r="O248" s="61"/>
      <c r="P248" s="61"/>
      <c r="Q248" s="113"/>
      <c r="R248" s="58"/>
    </row>
    <row r="249" spans="1:18" ht="33">
      <c r="A249" s="52"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87-1-1</v>
      </c>
      <c r="B249" s="163"/>
      <c r="C249" s="164"/>
      <c r="D249" s="163"/>
      <c r="E249" s="115" t="s">
        <v>283</v>
      </c>
      <c r="F249" s="112" t="s">
        <v>415</v>
      </c>
      <c r="G249" s="58" t="s">
        <v>183</v>
      </c>
      <c r="H249" s="61"/>
      <c r="I249" s="61"/>
      <c r="J249" s="58"/>
      <c r="K249" s="58"/>
      <c r="L249" s="61"/>
      <c r="M249" s="61"/>
      <c r="N249" s="61"/>
      <c r="O249" s="61"/>
      <c r="P249" s="61"/>
      <c r="Q249" s="113"/>
      <c r="R249" s="58"/>
    </row>
    <row r="250" spans="1:18" ht="33">
      <c r="A250" s="52"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88-1-1</v>
      </c>
      <c r="B250" s="163"/>
      <c r="C250" s="167"/>
      <c r="D250" s="164"/>
      <c r="E250" s="165" t="s">
        <v>261</v>
      </c>
      <c r="F250" s="161" t="s">
        <v>416</v>
      </c>
      <c r="G250" s="147"/>
      <c r="H250" s="38" t="s">
        <v>556</v>
      </c>
      <c r="I250" s="39" t="s">
        <v>557</v>
      </c>
      <c r="J250" s="41" t="s">
        <v>29</v>
      </c>
      <c r="K250" s="41" t="s">
        <v>571</v>
      </c>
      <c r="L250" s="148" t="s">
        <v>548</v>
      </c>
      <c r="M250" s="148">
        <v>2</v>
      </c>
      <c r="N250" s="148"/>
      <c r="O250" s="148"/>
      <c r="P250" s="148"/>
      <c r="Q250" s="162"/>
      <c r="R250" s="147"/>
    </row>
    <row r="251" spans="1:18" ht="33">
      <c r="A251" s="52"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89-1-1</v>
      </c>
      <c r="B251" s="163"/>
      <c r="C251" s="164"/>
      <c r="D251" s="165"/>
      <c r="E251" s="115" t="s">
        <v>286</v>
      </c>
      <c r="F251" s="112" t="s">
        <v>417</v>
      </c>
      <c r="G251" s="58" t="s">
        <v>183</v>
      </c>
      <c r="H251" s="61"/>
      <c r="I251" s="61"/>
      <c r="J251" s="58"/>
      <c r="K251" s="58"/>
      <c r="L251" s="61"/>
      <c r="M251" s="61"/>
      <c r="N251" s="61"/>
      <c r="O251" s="61"/>
      <c r="P251" s="61"/>
      <c r="Q251" s="113"/>
      <c r="R251" s="58"/>
    </row>
    <row r="252" spans="1:18" ht="33">
      <c r="A252" s="52"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90-1-1</v>
      </c>
      <c r="B252" s="163"/>
      <c r="C252" s="167"/>
      <c r="D252" s="163" t="s">
        <v>295</v>
      </c>
      <c r="E252" s="168" t="s">
        <v>471</v>
      </c>
      <c r="F252" s="161" t="s">
        <v>418</v>
      </c>
      <c r="G252" s="147"/>
      <c r="H252" s="38" t="s">
        <v>556</v>
      </c>
      <c r="I252" s="39" t="s">
        <v>557</v>
      </c>
      <c r="J252" s="42" t="s">
        <v>570</v>
      </c>
      <c r="K252" s="41" t="s">
        <v>569</v>
      </c>
      <c r="L252" s="148" t="s">
        <v>548</v>
      </c>
      <c r="M252" s="148">
        <v>2</v>
      </c>
      <c r="N252" s="148"/>
      <c r="O252" s="148"/>
      <c r="P252" s="148"/>
      <c r="Q252" s="162"/>
      <c r="R252" s="147"/>
    </row>
    <row r="253" spans="1:18" ht="22">
      <c r="A253" s="52"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90-2-1</v>
      </c>
      <c r="B253" s="163"/>
      <c r="C253" s="167"/>
      <c r="D253" s="164"/>
      <c r="E253" s="165"/>
      <c r="F253" s="112" t="s">
        <v>419</v>
      </c>
      <c r="G253" s="58" t="s">
        <v>183</v>
      </c>
      <c r="H253" s="61"/>
      <c r="I253" s="61"/>
      <c r="J253" s="58"/>
      <c r="K253" s="58"/>
      <c r="L253" s="61"/>
      <c r="M253" s="61"/>
      <c r="N253" s="61"/>
      <c r="O253" s="61"/>
      <c r="P253" s="61"/>
      <c r="Q253" s="113"/>
      <c r="R253" s="58"/>
    </row>
    <row r="254" spans="1:18" ht="33">
      <c r="A254" s="52"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91-1-1</v>
      </c>
      <c r="B254" s="163"/>
      <c r="C254" s="167"/>
      <c r="D254" s="164"/>
      <c r="E254" s="164" t="s">
        <v>165</v>
      </c>
      <c r="F254" s="112" t="s">
        <v>420</v>
      </c>
      <c r="G254" s="58" t="s">
        <v>183</v>
      </c>
      <c r="H254" s="61"/>
      <c r="I254" s="61"/>
      <c r="J254" s="58"/>
      <c r="K254" s="58"/>
      <c r="L254" s="61"/>
      <c r="M254" s="61"/>
      <c r="N254" s="61"/>
      <c r="O254" s="61"/>
      <c r="P254" s="61"/>
      <c r="Q254" s="113"/>
      <c r="R254" s="58"/>
    </row>
    <row r="255" spans="1:18" ht="33">
      <c r="A255" s="52"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91-2-1</v>
      </c>
      <c r="B255" s="163"/>
      <c r="C255" s="167"/>
      <c r="D255" s="164"/>
      <c r="E255" s="164"/>
      <c r="F255" s="161" t="s">
        <v>421</v>
      </c>
      <c r="G255" s="147"/>
      <c r="H255" s="38" t="s">
        <v>556</v>
      </c>
      <c r="I255" s="39" t="s">
        <v>557</v>
      </c>
      <c r="J255" s="42" t="s">
        <v>567</v>
      </c>
      <c r="K255" s="41" t="s">
        <v>30</v>
      </c>
      <c r="L255" s="148" t="s">
        <v>548</v>
      </c>
      <c r="M255" s="148">
        <v>4</v>
      </c>
      <c r="N255" s="148"/>
      <c r="O255" s="148"/>
      <c r="P255" s="148"/>
      <c r="Q255" s="162"/>
      <c r="R255" s="147"/>
    </row>
    <row r="256" spans="1:18" ht="33">
      <c r="A256" s="52"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91-3-1</v>
      </c>
      <c r="B256" s="163"/>
      <c r="C256" s="167"/>
      <c r="D256" s="164"/>
      <c r="E256" s="164"/>
      <c r="F256" s="112" t="s">
        <v>498</v>
      </c>
      <c r="G256" s="58" t="s">
        <v>183</v>
      </c>
      <c r="H256" s="61"/>
      <c r="I256" s="61"/>
      <c r="J256" s="58"/>
      <c r="K256" s="58"/>
      <c r="L256" s="61"/>
      <c r="M256" s="61"/>
      <c r="N256" s="61"/>
      <c r="O256" s="61"/>
      <c r="P256" s="61"/>
      <c r="Q256" s="113"/>
      <c r="R256" s="58"/>
    </row>
    <row r="257" spans="1:18" ht="33">
      <c r="A257" s="52"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91-4-1</v>
      </c>
      <c r="B257" s="163"/>
      <c r="C257" s="167"/>
      <c r="D257" s="164"/>
      <c r="E257" s="164"/>
      <c r="F257" s="112" t="s">
        <v>423</v>
      </c>
      <c r="G257" s="58" t="s">
        <v>183</v>
      </c>
      <c r="H257" s="61"/>
      <c r="I257" s="61"/>
      <c r="J257" s="58"/>
      <c r="K257" s="58"/>
      <c r="L257" s="61"/>
      <c r="M257" s="61"/>
      <c r="N257" s="61"/>
      <c r="O257" s="61"/>
      <c r="P257" s="61"/>
      <c r="Q257" s="113"/>
      <c r="R257" s="58"/>
    </row>
    <row r="258" spans="1:18" ht="33">
      <c r="A258" s="52"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91-5-1</v>
      </c>
      <c r="B258" s="163"/>
      <c r="C258" s="163"/>
      <c r="D258" s="163"/>
      <c r="E258" s="168"/>
      <c r="F258" s="112" t="s">
        <v>424</v>
      </c>
      <c r="G258" s="58" t="s">
        <v>183</v>
      </c>
      <c r="H258" s="61"/>
      <c r="I258" s="61"/>
      <c r="J258" s="58"/>
      <c r="K258" s="58"/>
      <c r="L258" s="61"/>
      <c r="M258" s="61"/>
      <c r="N258" s="61"/>
      <c r="O258" s="61"/>
      <c r="P258" s="61"/>
      <c r="Q258" s="113"/>
      <c r="R258" s="58"/>
    </row>
    <row r="259" spans="1:18" ht="22">
      <c r="A259" s="52"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91-6-1</v>
      </c>
      <c r="B259" s="163"/>
      <c r="C259" s="163"/>
      <c r="D259" s="163"/>
      <c r="E259" s="168"/>
      <c r="F259" s="112" t="s">
        <v>425</v>
      </c>
      <c r="G259" s="58" t="s">
        <v>183</v>
      </c>
      <c r="H259" s="61"/>
      <c r="I259" s="61"/>
      <c r="J259" s="58"/>
      <c r="K259" s="58"/>
      <c r="L259" s="61"/>
      <c r="M259" s="61"/>
      <c r="N259" s="61"/>
      <c r="O259" s="61"/>
      <c r="P259" s="61"/>
      <c r="Q259" s="113"/>
      <c r="R259" s="58"/>
    </row>
    <row r="260" spans="1:18" ht="22">
      <c r="A260" s="52"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91-7-1</v>
      </c>
      <c r="B260" s="163"/>
      <c r="C260" s="163"/>
      <c r="D260" s="163"/>
      <c r="E260" s="168"/>
      <c r="F260" s="112" t="s">
        <v>426</v>
      </c>
      <c r="G260" s="58" t="s">
        <v>183</v>
      </c>
      <c r="H260" s="61"/>
      <c r="I260" s="61"/>
      <c r="J260" s="58"/>
      <c r="K260" s="58"/>
      <c r="L260" s="61"/>
      <c r="M260" s="61"/>
      <c r="N260" s="61"/>
      <c r="O260" s="61"/>
      <c r="P260" s="61"/>
      <c r="Q260" s="113"/>
      <c r="R260" s="58"/>
    </row>
    <row r="261" spans="1:18" ht="33">
      <c r="A261" s="52"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91-8-1</v>
      </c>
      <c r="B261" s="163"/>
      <c r="C261" s="163"/>
      <c r="D261" s="163"/>
      <c r="E261" s="168"/>
      <c r="F261" s="112" t="s">
        <v>427</v>
      </c>
      <c r="G261" s="58" t="s">
        <v>183</v>
      </c>
      <c r="H261" s="61"/>
      <c r="I261" s="61"/>
      <c r="J261" s="58"/>
      <c r="K261" s="58"/>
      <c r="L261" s="61"/>
      <c r="M261" s="61"/>
      <c r="N261" s="61"/>
      <c r="O261" s="61"/>
      <c r="P261" s="61"/>
      <c r="Q261" s="113"/>
      <c r="R261" s="58"/>
    </row>
    <row r="262" spans="1:18" ht="33">
      <c r="A262" s="52"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91-9-1</v>
      </c>
      <c r="B262" s="163"/>
      <c r="C262" s="163"/>
      <c r="D262" s="163"/>
      <c r="E262" s="168"/>
      <c r="F262" s="112" t="s">
        <v>428</v>
      </c>
      <c r="G262" s="58" t="s">
        <v>183</v>
      </c>
      <c r="H262" s="61"/>
      <c r="I262" s="61"/>
      <c r="J262" s="58"/>
      <c r="K262" s="58"/>
      <c r="L262" s="61"/>
      <c r="M262" s="61"/>
      <c r="N262" s="61"/>
      <c r="O262" s="61"/>
      <c r="P262" s="61"/>
      <c r="Q262" s="113"/>
      <c r="R262" s="58"/>
    </row>
    <row r="263" spans="1:18" ht="33">
      <c r="A263" s="52"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91-10-1</v>
      </c>
      <c r="B263" s="163"/>
      <c r="C263" s="163"/>
      <c r="D263" s="163"/>
      <c r="E263" s="164"/>
      <c r="F263" s="112" t="s">
        <v>429</v>
      </c>
      <c r="G263" s="58" t="s">
        <v>183</v>
      </c>
      <c r="H263" s="61"/>
      <c r="I263" s="61"/>
      <c r="J263" s="58"/>
      <c r="K263" s="58"/>
      <c r="L263" s="61"/>
      <c r="M263" s="61"/>
      <c r="N263" s="61"/>
      <c r="O263" s="61"/>
      <c r="P263" s="61"/>
      <c r="Q263" s="113"/>
      <c r="R263" s="58"/>
    </row>
    <row r="264" spans="1:18" ht="33">
      <c r="A264" s="52"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91-11-1</v>
      </c>
      <c r="B264" s="163"/>
      <c r="C264" s="163"/>
      <c r="D264" s="163"/>
      <c r="E264" s="165"/>
      <c r="F264" s="112" t="s">
        <v>430</v>
      </c>
      <c r="G264" s="58" t="s">
        <v>183</v>
      </c>
      <c r="H264" s="61"/>
      <c r="I264" s="61"/>
      <c r="J264" s="58"/>
      <c r="K264" s="58"/>
      <c r="L264" s="61"/>
      <c r="M264" s="61"/>
      <c r="N264" s="61"/>
      <c r="O264" s="61"/>
      <c r="P264" s="61"/>
      <c r="Q264" s="113"/>
      <c r="R264" s="58"/>
    </row>
    <row r="265" spans="1:18" ht="55">
      <c r="A265" s="52"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92-1-1</v>
      </c>
      <c r="B265" s="163"/>
      <c r="C265" s="163"/>
      <c r="D265" s="163"/>
      <c r="E265" s="164" t="s">
        <v>97</v>
      </c>
      <c r="F265" s="161" t="s">
        <v>431</v>
      </c>
      <c r="G265" s="147"/>
      <c r="H265" s="38" t="s">
        <v>556</v>
      </c>
      <c r="I265" s="39" t="s">
        <v>557</v>
      </c>
      <c r="J265" s="42" t="s">
        <v>549</v>
      </c>
      <c r="K265" s="42" t="s">
        <v>28</v>
      </c>
      <c r="L265" s="148" t="s">
        <v>548</v>
      </c>
      <c r="M265" s="148">
        <v>3</v>
      </c>
      <c r="N265" s="148"/>
      <c r="O265" s="148"/>
      <c r="P265" s="148"/>
      <c r="Q265" s="162"/>
      <c r="R265" s="147"/>
    </row>
    <row r="266" spans="1:18">
      <c r="A266" s="52"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92-2-1</v>
      </c>
      <c r="B266" s="163"/>
      <c r="C266" s="163"/>
      <c r="D266" s="163"/>
      <c r="E266" s="164"/>
      <c r="F266" s="112" t="s">
        <v>432</v>
      </c>
      <c r="G266" s="58" t="s">
        <v>183</v>
      </c>
      <c r="H266" s="61"/>
      <c r="I266" s="61"/>
      <c r="J266" s="58"/>
      <c r="K266" s="58"/>
      <c r="L266" s="61"/>
      <c r="M266" s="61"/>
      <c r="N266" s="61"/>
      <c r="O266" s="61"/>
      <c r="P266" s="61"/>
      <c r="Q266" s="113"/>
      <c r="R266" s="58"/>
    </row>
    <row r="267" spans="1:18" ht="33">
      <c r="A267" s="52"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92-3-1</v>
      </c>
      <c r="B267" s="163"/>
      <c r="C267" s="167"/>
      <c r="D267" s="163"/>
      <c r="E267" s="164"/>
      <c r="F267" s="112" t="s">
        <v>433</v>
      </c>
      <c r="G267" s="58" t="s">
        <v>183</v>
      </c>
      <c r="H267" s="61"/>
      <c r="I267" s="61"/>
      <c r="J267" s="58"/>
      <c r="K267" s="58"/>
      <c r="L267" s="61"/>
      <c r="M267" s="61"/>
      <c r="N267" s="61"/>
      <c r="O267" s="61"/>
      <c r="P267" s="61"/>
      <c r="Q267" s="113"/>
      <c r="R267" s="58"/>
    </row>
    <row r="268" spans="1:18" ht="22">
      <c r="A268" s="52"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92-4-1</v>
      </c>
      <c r="B268" s="163"/>
      <c r="C268" s="167"/>
      <c r="D268" s="164"/>
      <c r="E268" s="164"/>
      <c r="F268" s="112" t="s">
        <v>434</v>
      </c>
      <c r="G268" s="58" t="s">
        <v>183</v>
      </c>
      <c r="H268" s="61"/>
      <c r="I268" s="61"/>
      <c r="J268" s="58"/>
      <c r="K268" s="58"/>
      <c r="L268" s="61"/>
      <c r="M268" s="61"/>
      <c r="N268" s="61"/>
      <c r="O268" s="61"/>
      <c r="P268" s="61"/>
      <c r="Q268" s="113"/>
      <c r="R268" s="58"/>
    </row>
    <row r="269" spans="1:18" ht="22">
      <c r="A269" s="52"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92-5-1</v>
      </c>
      <c r="B269" s="163"/>
      <c r="C269" s="167"/>
      <c r="D269" s="164"/>
      <c r="E269" s="164"/>
      <c r="F269" s="112" t="s">
        <v>435</v>
      </c>
      <c r="G269" s="58" t="s">
        <v>183</v>
      </c>
      <c r="H269" s="61"/>
      <c r="I269" s="61"/>
      <c r="J269" s="58"/>
      <c r="K269" s="58"/>
      <c r="L269" s="61"/>
      <c r="M269" s="61"/>
      <c r="N269" s="61"/>
      <c r="O269" s="61"/>
      <c r="P269" s="61"/>
      <c r="Q269" s="113"/>
      <c r="R269" s="58"/>
    </row>
    <row r="270" spans="1:18" ht="33">
      <c r="A270" s="52"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92-6-1</v>
      </c>
      <c r="B270" s="163"/>
      <c r="C270" s="167"/>
      <c r="D270" s="164"/>
      <c r="E270" s="165"/>
      <c r="F270" s="112" t="s">
        <v>436</v>
      </c>
      <c r="G270" s="58" t="s">
        <v>183</v>
      </c>
      <c r="H270" s="61"/>
      <c r="I270" s="61"/>
      <c r="J270" s="58"/>
      <c r="K270" s="58"/>
      <c r="L270" s="61"/>
      <c r="M270" s="61"/>
      <c r="N270" s="61"/>
      <c r="O270" s="61"/>
      <c r="P270" s="61"/>
      <c r="Q270" s="113"/>
      <c r="R270" s="58"/>
    </row>
    <row r="271" spans="1:18" ht="33">
      <c r="A271" s="52"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93-1-1</v>
      </c>
      <c r="B271" s="163"/>
      <c r="C271" s="167"/>
      <c r="D271" s="164"/>
      <c r="E271" s="164" t="s">
        <v>251</v>
      </c>
      <c r="F271" s="161" t="s">
        <v>437</v>
      </c>
      <c r="G271" s="147" t="s">
        <v>183</v>
      </c>
      <c r="H271" s="38" t="s">
        <v>27</v>
      </c>
      <c r="I271" s="39" t="s">
        <v>558</v>
      </c>
      <c r="J271" s="42" t="s">
        <v>560</v>
      </c>
      <c r="K271" s="42" t="s">
        <v>568</v>
      </c>
      <c r="L271" s="87" t="s">
        <v>548</v>
      </c>
      <c r="M271" s="87">
        <v>2</v>
      </c>
      <c r="N271" s="148"/>
      <c r="O271" s="148"/>
      <c r="P271" s="148"/>
      <c r="Q271" s="162"/>
      <c r="R271" s="147"/>
    </row>
    <row r="272" spans="1:18" ht="33">
      <c r="A272" s="52"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93-2-1</v>
      </c>
      <c r="B272" s="163"/>
      <c r="C272" s="167"/>
      <c r="D272" s="164"/>
      <c r="E272" s="164"/>
      <c r="F272" s="112" t="s">
        <v>438</v>
      </c>
      <c r="G272" s="58" t="s">
        <v>183</v>
      </c>
      <c r="H272" s="61"/>
      <c r="I272" s="61"/>
      <c r="J272" s="58"/>
      <c r="K272" s="58"/>
      <c r="L272" s="61"/>
      <c r="M272" s="61"/>
      <c r="N272" s="61"/>
      <c r="O272" s="61"/>
      <c r="P272" s="61"/>
      <c r="Q272" s="113"/>
      <c r="R272" s="58"/>
    </row>
    <row r="273" spans="1:18" ht="44">
      <c r="A273" s="52"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93-3-1</v>
      </c>
      <c r="B273" s="163"/>
      <c r="C273" s="167"/>
      <c r="D273" s="164"/>
      <c r="E273" s="164"/>
      <c r="F273" s="112" t="s">
        <v>439</v>
      </c>
      <c r="G273" s="58" t="s">
        <v>183</v>
      </c>
      <c r="H273" s="61"/>
      <c r="I273" s="61"/>
      <c r="J273" s="58"/>
      <c r="K273" s="58"/>
      <c r="L273" s="61"/>
      <c r="M273" s="61"/>
      <c r="N273" s="61"/>
      <c r="O273" s="61"/>
      <c r="P273" s="61"/>
      <c r="Q273" s="113"/>
      <c r="R273" s="58"/>
    </row>
    <row r="274" spans="1:18" ht="44">
      <c r="A274" s="52"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93-4-1</v>
      </c>
      <c r="B274" s="163"/>
      <c r="C274" s="167"/>
      <c r="D274" s="164"/>
      <c r="E274" s="164"/>
      <c r="F274" s="112" t="s">
        <v>440</v>
      </c>
      <c r="G274" s="58" t="s">
        <v>183</v>
      </c>
      <c r="H274" s="61"/>
      <c r="I274" s="61"/>
      <c r="J274" s="58"/>
      <c r="K274" s="58"/>
      <c r="L274" s="61"/>
      <c r="M274" s="61"/>
      <c r="N274" s="61"/>
      <c r="O274" s="61"/>
      <c r="P274" s="61"/>
      <c r="Q274" s="113"/>
      <c r="R274" s="58"/>
    </row>
    <row r="275" spans="1:18" ht="33">
      <c r="A275" s="52"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93-5-1</v>
      </c>
      <c r="B275" s="163"/>
      <c r="C275" s="167"/>
      <c r="D275" s="164"/>
      <c r="E275" s="164"/>
      <c r="F275" s="112" t="s">
        <v>441</v>
      </c>
      <c r="G275" s="58" t="s">
        <v>183</v>
      </c>
      <c r="H275" s="61"/>
      <c r="I275" s="61"/>
      <c r="J275" s="58"/>
      <c r="K275" s="58"/>
      <c r="L275" s="61"/>
      <c r="M275" s="61"/>
      <c r="N275" s="61"/>
      <c r="O275" s="61"/>
      <c r="P275" s="61"/>
      <c r="Q275" s="113"/>
      <c r="R275" s="58"/>
    </row>
    <row r="276" spans="1:18" ht="44">
      <c r="A276" s="52"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93-6-1</v>
      </c>
      <c r="B276" s="163"/>
      <c r="C276" s="167"/>
      <c r="D276" s="164"/>
      <c r="E276" s="164"/>
      <c r="F276" s="112" t="s">
        <v>442</v>
      </c>
      <c r="G276" s="58" t="s">
        <v>183</v>
      </c>
      <c r="H276" s="61"/>
      <c r="I276" s="61"/>
      <c r="J276" s="58"/>
      <c r="K276" s="58"/>
      <c r="L276" s="61"/>
      <c r="M276" s="61"/>
      <c r="N276" s="61"/>
      <c r="O276" s="61"/>
      <c r="P276" s="61"/>
      <c r="Q276" s="113"/>
      <c r="R276" s="58"/>
    </row>
    <row r="277" spans="1:18" ht="44">
      <c r="A277" s="52"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93-7-1</v>
      </c>
      <c r="B277" s="163"/>
      <c r="C277" s="167"/>
      <c r="D277" s="164"/>
      <c r="E277" s="164"/>
      <c r="F277" s="112" t="s">
        <v>443</v>
      </c>
      <c r="G277" s="58" t="s">
        <v>183</v>
      </c>
      <c r="H277" s="61"/>
      <c r="I277" s="61"/>
      <c r="J277" s="58"/>
      <c r="K277" s="58"/>
      <c r="L277" s="61"/>
      <c r="M277" s="61"/>
      <c r="N277" s="61"/>
      <c r="O277" s="61"/>
      <c r="P277" s="61"/>
      <c r="Q277" s="113"/>
      <c r="R277" s="58"/>
    </row>
    <row r="278" spans="1:18" ht="22">
      <c r="A278" s="52"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93-8-1</v>
      </c>
      <c r="B278" s="163"/>
      <c r="C278" s="167"/>
      <c r="D278" s="164"/>
      <c r="E278" s="165"/>
      <c r="F278" s="112" t="s">
        <v>444</v>
      </c>
      <c r="G278" s="58" t="s">
        <v>183</v>
      </c>
      <c r="H278" s="61"/>
      <c r="I278" s="61"/>
      <c r="J278" s="58"/>
      <c r="K278" s="58"/>
      <c r="L278" s="61"/>
      <c r="M278" s="61"/>
      <c r="N278" s="61"/>
      <c r="O278" s="61"/>
      <c r="P278" s="61"/>
      <c r="Q278" s="113"/>
      <c r="R278" s="58"/>
    </row>
    <row r="279" spans="1:18" ht="22">
      <c r="A279" s="52"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94-1-1</v>
      </c>
      <c r="B279" s="165"/>
      <c r="C279" s="169"/>
      <c r="D279" s="166"/>
      <c r="E279" s="166" t="s">
        <v>286</v>
      </c>
      <c r="F279" s="112" t="s">
        <v>445</v>
      </c>
      <c r="G279" s="58" t="s">
        <v>183</v>
      </c>
      <c r="H279" s="61"/>
      <c r="I279" s="61"/>
      <c r="J279" s="58"/>
      <c r="K279" s="58"/>
      <c r="L279" s="61"/>
      <c r="M279" s="61"/>
      <c r="N279" s="61"/>
      <c r="O279" s="61"/>
      <c r="P279" s="61"/>
      <c r="Q279" s="113"/>
      <c r="R279" s="58"/>
    </row>
    <row r="280" spans="1:18" ht="22">
      <c r="A280" s="52"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95-1-1</v>
      </c>
      <c r="B280" s="110" t="s">
        <v>446</v>
      </c>
      <c r="C280" s="110" t="s">
        <v>447</v>
      </c>
      <c r="D280" s="110" t="s">
        <v>471</v>
      </c>
      <c r="E280" s="118" t="s">
        <v>471</v>
      </c>
      <c r="F280" s="112" t="s">
        <v>448</v>
      </c>
      <c r="G280" s="56" t="s">
        <v>449</v>
      </c>
      <c r="H280" s="61"/>
      <c r="I280" s="61"/>
      <c r="J280" s="121"/>
      <c r="K280" s="58"/>
      <c r="L280" s="61"/>
      <c r="M280" s="61"/>
      <c r="N280" s="61"/>
      <c r="O280" s="61"/>
      <c r="P280" s="61"/>
      <c r="Q280" s="113"/>
      <c r="R280" s="58"/>
    </row>
    <row r="281" spans="1:18" ht="22">
      <c r="A281" s="52"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95-2-1</v>
      </c>
      <c r="B281" s="111"/>
      <c r="C281" s="111"/>
      <c r="D281" s="111"/>
      <c r="E281" s="116"/>
      <c r="F281" s="112" t="s">
        <v>450</v>
      </c>
      <c r="G281" s="56" t="s">
        <v>449</v>
      </c>
      <c r="H281" s="61"/>
      <c r="I281" s="61"/>
      <c r="J281" s="121"/>
      <c r="K281" s="58"/>
      <c r="L281" s="61"/>
      <c r="M281" s="61"/>
      <c r="N281" s="61"/>
      <c r="O281" s="61"/>
      <c r="P281" s="61"/>
      <c r="Q281" s="113"/>
      <c r="R281" s="58"/>
    </row>
    <row r="282" spans="1:18" ht="22">
      <c r="A282" s="52"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95-3-1</v>
      </c>
      <c r="B282" s="111"/>
      <c r="C282" s="111"/>
      <c r="D282" s="111"/>
      <c r="E282" s="116"/>
      <c r="F282" s="112" t="s">
        <v>451</v>
      </c>
      <c r="G282" s="56" t="s">
        <v>449</v>
      </c>
      <c r="H282" s="61"/>
      <c r="I282" s="61"/>
      <c r="J282" s="121"/>
      <c r="K282" s="58"/>
      <c r="L282" s="61"/>
      <c r="M282" s="61"/>
      <c r="N282" s="61"/>
      <c r="O282" s="61"/>
      <c r="P282" s="61"/>
      <c r="Q282" s="113"/>
      <c r="R282" s="58"/>
    </row>
    <row r="283" spans="1:18" ht="22">
      <c r="A283" s="52"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95-4-1</v>
      </c>
      <c r="B283" s="111"/>
      <c r="C283" s="115"/>
      <c r="D283" s="115"/>
      <c r="E283" s="115"/>
      <c r="F283" s="112" t="s">
        <v>452</v>
      </c>
      <c r="G283" s="56" t="s">
        <v>449</v>
      </c>
      <c r="H283" s="61"/>
      <c r="I283" s="61"/>
      <c r="J283" s="121"/>
      <c r="K283" s="58"/>
      <c r="L283" s="61"/>
      <c r="M283" s="61"/>
      <c r="N283" s="61"/>
      <c r="O283" s="61"/>
      <c r="P283" s="61"/>
      <c r="Q283" s="113"/>
      <c r="R283" s="58"/>
    </row>
    <row r="284" spans="1:18" ht="22">
      <c r="A284" s="52"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96-1-1</v>
      </c>
      <c r="B284" s="111"/>
      <c r="C284" s="111" t="s">
        <v>453</v>
      </c>
      <c r="D284" s="111" t="s">
        <v>260</v>
      </c>
      <c r="E284" s="115" t="s">
        <v>279</v>
      </c>
      <c r="F284" s="112" t="s">
        <v>454</v>
      </c>
      <c r="G284" s="56" t="s">
        <v>449</v>
      </c>
      <c r="H284" s="61"/>
      <c r="I284" s="61"/>
      <c r="J284" s="121"/>
      <c r="K284" s="58"/>
      <c r="L284" s="61"/>
      <c r="M284" s="61"/>
      <c r="N284" s="61"/>
      <c r="O284" s="61"/>
      <c r="P284" s="61"/>
      <c r="Q284" s="113"/>
      <c r="R284" s="58"/>
    </row>
    <row r="285" spans="1:18" ht="22">
      <c r="A285" s="52"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97-1-1</v>
      </c>
      <c r="B285" s="111"/>
      <c r="C285" s="111"/>
      <c r="D285" s="111"/>
      <c r="E285" s="115" t="s">
        <v>281</v>
      </c>
      <c r="F285" s="112" t="s">
        <v>455</v>
      </c>
      <c r="G285" s="56" t="s">
        <v>449</v>
      </c>
      <c r="H285" s="61"/>
      <c r="I285" s="61"/>
      <c r="J285" s="121"/>
      <c r="K285" s="58"/>
      <c r="L285" s="61"/>
      <c r="M285" s="61"/>
      <c r="N285" s="61"/>
      <c r="O285" s="61"/>
      <c r="P285" s="61"/>
      <c r="Q285" s="113"/>
      <c r="R285" s="58"/>
    </row>
    <row r="286" spans="1:18" ht="22">
      <c r="A286" s="52"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98-1-1</v>
      </c>
      <c r="B286" s="111"/>
      <c r="C286" s="111"/>
      <c r="D286" s="111"/>
      <c r="E286" s="115" t="s">
        <v>283</v>
      </c>
      <c r="F286" s="112" t="s">
        <v>456</v>
      </c>
      <c r="G286" s="56" t="s">
        <v>449</v>
      </c>
      <c r="H286" s="61"/>
      <c r="I286" s="61"/>
      <c r="J286" s="121"/>
      <c r="K286" s="58"/>
      <c r="L286" s="61"/>
      <c r="M286" s="61"/>
      <c r="N286" s="61"/>
      <c r="O286" s="61"/>
      <c r="P286" s="61"/>
      <c r="Q286" s="113"/>
      <c r="R286" s="58"/>
    </row>
    <row r="287" spans="1:18" ht="22">
      <c r="A287" s="52"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99-1-1</v>
      </c>
      <c r="B287" s="111"/>
      <c r="C287" s="111"/>
      <c r="D287" s="115"/>
      <c r="E287" s="115" t="s">
        <v>195</v>
      </c>
      <c r="F287" s="112" t="s">
        <v>457</v>
      </c>
      <c r="G287" s="56" t="s">
        <v>449</v>
      </c>
      <c r="H287" s="61"/>
      <c r="I287" s="61"/>
      <c r="J287" s="121"/>
      <c r="K287" s="58"/>
      <c r="L287" s="61"/>
      <c r="M287" s="61"/>
      <c r="N287" s="61"/>
      <c r="O287" s="61"/>
      <c r="P287" s="61"/>
      <c r="Q287" s="113"/>
      <c r="R287" s="58"/>
    </row>
    <row r="288" spans="1:18" ht="22">
      <c r="A288" s="52"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100-1-1</v>
      </c>
      <c r="B288" s="111"/>
      <c r="C288" s="114"/>
      <c r="D288" s="111" t="s">
        <v>458</v>
      </c>
      <c r="E288" s="116" t="s">
        <v>459</v>
      </c>
      <c r="F288" s="112" t="s">
        <v>460</v>
      </c>
      <c r="G288" s="56" t="s">
        <v>449</v>
      </c>
      <c r="H288" s="61"/>
      <c r="I288" s="61"/>
      <c r="J288" s="121"/>
      <c r="K288" s="58"/>
      <c r="L288" s="61"/>
      <c r="M288" s="61"/>
      <c r="N288" s="61"/>
      <c r="O288" s="61"/>
      <c r="P288" s="61"/>
      <c r="Q288" s="113"/>
      <c r="R288" s="58"/>
    </row>
    <row r="289" spans="1:18" ht="22">
      <c r="A289" s="52"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100-2-1</v>
      </c>
      <c r="B289" s="111"/>
      <c r="C289" s="114"/>
      <c r="D289" s="116"/>
      <c r="E289" s="116"/>
      <c r="F289" s="112" t="s">
        <v>461</v>
      </c>
      <c r="G289" s="56" t="s">
        <v>449</v>
      </c>
      <c r="H289" s="61"/>
      <c r="I289" s="61"/>
      <c r="J289" s="121"/>
      <c r="K289" s="58"/>
      <c r="L289" s="61"/>
      <c r="M289" s="61"/>
      <c r="N289" s="61"/>
      <c r="O289" s="61"/>
      <c r="P289" s="61"/>
      <c r="Q289" s="113"/>
      <c r="R289" s="58"/>
    </row>
    <row r="290" spans="1:18" ht="33">
      <c r="A290" s="52"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100-3-1</v>
      </c>
      <c r="B290" s="111"/>
      <c r="C290" s="114"/>
      <c r="D290" s="116"/>
      <c r="E290" s="116"/>
      <c r="F290" s="112" t="s">
        <v>462</v>
      </c>
      <c r="G290" s="56" t="s">
        <v>449</v>
      </c>
      <c r="H290" s="61"/>
      <c r="I290" s="61"/>
      <c r="J290" s="121"/>
      <c r="K290" s="58"/>
      <c r="L290" s="61"/>
      <c r="M290" s="61"/>
      <c r="N290" s="61"/>
      <c r="O290" s="61"/>
      <c r="P290" s="61"/>
      <c r="Q290" s="113"/>
      <c r="R290" s="58"/>
    </row>
    <row r="291" spans="1:18" ht="33">
      <c r="A291" s="52"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100-4-1</v>
      </c>
      <c r="B291" s="111"/>
      <c r="C291" s="114"/>
      <c r="D291" s="116"/>
      <c r="E291" s="116"/>
      <c r="F291" s="112" t="s">
        <v>499</v>
      </c>
      <c r="G291" s="56" t="s">
        <v>449</v>
      </c>
      <c r="H291" s="61"/>
      <c r="I291" s="61"/>
      <c r="J291" s="121"/>
      <c r="K291" s="58"/>
      <c r="L291" s="61"/>
      <c r="M291" s="61"/>
      <c r="N291" s="61"/>
      <c r="O291" s="61"/>
      <c r="P291" s="61"/>
      <c r="Q291" s="113"/>
      <c r="R291" s="58"/>
    </row>
    <row r="292" spans="1:18" ht="33">
      <c r="A292" s="52"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100-5-1</v>
      </c>
      <c r="B292" s="111"/>
      <c r="C292" s="114"/>
      <c r="D292" s="116"/>
      <c r="E292" s="116"/>
      <c r="F292" s="112" t="s">
        <v>488</v>
      </c>
      <c r="G292" s="56" t="s">
        <v>449</v>
      </c>
      <c r="H292" s="61"/>
      <c r="I292" s="61"/>
      <c r="J292" s="121"/>
      <c r="K292" s="58"/>
      <c r="L292" s="61"/>
      <c r="M292" s="61"/>
      <c r="N292" s="61"/>
      <c r="O292" s="61"/>
      <c r="P292" s="61"/>
      <c r="Q292" s="113"/>
      <c r="R292" s="58"/>
    </row>
    <row r="293" spans="1:18" ht="33">
      <c r="A293" s="52"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100-6-1</v>
      </c>
      <c r="B293" s="111"/>
      <c r="C293" s="114"/>
      <c r="D293" s="116"/>
      <c r="E293" s="116"/>
      <c r="F293" s="112" t="s">
        <v>489</v>
      </c>
      <c r="G293" s="56" t="s">
        <v>449</v>
      </c>
      <c r="H293" s="61"/>
      <c r="I293" s="61"/>
      <c r="J293" s="121"/>
      <c r="K293" s="58"/>
      <c r="L293" s="61"/>
      <c r="M293" s="61"/>
      <c r="N293" s="61"/>
      <c r="O293" s="61"/>
      <c r="P293" s="61"/>
      <c r="Q293" s="113"/>
      <c r="R293" s="58"/>
    </row>
    <row r="294" spans="1:18" ht="33">
      <c r="A294" s="52"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100-7-1</v>
      </c>
      <c r="B294" s="111"/>
      <c r="C294" s="114"/>
      <c r="D294" s="116"/>
      <c r="E294" s="116"/>
      <c r="F294" s="112" t="s">
        <v>500</v>
      </c>
      <c r="G294" s="56" t="s">
        <v>449</v>
      </c>
      <c r="H294" s="61"/>
      <c r="I294" s="61"/>
      <c r="J294" s="121"/>
      <c r="K294" s="58"/>
      <c r="L294" s="61"/>
      <c r="M294" s="61"/>
      <c r="N294" s="61"/>
      <c r="O294" s="61"/>
      <c r="P294" s="61"/>
      <c r="Q294" s="113"/>
      <c r="R294" s="58"/>
    </row>
    <row r="295" spans="1:18" ht="22">
      <c r="A295" s="52"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100-8-1</v>
      </c>
      <c r="B295" s="111"/>
      <c r="C295" s="114"/>
      <c r="D295" s="116"/>
      <c r="E295" s="116"/>
      <c r="F295" s="112" t="s">
        <v>464</v>
      </c>
      <c r="G295" s="56" t="s">
        <v>449</v>
      </c>
      <c r="H295" s="61"/>
      <c r="I295" s="61"/>
      <c r="J295" s="121"/>
      <c r="K295" s="58"/>
      <c r="L295" s="61"/>
      <c r="M295" s="61"/>
      <c r="N295" s="61"/>
      <c r="O295" s="61"/>
      <c r="P295" s="61"/>
      <c r="Q295" s="113"/>
      <c r="R295" s="58"/>
    </row>
    <row r="296" spans="1:18" ht="22">
      <c r="A296" s="52"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100-9-1</v>
      </c>
      <c r="B296" s="115"/>
      <c r="C296" s="135"/>
      <c r="D296" s="117"/>
      <c r="E296" s="117"/>
      <c r="F296" s="112" t="s">
        <v>465</v>
      </c>
      <c r="G296" s="56" t="s">
        <v>449</v>
      </c>
      <c r="H296" s="61"/>
      <c r="I296" s="61"/>
      <c r="J296" s="121"/>
      <c r="K296" s="58"/>
      <c r="L296" s="61"/>
      <c r="M296" s="61"/>
      <c r="N296" s="61"/>
      <c r="O296" s="61"/>
      <c r="P296" s="61"/>
      <c r="Q296" s="113"/>
      <c r="R296" s="58"/>
    </row>
    <row r="297" spans="1:18" ht="33">
      <c r="A297" s="52"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101-1-1</v>
      </c>
      <c r="B297" s="126" t="s">
        <v>507</v>
      </c>
      <c r="C297" s="126" t="s">
        <v>240</v>
      </c>
      <c r="D297" s="110" t="s">
        <v>471</v>
      </c>
      <c r="E297" s="110" t="s">
        <v>508</v>
      </c>
      <c r="F297" s="110" t="s">
        <v>509</v>
      </c>
      <c r="G297" s="58" t="s">
        <v>183</v>
      </c>
      <c r="H297" s="61"/>
      <c r="I297" s="61"/>
      <c r="J297" s="61"/>
      <c r="K297" s="61"/>
      <c r="L297" s="61"/>
      <c r="M297" s="61"/>
      <c r="N297" s="61"/>
      <c r="O297" s="61"/>
      <c r="P297" s="61"/>
      <c r="Q297" s="61"/>
      <c r="R297" s="61"/>
    </row>
    <row r="298" spans="1:18" ht="22">
      <c r="A298" s="52"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102-1-1</v>
      </c>
      <c r="B298" s="129"/>
      <c r="C298" s="129"/>
      <c r="D298" s="116"/>
      <c r="E298" s="159" t="s">
        <v>195</v>
      </c>
      <c r="F298" s="112" t="s">
        <v>510</v>
      </c>
      <c r="G298" s="58" t="s">
        <v>183</v>
      </c>
      <c r="H298" s="61"/>
      <c r="I298" s="61"/>
      <c r="J298" s="61"/>
      <c r="K298" s="61"/>
      <c r="L298" s="61"/>
      <c r="M298" s="61"/>
      <c r="N298" s="61"/>
      <c r="O298" s="61"/>
      <c r="P298" s="61"/>
      <c r="Q298" s="61"/>
      <c r="R298" s="61"/>
    </row>
    <row r="299" spans="1:18" ht="33">
      <c r="A299" s="52"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103-1-1</v>
      </c>
      <c r="B299" s="129"/>
      <c r="C299" s="129"/>
      <c r="D299" s="116"/>
      <c r="E299" s="110" t="s">
        <v>511</v>
      </c>
      <c r="F299" s="110" t="s">
        <v>512</v>
      </c>
      <c r="G299" s="58" t="s">
        <v>183</v>
      </c>
      <c r="H299" s="61"/>
      <c r="I299" s="61"/>
      <c r="J299" s="61"/>
      <c r="K299" s="61"/>
      <c r="L299" s="61"/>
      <c r="M299" s="61"/>
      <c r="N299" s="61"/>
      <c r="O299" s="61"/>
      <c r="P299" s="61"/>
      <c r="Q299" s="61"/>
      <c r="R299" s="61"/>
    </row>
    <row r="300" spans="1:18" ht="33">
      <c r="A300" s="52"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104-1-1</v>
      </c>
      <c r="B300" s="129"/>
      <c r="C300" s="129"/>
      <c r="D300" s="126" t="s">
        <v>513</v>
      </c>
      <c r="E300" s="126" t="s">
        <v>471</v>
      </c>
      <c r="F300" s="126" t="s">
        <v>514</v>
      </c>
      <c r="G300" s="136"/>
      <c r="H300" s="38" t="s">
        <v>27</v>
      </c>
      <c r="I300" s="39" t="s">
        <v>558</v>
      </c>
      <c r="J300" s="42" t="s">
        <v>559</v>
      </c>
      <c r="K300" s="42" t="s">
        <v>561</v>
      </c>
      <c r="L300" s="87" t="s">
        <v>548</v>
      </c>
      <c r="M300" s="87">
        <v>1</v>
      </c>
      <c r="N300" s="87"/>
      <c r="O300" s="87"/>
      <c r="P300" s="87"/>
      <c r="Q300" s="87"/>
      <c r="R300" s="87"/>
    </row>
    <row r="301" spans="1:18" ht="55">
      <c r="A301" s="52"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104-1-2</v>
      </c>
      <c r="B301" s="129"/>
      <c r="C301" s="129"/>
      <c r="D301" s="129"/>
      <c r="E301" s="128"/>
      <c r="F301" s="130"/>
      <c r="G301" s="137"/>
      <c r="H301" s="38" t="s">
        <v>27</v>
      </c>
      <c r="I301" s="39" t="s">
        <v>558</v>
      </c>
      <c r="J301" s="42" t="s">
        <v>560</v>
      </c>
      <c r="K301" s="42" t="s">
        <v>28</v>
      </c>
      <c r="L301" s="87" t="s">
        <v>548</v>
      </c>
      <c r="M301" s="87">
        <v>2</v>
      </c>
      <c r="N301" s="87"/>
      <c r="O301" s="87"/>
      <c r="P301" s="87"/>
      <c r="Q301" s="87"/>
      <c r="R301" s="87"/>
    </row>
    <row r="302" spans="1:18" ht="33">
      <c r="A302" s="52"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104-2-1</v>
      </c>
      <c r="B302" s="129"/>
      <c r="C302" s="129"/>
      <c r="D302" s="129"/>
      <c r="E302" s="128"/>
      <c r="F302" s="126" t="s">
        <v>515</v>
      </c>
      <c r="G302" s="136"/>
      <c r="H302" s="38" t="s">
        <v>27</v>
      </c>
      <c r="I302" s="39" t="s">
        <v>558</v>
      </c>
      <c r="J302" s="37" t="s">
        <v>555</v>
      </c>
      <c r="K302" s="40" t="s">
        <v>552</v>
      </c>
      <c r="L302" s="148" t="s">
        <v>32</v>
      </c>
      <c r="M302" s="148">
        <v>2</v>
      </c>
      <c r="N302" s="87"/>
      <c r="O302" s="87"/>
      <c r="P302" s="87"/>
      <c r="Q302" s="87"/>
      <c r="R302" s="87"/>
    </row>
    <row r="303" spans="1:18" ht="33">
      <c r="A303" s="52"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104-3-1</v>
      </c>
      <c r="B303" s="129"/>
      <c r="C303" s="129"/>
      <c r="D303" s="128"/>
      <c r="E303" s="128"/>
      <c r="F303" s="112" t="s">
        <v>516</v>
      </c>
      <c r="G303" s="58" t="s">
        <v>183</v>
      </c>
      <c r="H303" s="61"/>
      <c r="I303" s="61"/>
      <c r="J303" s="61"/>
      <c r="K303" s="61"/>
      <c r="L303" s="61"/>
      <c r="M303" s="61"/>
      <c r="N303" s="61"/>
      <c r="O303" s="61"/>
      <c r="P303" s="61"/>
      <c r="Q303" s="61"/>
      <c r="R303" s="61"/>
    </row>
    <row r="304" spans="1:18">
      <c r="A304" s="52"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104-4-1</v>
      </c>
      <c r="B304" s="129"/>
      <c r="C304" s="129"/>
      <c r="D304" s="128"/>
      <c r="E304" s="129"/>
      <c r="F304" s="114" t="s">
        <v>517</v>
      </c>
      <c r="G304" s="58" t="s">
        <v>183</v>
      </c>
      <c r="H304" s="61"/>
      <c r="I304" s="61"/>
      <c r="J304" s="61"/>
      <c r="K304" s="61"/>
      <c r="L304" s="61"/>
      <c r="M304" s="61"/>
      <c r="N304" s="61"/>
      <c r="O304" s="61"/>
      <c r="P304" s="61"/>
      <c r="Q304" s="61"/>
      <c r="R304" s="61"/>
    </row>
    <row r="305" spans="1:18" ht="44">
      <c r="A305" s="52"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105-1-1</v>
      </c>
      <c r="B305" s="129"/>
      <c r="C305" s="129"/>
      <c r="D305" s="126" t="s">
        <v>480</v>
      </c>
      <c r="E305" s="126" t="s">
        <v>471</v>
      </c>
      <c r="F305" s="126" t="s">
        <v>518</v>
      </c>
      <c r="G305" s="170"/>
      <c r="H305" s="38" t="s">
        <v>27</v>
      </c>
      <c r="I305" s="39" t="s">
        <v>558</v>
      </c>
      <c r="J305" s="37" t="s">
        <v>553</v>
      </c>
      <c r="K305" s="40" t="s">
        <v>551</v>
      </c>
      <c r="L305" s="148" t="s">
        <v>32</v>
      </c>
      <c r="M305" s="148">
        <v>1</v>
      </c>
      <c r="N305" s="148"/>
      <c r="O305" s="148"/>
      <c r="P305" s="148"/>
      <c r="Q305" s="148"/>
      <c r="R305" s="148"/>
    </row>
    <row r="306" spans="1:18" ht="44">
      <c r="A306" s="52"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105-1-2</v>
      </c>
      <c r="B306" s="129"/>
      <c r="C306" s="129"/>
      <c r="D306" s="128"/>
      <c r="E306" s="129"/>
      <c r="F306" s="129"/>
      <c r="G306" s="171"/>
      <c r="H306" s="38" t="s">
        <v>27</v>
      </c>
      <c r="I306" s="39" t="s">
        <v>558</v>
      </c>
      <c r="J306" s="37" t="s">
        <v>554</v>
      </c>
      <c r="K306" s="40" t="s">
        <v>552</v>
      </c>
      <c r="L306" s="148" t="s">
        <v>32</v>
      </c>
      <c r="M306" s="148">
        <v>2</v>
      </c>
      <c r="N306" s="148"/>
      <c r="O306" s="148"/>
      <c r="P306" s="148"/>
      <c r="Q306" s="148"/>
      <c r="R306" s="148"/>
    </row>
    <row r="307" spans="1:18" ht="44">
      <c r="A307" s="52"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105-2-1</v>
      </c>
      <c r="B307" s="129"/>
      <c r="C307" s="129"/>
      <c r="D307" s="128"/>
      <c r="E307" s="129"/>
      <c r="F307" s="112" t="s">
        <v>519</v>
      </c>
      <c r="G307" s="58" t="s">
        <v>183</v>
      </c>
      <c r="H307" s="61"/>
      <c r="I307" s="61"/>
      <c r="J307" s="61"/>
      <c r="K307" s="61"/>
      <c r="L307" s="61"/>
      <c r="M307" s="61"/>
      <c r="N307" s="61"/>
      <c r="O307" s="61"/>
      <c r="P307" s="61"/>
      <c r="Q307" s="61"/>
      <c r="R307" s="61"/>
    </row>
    <row r="308" spans="1:18" ht="44">
      <c r="A308" s="52"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105-3-1</v>
      </c>
      <c r="B308" s="129"/>
      <c r="C308" s="129"/>
      <c r="D308" s="128"/>
      <c r="E308" s="129"/>
      <c r="F308" s="112" t="s">
        <v>520</v>
      </c>
      <c r="G308" s="58" t="s">
        <v>183</v>
      </c>
      <c r="H308" s="61"/>
      <c r="I308" s="61"/>
      <c r="J308" s="61"/>
      <c r="K308" s="61"/>
      <c r="L308" s="61"/>
      <c r="M308" s="61"/>
      <c r="N308" s="61"/>
      <c r="O308" s="61"/>
      <c r="P308" s="61"/>
      <c r="Q308" s="61"/>
      <c r="R308" s="61"/>
    </row>
    <row r="309" spans="1:18" ht="33">
      <c r="A309" s="52"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105-4-1</v>
      </c>
      <c r="B309" s="129"/>
      <c r="C309" s="129"/>
      <c r="D309" s="128"/>
      <c r="E309" s="129"/>
      <c r="F309" s="112" t="s">
        <v>521</v>
      </c>
      <c r="G309" s="58" t="s">
        <v>183</v>
      </c>
      <c r="H309" s="61"/>
      <c r="I309" s="61"/>
      <c r="J309" s="61"/>
      <c r="K309" s="61"/>
      <c r="L309" s="61"/>
      <c r="M309" s="61"/>
      <c r="N309" s="61"/>
      <c r="O309" s="61"/>
      <c r="P309" s="61"/>
      <c r="Q309" s="61"/>
      <c r="R309" s="61"/>
    </row>
    <row r="310" spans="1:18" ht="44">
      <c r="A310" s="52"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105-5-1</v>
      </c>
      <c r="B310" s="129"/>
      <c r="C310" s="129"/>
      <c r="D310" s="128"/>
      <c r="E310" s="129"/>
      <c r="F310" s="112" t="s">
        <v>522</v>
      </c>
      <c r="G310" s="58" t="s">
        <v>183</v>
      </c>
      <c r="H310" s="61"/>
      <c r="I310" s="61"/>
      <c r="J310" s="61"/>
      <c r="K310" s="61"/>
      <c r="L310" s="61"/>
      <c r="M310" s="61"/>
      <c r="N310" s="61"/>
      <c r="O310" s="61"/>
      <c r="P310" s="61"/>
      <c r="Q310" s="61"/>
      <c r="R310" s="61"/>
    </row>
    <row r="311" spans="1:18" ht="44">
      <c r="A311" s="52"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105-6-1</v>
      </c>
      <c r="B311" s="129"/>
      <c r="C311" s="129"/>
      <c r="D311" s="128"/>
      <c r="E311" s="129"/>
      <c r="F311" s="112" t="s">
        <v>523</v>
      </c>
      <c r="G311" s="58" t="s">
        <v>183</v>
      </c>
      <c r="H311" s="61"/>
      <c r="I311" s="61"/>
      <c r="J311" s="61"/>
      <c r="K311" s="61"/>
      <c r="L311" s="61"/>
      <c r="M311" s="61"/>
      <c r="N311" s="61"/>
      <c r="O311" s="61"/>
      <c r="P311" s="61"/>
      <c r="Q311" s="61"/>
      <c r="R311" s="61"/>
    </row>
    <row r="312" spans="1:18" ht="44">
      <c r="A312" s="52"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105-7-1</v>
      </c>
      <c r="B312" s="129"/>
      <c r="C312" s="129"/>
      <c r="D312" s="128"/>
      <c r="E312" s="129"/>
      <c r="F312" s="112" t="s">
        <v>524</v>
      </c>
      <c r="G312" s="58" t="s">
        <v>183</v>
      </c>
      <c r="H312" s="61"/>
      <c r="I312" s="61"/>
      <c r="J312" s="61"/>
      <c r="K312" s="61"/>
      <c r="L312" s="61"/>
      <c r="M312" s="61"/>
      <c r="N312" s="61"/>
      <c r="O312" s="61"/>
      <c r="P312" s="61"/>
      <c r="Q312" s="61"/>
      <c r="R312" s="61"/>
    </row>
    <row r="313" spans="1:18" ht="22">
      <c r="A313" s="52"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105-8-1</v>
      </c>
      <c r="B313" s="129"/>
      <c r="C313" s="129"/>
      <c r="D313" s="128"/>
      <c r="E313" s="129"/>
      <c r="F313" s="112" t="s">
        <v>525</v>
      </c>
      <c r="G313" s="58" t="s">
        <v>183</v>
      </c>
      <c r="H313" s="61"/>
      <c r="I313" s="61"/>
      <c r="J313" s="61"/>
      <c r="K313" s="61"/>
      <c r="L313" s="61"/>
      <c r="M313" s="61"/>
      <c r="N313" s="61"/>
      <c r="O313" s="61"/>
      <c r="P313" s="61"/>
      <c r="Q313" s="61"/>
      <c r="R313" s="61"/>
    </row>
    <row r="314" spans="1:18" ht="33">
      <c r="A314" s="52"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105-9-1</v>
      </c>
      <c r="B314" s="129"/>
      <c r="C314" s="128"/>
      <c r="D314" s="128"/>
      <c r="E314" s="128"/>
      <c r="F314" s="112" t="s">
        <v>526</v>
      </c>
      <c r="G314" s="58" t="s">
        <v>501</v>
      </c>
      <c r="H314" s="61"/>
      <c r="I314" s="61"/>
      <c r="J314" s="61"/>
      <c r="K314" s="61"/>
      <c r="L314" s="61"/>
      <c r="M314" s="61"/>
      <c r="N314" s="61"/>
      <c r="O314" s="61"/>
      <c r="P314" s="61"/>
      <c r="Q314" s="61"/>
      <c r="R314" s="61"/>
    </row>
    <row r="315" spans="1:18" ht="33">
      <c r="A315" s="52"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105-10-1</v>
      </c>
      <c r="B315" s="129"/>
      <c r="C315" s="128"/>
      <c r="D315" s="128"/>
      <c r="E315" s="128"/>
      <c r="F315" s="112" t="s">
        <v>527</v>
      </c>
      <c r="G315" s="58" t="s">
        <v>183</v>
      </c>
      <c r="H315" s="61"/>
      <c r="I315" s="61"/>
      <c r="J315" s="61"/>
      <c r="K315" s="61"/>
      <c r="L315" s="61"/>
      <c r="M315" s="61"/>
      <c r="N315" s="61"/>
      <c r="O315" s="61"/>
      <c r="P315" s="61"/>
      <c r="Q315" s="61"/>
      <c r="R315" s="61"/>
    </row>
    <row r="316" spans="1:18" ht="22">
      <c r="A316" s="52"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105-11-1</v>
      </c>
      <c r="B316" s="130"/>
      <c r="C316" s="131"/>
      <c r="D316" s="131"/>
      <c r="E316" s="131"/>
      <c r="F316" s="112" t="s">
        <v>528</v>
      </c>
      <c r="G316" s="58" t="s">
        <v>183</v>
      </c>
      <c r="H316" s="61"/>
      <c r="I316" s="61"/>
      <c r="J316" s="61"/>
      <c r="K316" s="61"/>
      <c r="L316" s="61"/>
      <c r="M316" s="61"/>
      <c r="N316" s="61"/>
      <c r="O316" s="61"/>
      <c r="P316" s="61"/>
      <c r="Q316" s="61"/>
      <c r="R316" s="61"/>
    </row>
  </sheetData>
  <autoFilter ref="A10:R316" xr:uid="{00000000-0001-0000-0300-000000000000}"/>
  <mergeCells count="2">
    <mergeCell ref="B112:B113"/>
    <mergeCell ref="B132:B133"/>
  </mergeCells>
  <phoneticPr fontId="2"/>
  <dataValidations disablePrompts="1" count="1">
    <dataValidation type="list" allowBlank="1" showInputMessage="1" showErrorMessage="1" sqref="Q11:Q296 P11:P316" xr:uid="{23974ECC-CB99-4289-9A10-E6733C2ADE50}">
      <formula1>"OK,NG"</formula1>
    </dataValidation>
  </dataValidations>
  <printOptions horizontalCentered="1"/>
  <pageMargins left="0.39370078740157483" right="0.39370078740157483" top="0.39370078740157483" bottom="0.39370078740157483" header="0.19685039370078741" footer="0.19685039370078741"/>
  <pageSetup paperSize="9" scale="48" fitToHeight="0" orientation="landscape" verticalDpi="300" r:id="rId1"/>
  <headerFooter alignWithMargins="0">
    <oddFooter>&amp;C&amp;"MS　明朝,標準"&amp;9- &amp;P -</oddFooter>
  </headerFooter>
  <rowBreaks count="9" manualBreakCount="9">
    <brk id="41" max="17" man="1"/>
    <brk id="84" max="17" man="1"/>
    <brk id="126" max="17" man="1"/>
    <brk id="161" max="17" man="1"/>
    <brk id="182" max="17" man="1"/>
    <brk id="209" max="17" man="1"/>
    <brk id="243" max="17" man="1"/>
    <brk id="270" max="17" man="1"/>
    <brk id="296" max="16383" man="1"/>
  </rowBreaks>
  <colBreaks count="1" manualBreakCount="1">
    <brk id="1" max="31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D869D-635A-4847-B34C-431C962490AB}">
  <sheetPr>
    <pageSetUpPr fitToPage="1"/>
  </sheetPr>
  <dimension ref="A1:P551"/>
  <sheetViews>
    <sheetView showGridLines="0" view="pageBreakPreview" zoomScaleNormal="100" zoomScaleSheetLayoutView="100" workbookViewId="0"/>
  </sheetViews>
  <sheetFormatPr defaultColWidth="9" defaultRowHeight="11" outlineLevelCol="1"/>
  <cols>
    <col min="1" max="1" width="8.58203125" style="28" customWidth="1"/>
    <col min="2" max="2" width="10.58203125" style="28" customWidth="1"/>
    <col min="3" max="3" width="12.25" style="28" bestFit="1" customWidth="1"/>
    <col min="4" max="4" width="15.58203125" style="29" customWidth="1"/>
    <col min="5" max="5" width="15.5" style="28" bestFit="1" customWidth="1"/>
    <col min="6" max="6" width="13.83203125" style="28" bestFit="1" customWidth="1"/>
    <col min="7" max="7" width="28.08203125" style="107" customWidth="1" outlineLevel="1"/>
    <col min="8" max="9" width="30.58203125" style="28" customWidth="1"/>
    <col min="10" max="10" width="20.58203125" style="28" customWidth="1"/>
    <col min="11" max="14" width="8.58203125" style="28" customWidth="1"/>
    <col min="15" max="16384" width="9" style="28"/>
  </cols>
  <sheetData>
    <row r="1" spans="1:16">
      <c r="A1" s="28" t="s">
        <v>52</v>
      </c>
    </row>
    <row r="2" spans="1:16">
      <c r="A2" s="28" t="s">
        <v>17</v>
      </c>
    </row>
    <row r="4" spans="1:16">
      <c r="A4" s="28" t="s">
        <v>63</v>
      </c>
    </row>
    <row r="5" spans="1:16">
      <c r="A5" s="28" t="s">
        <v>55</v>
      </c>
      <c r="M5" s="28" t="s">
        <v>20</v>
      </c>
      <c r="O5" s="28" t="s">
        <v>22</v>
      </c>
    </row>
    <row r="6" spans="1:16">
      <c r="A6" s="28" t="s">
        <v>56</v>
      </c>
      <c r="M6" s="28" t="s">
        <v>21</v>
      </c>
      <c r="O6" s="28" t="s">
        <v>23</v>
      </c>
    </row>
    <row r="8" spans="1:16" ht="11.5" thickBot="1">
      <c r="A8" s="30"/>
      <c r="B8" s="30"/>
      <c r="C8" s="30"/>
      <c r="D8" s="31"/>
      <c r="E8" s="30"/>
      <c r="F8" s="30"/>
      <c r="G8" s="108"/>
      <c r="H8" s="30"/>
      <c r="I8" s="30"/>
      <c r="J8" s="30"/>
      <c r="K8" s="30"/>
      <c r="L8" s="30"/>
      <c r="M8" s="30"/>
      <c r="N8" s="30"/>
      <c r="O8" s="30"/>
      <c r="P8" s="30"/>
    </row>
    <row r="9" spans="1:16" ht="12" customHeight="1" thickTop="1"/>
    <row r="10" spans="1:16" s="35" customFormat="1">
      <c r="A10" s="32" t="s">
        <v>62</v>
      </c>
      <c r="B10" s="32" t="s">
        <v>9</v>
      </c>
      <c r="C10" s="32" t="s">
        <v>10</v>
      </c>
      <c r="D10" s="32" t="s">
        <v>11</v>
      </c>
      <c r="E10" s="32" t="s">
        <v>12</v>
      </c>
      <c r="F10" s="32" t="s">
        <v>13</v>
      </c>
      <c r="G10" s="109" t="s">
        <v>77</v>
      </c>
      <c r="H10" s="33" t="s">
        <v>2</v>
      </c>
      <c r="I10" s="33" t="s">
        <v>3</v>
      </c>
      <c r="J10" s="33" t="s">
        <v>1</v>
      </c>
      <c r="K10" s="34" t="s">
        <v>14</v>
      </c>
      <c r="L10" s="33" t="s">
        <v>5</v>
      </c>
      <c r="M10" s="33" t="s">
        <v>16</v>
      </c>
      <c r="N10" s="33" t="s">
        <v>6</v>
      </c>
      <c r="O10" s="33" t="s">
        <v>7</v>
      </c>
      <c r="P10" s="33" t="s">
        <v>8</v>
      </c>
    </row>
    <row r="11" spans="1:16" s="35" customFormat="1" ht="33">
      <c r="A11" s="52" t="str" cm="1">
        <f t="array" aca="1" ref="A11" ca="1">_xlfn.LET(
_xlpm.確認観点1数, COUNTA($C$11:C11),
_xlpm.直近で確認観点1が空でないセルの行番号, MAX(INDEX((LEN($C$11:C11)&gt;0)*ROW($C$11:C11),0)),
_xlpm.確認観点2数, COUNTA(INDIRECT("D"&amp;_xlpm.直近で確認観点1が空でないセルの行番号):D11),
_xlpm.確認観点2数_空なら1,IF(_xlpm.確認観点2数=0,1,_xlpm.確認観点2数),
_xlpm.直近で確認観点2が空でないセルの行番号, MAX(INDEX((LEN($D$11:D11)&gt;0)*ROW($D$11:D11),0),_xlpm.直近で確認観点1が空でないセルの行番号),
_xlpm.テスト内容数, COUNTA(INDIRECT("H"&amp;_xlpm.直近で確認観点2が空でないセルの行番号):H11),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1-1-1</v>
      </c>
      <c r="B11" s="138" t="s">
        <v>26</v>
      </c>
      <c r="C11" s="138" t="s">
        <v>502</v>
      </c>
      <c r="D11" s="138" t="s">
        <v>18</v>
      </c>
      <c r="E11" s="138" t="s">
        <v>0</v>
      </c>
      <c r="F11" s="138" t="s">
        <v>503</v>
      </c>
      <c r="G11" s="136"/>
      <c r="H11" s="43" t="s">
        <v>506</v>
      </c>
      <c r="I11" s="37" t="s">
        <v>35</v>
      </c>
      <c r="J11" s="139" t="s">
        <v>504</v>
      </c>
      <c r="K11" s="140">
        <v>1</v>
      </c>
      <c r="L11" s="140"/>
      <c r="M11" s="140"/>
      <c r="N11" s="140"/>
      <c r="O11" s="140"/>
      <c r="P11" s="140"/>
    </row>
    <row r="12" spans="1:16" s="35" customFormat="1" ht="44">
      <c r="A12" s="52" t="str" cm="1">
        <f t="array" aca="1" ref="A12" ca="1">_xlfn.LET(
_xlpm.確認観点1数, COUNTA($C$11:C12),
_xlpm.直近で確認観点1が空でないセルの行番号, MAX(INDEX((LEN($C$11:C12)&gt;0)*ROW($C$11:C12),0)),
_xlpm.確認観点2数, COUNTA(INDIRECT("D"&amp;_xlpm.直近で確認観点1が空でないセルの行番号):D12),
_xlpm.確認観点2数_空なら1,IF(_xlpm.確認観点2数=0,1,_xlpm.確認観点2数),
_xlpm.直近で確認観点2が空でないセルの行番号, MAX(INDEX((LEN($D$11:D12)&gt;0)*ROW($D$11:D12),0),_xlpm.直近で確認観点1が空でないセルの行番号),
_xlpm.テスト内容数, COUNTA(INDIRECT("H"&amp;_xlpm.直近で確認観点2が空でないセルの行番号):H12),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1-2-1</v>
      </c>
      <c r="B12" s="141"/>
      <c r="C12" s="141"/>
      <c r="D12" s="126" t="s">
        <v>24</v>
      </c>
      <c r="E12" s="138" t="s">
        <v>0</v>
      </c>
      <c r="F12" s="138" t="s">
        <v>19</v>
      </c>
      <c r="G12" s="136"/>
      <c r="H12" s="43" t="s">
        <v>36</v>
      </c>
      <c r="I12" s="37" t="s">
        <v>530</v>
      </c>
      <c r="J12" s="139" t="s">
        <v>505</v>
      </c>
      <c r="K12" s="140">
        <v>1</v>
      </c>
      <c r="L12" s="140"/>
      <c r="M12" s="140"/>
      <c r="N12" s="140"/>
      <c r="O12" s="140"/>
      <c r="P12" s="140"/>
    </row>
    <row r="13" spans="1:16" s="35" customFormat="1" ht="55">
      <c r="A13" s="52" t="str" cm="1">
        <f t="array" aca="1" ref="A13" ca="1">_xlfn.LET(
_xlpm.確認観点1数, COUNTA($C$11:C13),
_xlpm.直近で確認観点1が空でないセルの行番号, MAX(INDEX((LEN($C$11:C13)&gt;0)*ROW($C$11:C13),0)),
_xlpm.確認観点2数, COUNTA(INDIRECT("D"&amp;_xlpm.直近で確認観点1が空でないセルの行番号):D13),
_xlpm.確認観点2数_空なら1,IF(_xlpm.確認観点2数=0,1,_xlpm.確認観点2数),
_xlpm.直近で確認観点2が空でないセルの行番号, MAX(INDEX((LEN($D$11:D13)&gt;0)*ROW($D$11:D13),0),_xlpm.直近で確認観点1が空でないセルの行番号),
_xlpm.テスト内容数, COUNTA(INDIRECT("H"&amp;_xlpm.直近で確認観点2が空でないセルの行番号):H13),
_xlpm.テスト内容数_空なら1, IF(OR(_xlpm.テスト内容数=0,_xlpm.直近で確認観点1が空でないセルの行番号&gt;_xlpm.直近で確認観点2が空でないセルの行番号),1,_xlpm.テスト内容数),
_xlpm.確認観点1数&amp;"-"&amp;_xlpm.確認観点2数_空なら1&amp;"-"&amp;_xlpm.テスト内容数_空なら1
)</f>
        <v>1-2-2</v>
      </c>
      <c r="B13" s="142"/>
      <c r="C13" s="142"/>
      <c r="D13" s="130"/>
      <c r="E13" s="142"/>
      <c r="F13" s="142"/>
      <c r="G13" s="137"/>
      <c r="H13" s="43" t="s">
        <v>37</v>
      </c>
      <c r="I13" s="37" t="s">
        <v>531</v>
      </c>
      <c r="J13" s="140" t="s">
        <v>505</v>
      </c>
      <c r="K13" s="140">
        <v>2</v>
      </c>
      <c r="L13" s="140"/>
      <c r="M13" s="140"/>
      <c r="N13" s="140"/>
      <c r="O13" s="140"/>
      <c r="P13" s="140"/>
    </row>
    <row r="14" spans="1:16" s="35" customFormat="1">
      <c r="D14" s="44"/>
    </row>
    <row r="15" spans="1:16" s="35" customFormat="1">
      <c r="D15" s="44"/>
    </row>
    <row r="16" spans="1:16" s="35" customFormat="1">
      <c r="D16" s="44"/>
    </row>
    <row r="17" spans="4:7" s="35" customFormat="1">
      <c r="D17" s="44"/>
    </row>
    <row r="18" spans="4:7" s="35" customFormat="1">
      <c r="D18" s="44"/>
    </row>
    <row r="19" spans="4:7" s="35" customFormat="1">
      <c r="D19" s="44"/>
    </row>
    <row r="20" spans="4:7" s="35" customFormat="1">
      <c r="D20" s="44"/>
    </row>
    <row r="21" spans="4:7" s="35" customFormat="1">
      <c r="D21" s="44"/>
    </row>
    <row r="22" spans="4:7" s="35" customFormat="1">
      <c r="D22" s="44"/>
    </row>
    <row r="23" spans="4:7" s="35" customFormat="1">
      <c r="D23" s="44"/>
    </row>
    <row r="24" spans="4:7" s="35" customFormat="1">
      <c r="D24" s="44"/>
    </row>
    <row r="25" spans="4:7" s="35" customFormat="1">
      <c r="D25" s="44"/>
    </row>
    <row r="26" spans="4:7" s="35" customFormat="1">
      <c r="D26" s="44"/>
    </row>
    <row r="27" spans="4:7" s="35" customFormat="1">
      <c r="D27" s="44"/>
      <c r="G27" s="44"/>
    </row>
    <row r="28" spans="4:7" s="35" customFormat="1">
      <c r="D28" s="44"/>
      <c r="G28" s="44"/>
    </row>
    <row r="29" spans="4:7" s="35" customFormat="1">
      <c r="D29" s="44"/>
      <c r="G29" s="44"/>
    </row>
    <row r="30" spans="4:7" s="35" customFormat="1">
      <c r="D30" s="44"/>
      <c r="G30" s="44"/>
    </row>
    <row r="31" spans="4:7" s="35" customFormat="1">
      <c r="D31" s="44"/>
      <c r="G31" s="44"/>
    </row>
    <row r="32" spans="4:7" s="35" customFormat="1">
      <c r="D32" s="44"/>
      <c r="G32" s="44"/>
    </row>
    <row r="33" spans="4:7" s="35" customFormat="1">
      <c r="D33" s="44"/>
      <c r="G33" s="44"/>
    </row>
    <row r="34" spans="4:7" s="35" customFormat="1">
      <c r="D34" s="44"/>
      <c r="G34" s="44"/>
    </row>
    <row r="35" spans="4:7" s="35" customFormat="1">
      <c r="D35" s="44"/>
      <c r="G35" s="44"/>
    </row>
    <row r="36" spans="4:7" s="35" customFormat="1">
      <c r="D36" s="44"/>
      <c r="G36" s="44"/>
    </row>
    <row r="37" spans="4:7" s="35" customFormat="1">
      <c r="D37" s="44"/>
      <c r="G37" s="44"/>
    </row>
    <row r="38" spans="4:7" s="35" customFormat="1">
      <c r="D38" s="44"/>
      <c r="G38" s="44"/>
    </row>
    <row r="39" spans="4:7" s="35" customFormat="1">
      <c r="D39" s="44"/>
      <c r="G39" s="44"/>
    </row>
    <row r="40" spans="4:7" s="35" customFormat="1">
      <c r="D40" s="44"/>
      <c r="G40" s="44"/>
    </row>
    <row r="41" spans="4:7" s="35" customFormat="1">
      <c r="D41" s="44"/>
      <c r="G41" s="44"/>
    </row>
    <row r="42" spans="4:7">
      <c r="G42" s="44"/>
    </row>
    <row r="43" spans="4:7">
      <c r="G43" s="44"/>
    </row>
    <row r="44" spans="4:7">
      <c r="G44" s="44"/>
    </row>
    <row r="45" spans="4:7">
      <c r="G45" s="44"/>
    </row>
    <row r="46" spans="4:7">
      <c r="G46" s="44"/>
    </row>
    <row r="47" spans="4:7">
      <c r="G47" s="44"/>
    </row>
    <row r="48" spans="4:7">
      <c r="G48" s="44"/>
    </row>
    <row r="49" spans="7:7">
      <c r="G49" s="44"/>
    </row>
    <row r="50" spans="7:7">
      <c r="G50" s="44"/>
    </row>
    <row r="51" spans="7:7">
      <c r="G51" s="44"/>
    </row>
    <row r="52" spans="7:7">
      <c r="G52" s="44"/>
    </row>
    <row r="53" spans="7:7">
      <c r="G53" s="44"/>
    </row>
    <row r="54" spans="7:7">
      <c r="G54" s="44"/>
    </row>
    <row r="55" spans="7:7">
      <c r="G55" s="44"/>
    </row>
    <row r="56" spans="7:7">
      <c r="G56" s="44"/>
    </row>
    <row r="57" spans="7:7">
      <c r="G57" s="44"/>
    </row>
    <row r="58" spans="7:7">
      <c r="G58" s="44"/>
    </row>
    <row r="59" spans="7:7">
      <c r="G59" s="44"/>
    </row>
    <row r="60" spans="7:7">
      <c r="G60" s="44"/>
    </row>
    <row r="61" spans="7:7">
      <c r="G61" s="44"/>
    </row>
    <row r="62" spans="7:7">
      <c r="G62" s="44"/>
    </row>
    <row r="63" spans="7:7">
      <c r="G63" s="44"/>
    </row>
    <row r="64" spans="7:7">
      <c r="G64" s="44"/>
    </row>
    <row r="65" spans="7:7">
      <c r="G65" s="44"/>
    </row>
    <row r="66" spans="7:7">
      <c r="G66" s="44"/>
    </row>
    <row r="67" spans="7:7">
      <c r="G67" s="44"/>
    </row>
    <row r="68" spans="7:7">
      <c r="G68" s="44"/>
    </row>
    <row r="69" spans="7:7">
      <c r="G69" s="44"/>
    </row>
    <row r="70" spans="7:7">
      <c r="G70" s="44"/>
    </row>
    <row r="71" spans="7:7">
      <c r="G71" s="44"/>
    </row>
    <row r="72" spans="7:7">
      <c r="G72" s="44"/>
    </row>
    <row r="73" spans="7:7">
      <c r="G73" s="44"/>
    </row>
    <row r="74" spans="7:7">
      <c r="G74" s="44"/>
    </row>
    <row r="75" spans="7:7">
      <c r="G75" s="44"/>
    </row>
    <row r="76" spans="7:7">
      <c r="G76" s="44"/>
    </row>
    <row r="77" spans="7:7">
      <c r="G77" s="44"/>
    </row>
    <row r="78" spans="7:7">
      <c r="G78" s="44"/>
    </row>
    <row r="79" spans="7:7">
      <c r="G79" s="44"/>
    </row>
    <row r="80" spans="7:7">
      <c r="G80" s="44"/>
    </row>
    <row r="81" spans="7:7">
      <c r="G81" s="44"/>
    </row>
    <row r="82" spans="7:7">
      <c r="G82" s="44"/>
    </row>
    <row r="83" spans="7:7">
      <c r="G83" s="44"/>
    </row>
    <row r="84" spans="7:7">
      <c r="G84" s="44"/>
    </row>
    <row r="85" spans="7:7">
      <c r="G85" s="44"/>
    </row>
    <row r="86" spans="7:7">
      <c r="G86" s="44"/>
    </row>
    <row r="87" spans="7:7">
      <c r="G87" s="44"/>
    </row>
    <row r="88" spans="7:7">
      <c r="G88" s="44"/>
    </row>
    <row r="89" spans="7:7">
      <c r="G89" s="44"/>
    </row>
    <row r="90" spans="7:7">
      <c r="G90" s="44"/>
    </row>
    <row r="91" spans="7:7">
      <c r="G91" s="44"/>
    </row>
    <row r="92" spans="7:7">
      <c r="G92" s="44"/>
    </row>
    <row r="93" spans="7:7">
      <c r="G93" s="44"/>
    </row>
    <row r="94" spans="7:7">
      <c r="G94" s="44"/>
    </row>
    <row r="95" spans="7:7">
      <c r="G95" s="44"/>
    </row>
    <row r="96" spans="7:7">
      <c r="G96" s="44"/>
    </row>
    <row r="97" spans="7:7">
      <c r="G97" s="44"/>
    </row>
    <row r="98" spans="7:7">
      <c r="G98" s="44"/>
    </row>
    <row r="99" spans="7:7">
      <c r="G99" s="44"/>
    </row>
    <row r="100" spans="7:7">
      <c r="G100" s="44"/>
    </row>
    <row r="101" spans="7:7">
      <c r="G101" s="44"/>
    </row>
    <row r="102" spans="7:7">
      <c r="G102" s="44"/>
    </row>
    <row r="103" spans="7:7">
      <c r="G103" s="44"/>
    </row>
    <row r="104" spans="7:7">
      <c r="G104" s="44"/>
    </row>
    <row r="105" spans="7:7">
      <c r="G105" s="44"/>
    </row>
    <row r="106" spans="7:7">
      <c r="G106" s="44"/>
    </row>
    <row r="107" spans="7:7">
      <c r="G107" s="44"/>
    </row>
    <row r="108" spans="7:7">
      <c r="G108" s="44"/>
    </row>
    <row r="109" spans="7:7">
      <c r="G109" s="44"/>
    </row>
    <row r="110" spans="7:7">
      <c r="G110" s="44"/>
    </row>
    <row r="111" spans="7:7">
      <c r="G111" s="44"/>
    </row>
    <row r="112" spans="7:7">
      <c r="G112" s="44"/>
    </row>
    <row r="113" spans="7:7">
      <c r="G113" s="44"/>
    </row>
    <row r="114" spans="7:7">
      <c r="G114" s="44"/>
    </row>
    <row r="115" spans="7:7">
      <c r="G115" s="44"/>
    </row>
    <row r="116" spans="7:7">
      <c r="G116" s="44"/>
    </row>
    <row r="117" spans="7:7">
      <c r="G117" s="44"/>
    </row>
    <row r="118" spans="7:7">
      <c r="G118" s="44"/>
    </row>
    <row r="119" spans="7:7">
      <c r="G119" s="44"/>
    </row>
    <row r="120" spans="7:7">
      <c r="G120" s="44"/>
    </row>
    <row r="121" spans="7:7">
      <c r="G121" s="44"/>
    </row>
    <row r="122" spans="7:7">
      <c r="G122" s="44"/>
    </row>
    <row r="123" spans="7:7">
      <c r="G123" s="44"/>
    </row>
    <row r="124" spans="7:7">
      <c r="G124" s="44"/>
    </row>
    <row r="125" spans="7:7">
      <c r="G125" s="44"/>
    </row>
    <row r="126" spans="7:7">
      <c r="G126" s="44"/>
    </row>
    <row r="127" spans="7:7">
      <c r="G127" s="44"/>
    </row>
    <row r="128" spans="7:7">
      <c r="G128" s="44"/>
    </row>
    <row r="129" spans="7:7">
      <c r="G129" s="44"/>
    </row>
    <row r="130" spans="7:7">
      <c r="G130" s="44"/>
    </row>
    <row r="131" spans="7:7">
      <c r="G131" s="44"/>
    </row>
    <row r="132" spans="7:7">
      <c r="G132" s="44"/>
    </row>
    <row r="133" spans="7:7">
      <c r="G133" s="44"/>
    </row>
    <row r="134" spans="7:7">
      <c r="G134" s="44"/>
    </row>
    <row r="135" spans="7:7">
      <c r="G135" s="44"/>
    </row>
    <row r="136" spans="7:7">
      <c r="G136" s="44"/>
    </row>
    <row r="137" spans="7:7">
      <c r="G137" s="44"/>
    </row>
    <row r="138" spans="7:7">
      <c r="G138" s="44"/>
    </row>
    <row r="139" spans="7:7">
      <c r="G139" s="44"/>
    </row>
    <row r="140" spans="7:7">
      <c r="G140" s="44"/>
    </row>
    <row r="141" spans="7:7">
      <c r="G141" s="44"/>
    </row>
    <row r="142" spans="7:7">
      <c r="G142" s="44"/>
    </row>
    <row r="143" spans="7:7">
      <c r="G143" s="44"/>
    </row>
    <row r="144" spans="7:7">
      <c r="G144" s="44"/>
    </row>
    <row r="145" spans="7:7">
      <c r="G145" s="44"/>
    </row>
    <row r="146" spans="7:7">
      <c r="G146" s="44"/>
    </row>
    <row r="147" spans="7:7">
      <c r="G147" s="44"/>
    </row>
    <row r="148" spans="7:7">
      <c r="G148" s="44"/>
    </row>
    <row r="149" spans="7:7">
      <c r="G149" s="44"/>
    </row>
    <row r="150" spans="7:7">
      <c r="G150" s="44"/>
    </row>
    <row r="151" spans="7:7">
      <c r="G151" s="44"/>
    </row>
    <row r="152" spans="7:7">
      <c r="G152" s="44"/>
    </row>
    <row r="153" spans="7:7">
      <c r="G153" s="44"/>
    </row>
    <row r="154" spans="7:7">
      <c r="G154" s="44"/>
    </row>
    <row r="155" spans="7:7">
      <c r="G155" s="44"/>
    </row>
    <row r="156" spans="7:7">
      <c r="G156" s="44"/>
    </row>
    <row r="157" spans="7:7">
      <c r="G157" s="44"/>
    </row>
    <row r="158" spans="7:7">
      <c r="G158" s="44"/>
    </row>
    <row r="159" spans="7:7">
      <c r="G159" s="44"/>
    </row>
    <row r="160" spans="7:7">
      <c r="G160" s="44"/>
    </row>
    <row r="161" spans="7:7">
      <c r="G161" s="44"/>
    </row>
    <row r="162" spans="7:7">
      <c r="G162" s="44"/>
    </row>
    <row r="163" spans="7:7">
      <c r="G163" s="44"/>
    </row>
    <row r="164" spans="7:7">
      <c r="G164" s="44"/>
    </row>
    <row r="165" spans="7:7">
      <c r="G165" s="44"/>
    </row>
    <row r="166" spans="7:7">
      <c r="G166" s="44"/>
    </row>
    <row r="167" spans="7:7">
      <c r="G167" s="44"/>
    </row>
    <row r="168" spans="7:7">
      <c r="G168" s="44"/>
    </row>
    <row r="169" spans="7:7">
      <c r="G169" s="44"/>
    </row>
    <row r="170" spans="7:7">
      <c r="G170" s="44"/>
    </row>
    <row r="171" spans="7:7">
      <c r="G171" s="44"/>
    </row>
    <row r="172" spans="7:7">
      <c r="G172" s="44"/>
    </row>
    <row r="173" spans="7:7">
      <c r="G173" s="44"/>
    </row>
    <row r="174" spans="7:7">
      <c r="G174" s="44"/>
    </row>
    <row r="175" spans="7:7">
      <c r="G175" s="44"/>
    </row>
    <row r="176" spans="7:7">
      <c r="G176" s="44"/>
    </row>
    <row r="177" spans="7:7">
      <c r="G177" s="44"/>
    </row>
    <row r="178" spans="7:7">
      <c r="G178" s="44"/>
    </row>
    <row r="179" spans="7:7">
      <c r="G179" s="44"/>
    </row>
    <row r="180" spans="7:7">
      <c r="G180" s="44"/>
    </row>
    <row r="181" spans="7:7">
      <c r="G181" s="44"/>
    </row>
    <row r="182" spans="7:7">
      <c r="G182" s="44"/>
    </row>
    <row r="183" spans="7:7">
      <c r="G183" s="44"/>
    </row>
    <row r="184" spans="7:7">
      <c r="G184" s="44"/>
    </row>
    <row r="185" spans="7:7">
      <c r="G185" s="44"/>
    </row>
    <row r="186" spans="7:7">
      <c r="G186" s="44"/>
    </row>
    <row r="187" spans="7:7">
      <c r="G187" s="44"/>
    </row>
    <row r="188" spans="7:7">
      <c r="G188" s="44"/>
    </row>
    <row r="189" spans="7:7">
      <c r="G189" s="44"/>
    </row>
    <row r="190" spans="7:7">
      <c r="G190" s="44"/>
    </row>
    <row r="191" spans="7:7">
      <c r="G191" s="44"/>
    </row>
    <row r="192" spans="7:7">
      <c r="G192" s="44"/>
    </row>
    <row r="193" spans="7:7">
      <c r="G193" s="44"/>
    </row>
    <row r="194" spans="7:7">
      <c r="G194" s="44"/>
    </row>
    <row r="195" spans="7:7">
      <c r="G195" s="44"/>
    </row>
    <row r="196" spans="7:7">
      <c r="G196" s="44"/>
    </row>
    <row r="197" spans="7:7">
      <c r="G197" s="44"/>
    </row>
    <row r="198" spans="7:7">
      <c r="G198" s="44"/>
    </row>
    <row r="199" spans="7:7">
      <c r="G199" s="44"/>
    </row>
    <row r="200" spans="7:7">
      <c r="G200" s="44"/>
    </row>
    <row r="201" spans="7:7">
      <c r="G201" s="44"/>
    </row>
    <row r="202" spans="7:7">
      <c r="G202" s="44"/>
    </row>
    <row r="203" spans="7:7">
      <c r="G203" s="44"/>
    </row>
    <row r="204" spans="7:7">
      <c r="G204" s="44"/>
    </row>
    <row r="205" spans="7:7">
      <c r="G205" s="44"/>
    </row>
    <row r="206" spans="7:7">
      <c r="G206" s="44"/>
    </row>
    <row r="207" spans="7:7">
      <c r="G207" s="44"/>
    </row>
    <row r="208" spans="7:7">
      <c r="G208" s="44"/>
    </row>
    <row r="209" spans="7:7">
      <c r="G209" s="44"/>
    </row>
    <row r="210" spans="7:7">
      <c r="G210" s="44"/>
    </row>
    <row r="211" spans="7:7">
      <c r="G211" s="44"/>
    </row>
    <row r="212" spans="7:7">
      <c r="G212" s="44"/>
    </row>
    <row r="213" spans="7:7">
      <c r="G213" s="44"/>
    </row>
    <row r="214" spans="7:7">
      <c r="G214" s="44"/>
    </row>
    <row r="215" spans="7:7">
      <c r="G215" s="44"/>
    </row>
    <row r="216" spans="7:7">
      <c r="G216" s="44"/>
    </row>
    <row r="217" spans="7:7">
      <c r="G217" s="44"/>
    </row>
    <row r="218" spans="7:7">
      <c r="G218" s="44"/>
    </row>
    <row r="219" spans="7:7">
      <c r="G219" s="44"/>
    </row>
    <row r="220" spans="7:7">
      <c r="G220" s="44"/>
    </row>
    <row r="221" spans="7:7">
      <c r="G221" s="44"/>
    </row>
    <row r="222" spans="7:7">
      <c r="G222" s="44"/>
    </row>
    <row r="223" spans="7:7">
      <c r="G223" s="44"/>
    </row>
    <row r="224" spans="7:7">
      <c r="G224" s="44"/>
    </row>
    <row r="225" spans="7:7">
      <c r="G225" s="44"/>
    </row>
    <row r="226" spans="7:7">
      <c r="G226" s="44"/>
    </row>
    <row r="227" spans="7:7">
      <c r="G227" s="44"/>
    </row>
    <row r="228" spans="7:7">
      <c r="G228" s="44"/>
    </row>
    <row r="229" spans="7:7">
      <c r="G229" s="44"/>
    </row>
    <row r="230" spans="7:7">
      <c r="G230" s="44"/>
    </row>
    <row r="231" spans="7:7">
      <c r="G231" s="44"/>
    </row>
    <row r="232" spans="7:7">
      <c r="G232" s="44"/>
    </row>
    <row r="233" spans="7:7">
      <c r="G233" s="44"/>
    </row>
    <row r="234" spans="7:7">
      <c r="G234" s="44"/>
    </row>
    <row r="235" spans="7:7">
      <c r="G235" s="44"/>
    </row>
    <row r="236" spans="7:7">
      <c r="G236" s="44"/>
    </row>
    <row r="237" spans="7:7">
      <c r="G237" s="44"/>
    </row>
    <row r="238" spans="7:7">
      <c r="G238" s="44"/>
    </row>
    <row r="239" spans="7:7">
      <c r="G239" s="44"/>
    </row>
    <row r="240" spans="7:7">
      <c r="G240" s="44"/>
    </row>
    <row r="241" spans="7:7">
      <c r="G241" s="44"/>
    </row>
    <row r="242" spans="7:7">
      <c r="G242" s="44"/>
    </row>
    <row r="243" spans="7:7">
      <c r="G243" s="44"/>
    </row>
    <row r="244" spans="7:7">
      <c r="G244" s="44"/>
    </row>
    <row r="245" spans="7:7">
      <c r="G245" s="44"/>
    </row>
    <row r="246" spans="7:7">
      <c r="G246" s="44"/>
    </row>
    <row r="247" spans="7:7">
      <c r="G247" s="44"/>
    </row>
    <row r="248" spans="7:7">
      <c r="G248" s="44"/>
    </row>
    <row r="249" spans="7:7">
      <c r="G249" s="44"/>
    </row>
    <row r="250" spans="7:7">
      <c r="G250" s="44"/>
    </row>
    <row r="251" spans="7:7">
      <c r="G251" s="44"/>
    </row>
    <row r="252" spans="7:7">
      <c r="G252" s="44"/>
    </row>
    <row r="253" spans="7:7">
      <c r="G253" s="44"/>
    </row>
    <row r="254" spans="7:7">
      <c r="G254" s="44"/>
    </row>
    <row r="255" spans="7:7">
      <c r="G255" s="44"/>
    </row>
    <row r="256" spans="7:7">
      <c r="G256" s="44"/>
    </row>
    <row r="257" spans="7:7">
      <c r="G257" s="44"/>
    </row>
    <row r="258" spans="7:7">
      <c r="G258" s="44"/>
    </row>
    <row r="259" spans="7:7">
      <c r="G259" s="44"/>
    </row>
    <row r="260" spans="7:7">
      <c r="G260" s="44"/>
    </row>
    <row r="261" spans="7:7">
      <c r="G261" s="44"/>
    </row>
    <row r="262" spans="7:7">
      <c r="G262" s="44"/>
    </row>
    <row r="263" spans="7:7">
      <c r="G263" s="44"/>
    </row>
    <row r="264" spans="7:7">
      <c r="G264" s="44"/>
    </row>
    <row r="265" spans="7:7">
      <c r="G265" s="44"/>
    </row>
    <row r="266" spans="7:7">
      <c r="G266" s="44"/>
    </row>
    <row r="267" spans="7:7">
      <c r="G267" s="44"/>
    </row>
    <row r="268" spans="7:7">
      <c r="G268" s="44"/>
    </row>
    <row r="269" spans="7:7">
      <c r="G269" s="44"/>
    </row>
    <row r="270" spans="7:7">
      <c r="G270" s="44"/>
    </row>
    <row r="271" spans="7:7">
      <c r="G271" s="44"/>
    </row>
    <row r="272" spans="7:7">
      <c r="G272" s="44"/>
    </row>
    <row r="273" spans="7:7">
      <c r="G273" s="44"/>
    </row>
    <row r="274" spans="7:7">
      <c r="G274" s="44"/>
    </row>
    <row r="275" spans="7:7">
      <c r="G275" s="44"/>
    </row>
    <row r="276" spans="7:7">
      <c r="G276" s="44"/>
    </row>
    <row r="277" spans="7:7">
      <c r="G277" s="44"/>
    </row>
    <row r="278" spans="7:7">
      <c r="G278" s="44"/>
    </row>
    <row r="279" spans="7:7">
      <c r="G279" s="44"/>
    </row>
    <row r="280" spans="7:7">
      <c r="G280" s="44"/>
    </row>
    <row r="281" spans="7:7">
      <c r="G281" s="44"/>
    </row>
    <row r="282" spans="7:7">
      <c r="G282" s="44"/>
    </row>
    <row r="283" spans="7:7">
      <c r="G283" s="44"/>
    </row>
    <row r="284" spans="7:7">
      <c r="G284" s="44"/>
    </row>
    <row r="285" spans="7:7">
      <c r="G285" s="44"/>
    </row>
    <row r="286" spans="7:7">
      <c r="G286" s="44"/>
    </row>
    <row r="287" spans="7:7">
      <c r="G287" s="44"/>
    </row>
    <row r="288" spans="7:7">
      <c r="G288" s="44"/>
    </row>
    <row r="289" spans="7:7">
      <c r="G289" s="44"/>
    </row>
    <row r="290" spans="7:7">
      <c r="G290" s="44"/>
    </row>
    <row r="291" spans="7:7">
      <c r="G291" s="44"/>
    </row>
    <row r="292" spans="7:7">
      <c r="G292" s="44"/>
    </row>
    <row r="293" spans="7:7">
      <c r="G293" s="44"/>
    </row>
    <row r="294" spans="7:7">
      <c r="G294" s="44"/>
    </row>
    <row r="295" spans="7:7">
      <c r="G295" s="44"/>
    </row>
    <row r="296" spans="7:7">
      <c r="G296" s="44"/>
    </row>
    <row r="297" spans="7:7">
      <c r="G297" s="44"/>
    </row>
    <row r="298" spans="7:7">
      <c r="G298" s="44"/>
    </row>
    <row r="299" spans="7:7">
      <c r="G299" s="44"/>
    </row>
    <row r="300" spans="7:7">
      <c r="G300" s="44"/>
    </row>
    <row r="301" spans="7:7">
      <c r="G301" s="44"/>
    </row>
    <row r="302" spans="7:7">
      <c r="G302" s="44"/>
    </row>
    <row r="303" spans="7:7">
      <c r="G303" s="44"/>
    </row>
    <row r="304" spans="7:7">
      <c r="G304" s="44"/>
    </row>
    <row r="305" spans="7:7">
      <c r="G305" s="44"/>
    </row>
    <row r="306" spans="7:7">
      <c r="G306" s="44"/>
    </row>
    <row r="307" spans="7:7">
      <c r="G307" s="44"/>
    </row>
    <row r="308" spans="7:7">
      <c r="G308" s="44"/>
    </row>
    <row r="309" spans="7:7">
      <c r="G309" s="44"/>
    </row>
    <row r="310" spans="7:7">
      <c r="G310" s="44"/>
    </row>
    <row r="311" spans="7:7">
      <c r="G311" s="44"/>
    </row>
    <row r="312" spans="7:7">
      <c r="G312" s="44"/>
    </row>
    <row r="313" spans="7:7">
      <c r="G313" s="44"/>
    </row>
    <row r="314" spans="7:7">
      <c r="G314" s="44"/>
    </row>
    <row r="315" spans="7:7">
      <c r="G315" s="44"/>
    </row>
    <row r="316" spans="7:7">
      <c r="G316" s="44"/>
    </row>
    <row r="317" spans="7:7">
      <c r="G317" s="44"/>
    </row>
    <row r="318" spans="7:7">
      <c r="G318" s="44"/>
    </row>
    <row r="319" spans="7:7">
      <c r="G319" s="44"/>
    </row>
    <row r="320" spans="7:7">
      <c r="G320" s="44"/>
    </row>
    <row r="321" spans="7:7">
      <c r="G321" s="44"/>
    </row>
    <row r="322" spans="7:7">
      <c r="G322" s="44"/>
    </row>
    <row r="323" spans="7:7">
      <c r="G323" s="44"/>
    </row>
    <row r="324" spans="7:7">
      <c r="G324" s="44"/>
    </row>
    <row r="325" spans="7:7">
      <c r="G325" s="44"/>
    </row>
    <row r="326" spans="7:7">
      <c r="G326" s="44"/>
    </row>
    <row r="327" spans="7:7">
      <c r="G327" s="44"/>
    </row>
    <row r="328" spans="7:7">
      <c r="G328" s="44"/>
    </row>
    <row r="329" spans="7:7">
      <c r="G329" s="44"/>
    </row>
    <row r="330" spans="7:7">
      <c r="G330" s="44"/>
    </row>
    <row r="331" spans="7:7">
      <c r="G331" s="44"/>
    </row>
    <row r="332" spans="7:7">
      <c r="G332" s="44"/>
    </row>
    <row r="333" spans="7:7">
      <c r="G333" s="44"/>
    </row>
    <row r="334" spans="7:7">
      <c r="G334" s="44"/>
    </row>
    <row r="335" spans="7:7">
      <c r="G335" s="44"/>
    </row>
    <row r="336" spans="7:7">
      <c r="G336" s="44"/>
    </row>
    <row r="337" spans="7:7">
      <c r="G337" s="44"/>
    </row>
    <row r="338" spans="7:7">
      <c r="G338" s="44"/>
    </row>
    <row r="339" spans="7:7">
      <c r="G339" s="44"/>
    </row>
    <row r="340" spans="7:7">
      <c r="G340" s="44"/>
    </row>
    <row r="341" spans="7:7">
      <c r="G341" s="44"/>
    </row>
    <row r="342" spans="7:7">
      <c r="G342" s="44"/>
    </row>
    <row r="343" spans="7:7">
      <c r="G343" s="44"/>
    </row>
    <row r="344" spans="7:7">
      <c r="G344" s="44"/>
    </row>
    <row r="345" spans="7:7">
      <c r="G345" s="44"/>
    </row>
    <row r="346" spans="7:7">
      <c r="G346" s="44"/>
    </row>
    <row r="347" spans="7:7">
      <c r="G347" s="44"/>
    </row>
    <row r="348" spans="7:7">
      <c r="G348" s="44"/>
    </row>
    <row r="349" spans="7:7">
      <c r="G349" s="44"/>
    </row>
    <row r="350" spans="7:7">
      <c r="G350" s="44"/>
    </row>
    <row r="351" spans="7:7">
      <c r="G351" s="44"/>
    </row>
    <row r="352" spans="7:7">
      <c r="G352" s="44"/>
    </row>
    <row r="353" spans="7:7">
      <c r="G353" s="44"/>
    </row>
    <row r="354" spans="7:7">
      <c r="G354" s="44"/>
    </row>
    <row r="355" spans="7:7">
      <c r="G355" s="44"/>
    </row>
    <row r="356" spans="7:7">
      <c r="G356" s="44"/>
    </row>
    <row r="357" spans="7:7">
      <c r="G357" s="44"/>
    </row>
    <row r="358" spans="7:7">
      <c r="G358" s="44"/>
    </row>
    <row r="359" spans="7:7">
      <c r="G359" s="44"/>
    </row>
    <row r="360" spans="7:7">
      <c r="G360" s="44"/>
    </row>
    <row r="361" spans="7:7">
      <c r="G361" s="44"/>
    </row>
    <row r="362" spans="7:7">
      <c r="G362" s="44"/>
    </row>
    <row r="363" spans="7:7">
      <c r="G363" s="44"/>
    </row>
    <row r="364" spans="7:7">
      <c r="G364" s="44"/>
    </row>
    <row r="365" spans="7:7">
      <c r="G365" s="44"/>
    </row>
    <row r="366" spans="7:7">
      <c r="G366" s="44"/>
    </row>
    <row r="367" spans="7:7">
      <c r="G367" s="44"/>
    </row>
    <row r="368" spans="7:7">
      <c r="G368" s="44"/>
    </row>
    <row r="369" spans="7:7">
      <c r="G369" s="44"/>
    </row>
    <row r="370" spans="7:7">
      <c r="G370" s="44"/>
    </row>
    <row r="371" spans="7:7">
      <c r="G371" s="44"/>
    </row>
    <row r="372" spans="7:7">
      <c r="G372" s="44"/>
    </row>
    <row r="373" spans="7:7">
      <c r="G373" s="44"/>
    </row>
    <row r="374" spans="7:7">
      <c r="G374" s="28"/>
    </row>
    <row r="375" spans="7:7">
      <c r="G375" s="28"/>
    </row>
    <row r="376" spans="7:7">
      <c r="G376" s="28"/>
    </row>
    <row r="377" spans="7:7">
      <c r="G377" s="28"/>
    </row>
    <row r="378" spans="7:7">
      <c r="G378" s="28"/>
    </row>
    <row r="379" spans="7:7">
      <c r="G379" s="28"/>
    </row>
    <row r="380" spans="7:7">
      <c r="G380" s="28"/>
    </row>
    <row r="381" spans="7:7">
      <c r="G381" s="28"/>
    </row>
    <row r="382" spans="7:7">
      <c r="G382" s="28"/>
    </row>
    <row r="383" spans="7:7">
      <c r="G383" s="28"/>
    </row>
    <row r="384" spans="7:7">
      <c r="G384" s="28"/>
    </row>
    <row r="385" spans="7:7">
      <c r="G385" s="28"/>
    </row>
    <row r="386" spans="7:7">
      <c r="G386" s="28"/>
    </row>
    <row r="387" spans="7:7">
      <c r="G387" s="28"/>
    </row>
    <row r="388" spans="7:7">
      <c r="G388" s="28"/>
    </row>
    <row r="389" spans="7:7">
      <c r="G389" s="28"/>
    </row>
    <row r="390" spans="7:7">
      <c r="G390" s="28"/>
    </row>
    <row r="391" spans="7:7">
      <c r="G391" s="28"/>
    </row>
    <row r="392" spans="7:7">
      <c r="G392" s="28"/>
    </row>
    <row r="393" spans="7:7">
      <c r="G393" s="28"/>
    </row>
    <row r="394" spans="7:7">
      <c r="G394" s="28"/>
    </row>
    <row r="395" spans="7:7">
      <c r="G395" s="28"/>
    </row>
    <row r="396" spans="7:7">
      <c r="G396" s="28"/>
    </row>
    <row r="397" spans="7:7">
      <c r="G397" s="28"/>
    </row>
    <row r="398" spans="7:7">
      <c r="G398" s="28"/>
    </row>
    <row r="399" spans="7:7">
      <c r="G399" s="28"/>
    </row>
    <row r="400" spans="7:7">
      <c r="G400" s="28"/>
    </row>
    <row r="401" spans="7:7">
      <c r="G401" s="28"/>
    </row>
    <row r="402" spans="7:7">
      <c r="G402" s="28"/>
    </row>
    <row r="403" spans="7:7">
      <c r="G403" s="28"/>
    </row>
    <row r="404" spans="7:7">
      <c r="G404" s="28"/>
    </row>
    <row r="405" spans="7:7">
      <c r="G405" s="28"/>
    </row>
    <row r="406" spans="7:7">
      <c r="G406" s="28"/>
    </row>
    <row r="407" spans="7:7">
      <c r="G407" s="28"/>
    </row>
    <row r="408" spans="7:7">
      <c r="G408" s="28"/>
    </row>
    <row r="409" spans="7:7">
      <c r="G409" s="28"/>
    </row>
    <row r="410" spans="7:7">
      <c r="G410" s="28"/>
    </row>
    <row r="411" spans="7:7">
      <c r="G411" s="28"/>
    </row>
    <row r="412" spans="7:7">
      <c r="G412" s="28"/>
    </row>
    <row r="413" spans="7:7">
      <c r="G413" s="28"/>
    </row>
    <row r="414" spans="7:7">
      <c r="G414" s="28"/>
    </row>
    <row r="415" spans="7:7">
      <c r="G415" s="28"/>
    </row>
    <row r="416" spans="7:7">
      <c r="G416" s="28"/>
    </row>
    <row r="417" spans="7:7">
      <c r="G417" s="28"/>
    </row>
    <row r="418" spans="7:7">
      <c r="G418" s="28"/>
    </row>
    <row r="419" spans="7:7">
      <c r="G419" s="28"/>
    </row>
    <row r="420" spans="7:7">
      <c r="G420" s="28"/>
    </row>
    <row r="421" spans="7:7">
      <c r="G421" s="28"/>
    </row>
    <row r="422" spans="7:7">
      <c r="G422" s="28"/>
    </row>
    <row r="423" spans="7:7">
      <c r="G423" s="28"/>
    </row>
    <row r="424" spans="7:7">
      <c r="G424" s="28"/>
    </row>
    <row r="425" spans="7:7">
      <c r="G425" s="28"/>
    </row>
    <row r="426" spans="7:7">
      <c r="G426" s="28"/>
    </row>
    <row r="427" spans="7:7">
      <c r="G427" s="28"/>
    </row>
    <row r="428" spans="7:7">
      <c r="G428" s="28"/>
    </row>
    <row r="429" spans="7:7">
      <c r="G429" s="28"/>
    </row>
    <row r="430" spans="7:7">
      <c r="G430" s="28"/>
    </row>
    <row r="431" spans="7:7">
      <c r="G431" s="28"/>
    </row>
    <row r="432" spans="7:7">
      <c r="G432" s="28"/>
    </row>
    <row r="433" spans="7:7">
      <c r="G433" s="28"/>
    </row>
    <row r="434" spans="7:7">
      <c r="G434" s="28"/>
    </row>
    <row r="435" spans="7:7">
      <c r="G435" s="28"/>
    </row>
    <row r="436" spans="7:7">
      <c r="G436" s="28"/>
    </row>
    <row r="437" spans="7:7">
      <c r="G437" s="28"/>
    </row>
    <row r="438" spans="7:7">
      <c r="G438" s="28"/>
    </row>
    <row r="439" spans="7:7">
      <c r="G439" s="28"/>
    </row>
    <row r="440" spans="7:7">
      <c r="G440" s="28"/>
    </row>
    <row r="441" spans="7:7">
      <c r="G441" s="28"/>
    </row>
    <row r="442" spans="7:7">
      <c r="G442" s="28"/>
    </row>
    <row r="443" spans="7:7">
      <c r="G443" s="28"/>
    </row>
    <row r="444" spans="7:7">
      <c r="G444" s="28"/>
    </row>
    <row r="445" spans="7:7">
      <c r="G445" s="28"/>
    </row>
    <row r="446" spans="7:7">
      <c r="G446" s="28"/>
    </row>
    <row r="447" spans="7:7">
      <c r="G447" s="28"/>
    </row>
    <row r="448" spans="7:7">
      <c r="G448" s="28"/>
    </row>
    <row r="449" spans="7:7">
      <c r="G449" s="28"/>
    </row>
    <row r="450" spans="7:7">
      <c r="G450" s="28"/>
    </row>
    <row r="451" spans="7:7">
      <c r="G451" s="28"/>
    </row>
    <row r="452" spans="7:7">
      <c r="G452" s="28"/>
    </row>
    <row r="453" spans="7:7">
      <c r="G453" s="28"/>
    </row>
    <row r="454" spans="7:7">
      <c r="G454" s="28"/>
    </row>
    <row r="455" spans="7:7">
      <c r="G455" s="28"/>
    </row>
    <row r="456" spans="7:7">
      <c r="G456" s="28"/>
    </row>
    <row r="457" spans="7:7">
      <c r="G457" s="28"/>
    </row>
    <row r="458" spans="7:7">
      <c r="G458" s="28"/>
    </row>
    <row r="459" spans="7:7">
      <c r="G459" s="28"/>
    </row>
    <row r="460" spans="7:7">
      <c r="G460" s="28"/>
    </row>
    <row r="461" spans="7:7">
      <c r="G461" s="28"/>
    </row>
    <row r="462" spans="7:7">
      <c r="G462" s="28"/>
    </row>
    <row r="463" spans="7:7">
      <c r="G463" s="28"/>
    </row>
    <row r="464" spans="7:7">
      <c r="G464" s="28"/>
    </row>
    <row r="465" spans="7:7">
      <c r="G465" s="28"/>
    </row>
    <row r="466" spans="7:7">
      <c r="G466" s="28"/>
    </row>
    <row r="467" spans="7:7">
      <c r="G467" s="28"/>
    </row>
    <row r="468" spans="7:7">
      <c r="G468" s="28"/>
    </row>
    <row r="469" spans="7:7">
      <c r="G469" s="28"/>
    </row>
    <row r="470" spans="7:7">
      <c r="G470" s="28"/>
    </row>
    <row r="471" spans="7:7">
      <c r="G471" s="28"/>
    </row>
    <row r="472" spans="7:7">
      <c r="G472" s="28"/>
    </row>
    <row r="473" spans="7:7">
      <c r="G473" s="28"/>
    </row>
    <row r="474" spans="7:7">
      <c r="G474" s="28"/>
    </row>
    <row r="475" spans="7:7">
      <c r="G475" s="28"/>
    </row>
    <row r="476" spans="7:7">
      <c r="G476" s="28"/>
    </row>
    <row r="477" spans="7:7">
      <c r="G477" s="28"/>
    </row>
    <row r="478" spans="7:7">
      <c r="G478" s="28"/>
    </row>
    <row r="479" spans="7:7">
      <c r="G479" s="28"/>
    </row>
    <row r="480" spans="7:7">
      <c r="G480" s="28"/>
    </row>
    <row r="481" spans="7:7">
      <c r="G481" s="28"/>
    </row>
    <row r="482" spans="7:7">
      <c r="G482" s="28"/>
    </row>
    <row r="483" spans="7:7">
      <c r="G483" s="28"/>
    </row>
    <row r="484" spans="7:7">
      <c r="G484" s="28"/>
    </row>
    <row r="485" spans="7:7">
      <c r="G485" s="28"/>
    </row>
    <row r="486" spans="7:7">
      <c r="G486" s="28"/>
    </row>
    <row r="487" spans="7:7">
      <c r="G487" s="28"/>
    </row>
    <row r="488" spans="7:7">
      <c r="G488" s="28"/>
    </row>
    <row r="489" spans="7:7">
      <c r="G489" s="28"/>
    </row>
    <row r="490" spans="7:7">
      <c r="G490" s="28"/>
    </row>
    <row r="491" spans="7:7">
      <c r="G491" s="28"/>
    </row>
    <row r="492" spans="7:7">
      <c r="G492" s="28"/>
    </row>
    <row r="493" spans="7:7">
      <c r="G493" s="28"/>
    </row>
    <row r="494" spans="7:7">
      <c r="G494" s="28"/>
    </row>
    <row r="495" spans="7:7">
      <c r="G495" s="28"/>
    </row>
    <row r="496" spans="7:7">
      <c r="G496" s="28"/>
    </row>
    <row r="497" spans="7:7">
      <c r="G497" s="28"/>
    </row>
    <row r="498" spans="7:7">
      <c r="G498" s="28"/>
    </row>
    <row r="499" spans="7:7">
      <c r="G499" s="28"/>
    </row>
    <row r="500" spans="7:7">
      <c r="G500" s="28"/>
    </row>
    <row r="501" spans="7:7">
      <c r="G501" s="28"/>
    </row>
    <row r="502" spans="7:7">
      <c r="G502" s="28"/>
    </row>
    <row r="503" spans="7:7">
      <c r="G503" s="28"/>
    </row>
    <row r="504" spans="7:7">
      <c r="G504" s="28"/>
    </row>
    <row r="505" spans="7:7">
      <c r="G505" s="28"/>
    </row>
    <row r="506" spans="7:7">
      <c r="G506" s="28"/>
    </row>
    <row r="507" spans="7:7">
      <c r="G507" s="28"/>
    </row>
    <row r="508" spans="7:7">
      <c r="G508" s="28"/>
    </row>
    <row r="509" spans="7:7">
      <c r="G509" s="28"/>
    </row>
    <row r="510" spans="7:7">
      <c r="G510" s="28"/>
    </row>
    <row r="511" spans="7:7">
      <c r="G511" s="28"/>
    </row>
    <row r="512" spans="7:7">
      <c r="G512" s="28"/>
    </row>
    <row r="513" spans="7:7">
      <c r="G513" s="28"/>
    </row>
    <row r="514" spans="7:7">
      <c r="G514" s="28"/>
    </row>
    <row r="515" spans="7:7">
      <c r="G515" s="28"/>
    </row>
    <row r="516" spans="7:7">
      <c r="G516" s="28"/>
    </row>
    <row r="517" spans="7:7">
      <c r="G517" s="28"/>
    </row>
    <row r="518" spans="7:7">
      <c r="G518" s="28"/>
    </row>
    <row r="519" spans="7:7">
      <c r="G519" s="28"/>
    </row>
    <row r="520" spans="7:7">
      <c r="G520" s="28"/>
    </row>
    <row r="521" spans="7:7">
      <c r="G521" s="28"/>
    </row>
    <row r="522" spans="7:7">
      <c r="G522" s="28"/>
    </row>
    <row r="523" spans="7:7">
      <c r="G523" s="28"/>
    </row>
    <row r="524" spans="7:7">
      <c r="G524" s="28"/>
    </row>
    <row r="525" spans="7:7">
      <c r="G525" s="28"/>
    </row>
    <row r="526" spans="7:7">
      <c r="G526" s="28"/>
    </row>
    <row r="527" spans="7:7">
      <c r="G527" s="28"/>
    </row>
    <row r="528" spans="7:7">
      <c r="G528" s="28"/>
    </row>
    <row r="529" spans="7:7">
      <c r="G529" s="28"/>
    </row>
    <row r="530" spans="7:7">
      <c r="G530" s="28"/>
    </row>
    <row r="531" spans="7:7">
      <c r="G531" s="28"/>
    </row>
    <row r="532" spans="7:7">
      <c r="G532" s="28"/>
    </row>
    <row r="533" spans="7:7">
      <c r="G533" s="28"/>
    </row>
    <row r="534" spans="7:7">
      <c r="G534" s="28"/>
    </row>
    <row r="535" spans="7:7">
      <c r="G535" s="28"/>
    </row>
    <row r="536" spans="7:7">
      <c r="G536" s="28"/>
    </row>
    <row r="537" spans="7:7">
      <c r="G537" s="28"/>
    </row>
    <row r="538" spans="7:7">
      <c r="G538" s="28"/>
    </row>
    <row r="539" spans="7:7">
      <c r="G539" s="28"/>
    </row>
    <row r="540" spans="7:7">
      <c r="G540" s="28"/>
    </row>
    <row r="541" spans="7:7">
      <c r="G541" s="28"/>
    </row>
    <row r="542" spans="7:7">
      <c r="G542" s="28"/>
    </row>
    <row r="543" spans="7:7">
      <c r="G543" s="28"/>
    </row>
    <row r="544" spans="7:7">
      <c r="G544" s="28"/>
    </row>
    <row r="545" spans="7:7">
      <c r="G545" s="28"/>
    </row>
    <row r="546" spans="7:7">
      <c r="G546" s="28"/>
    </row>
    <row r="547" spans="7:7">
      <c r="G547" s="28"/>
    </row>
    <row r="548" spans="7:7">
      <c r="G548" s="28"/>
    </row>
    <row r="549" spans="7:7">
      <c r="G549" s="28"/>
    </row>
    <row r="550" spans="7:7">
      <c r="G550" s="28"/>
    </row>
    <row r="551" spans="7:7">
      <c r="G551" s="28"/>
    </row>
  </sheetData>
  <phoneticPr fontId="2"/>
  <pageMargins left="0.39370078740157483" right="0.39370078740157483" top="0.39370078740157483" bottom="0.39370078740157483" header="0.19685039370078741" footer="0.19685039370078741"/>
  <pageSetup paperSize="9" scale="54" fitToHeight="0" orientation="landscape" verticalDpi="300" r:id="rId1"/>
  <headerFooter alignWithMargins="0">
    <oddFooter>&amp;C&amp;"ＭＳ　明朝,標準"&amp;9- &amp;P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9</vt:i4>
      </vt:variant>
    </vt:vector>
  </HeadingPairs>
  <TitlesOfParts>
    <vt:vector size="14" baseType="lpstr">
      <vt:lpstr>表紙</vt:lpstr>
      <vt:lpstr>変更履歴</vt:lpstr>
      <vt:lpstr>XxxAction_クラス単体</vt:lpstr>
      <vt:lpstr>XXX_リクエスト単体</vt:lpstr>
      <vt:lpstr>取引単体</vt:lpstr>
      <vt:lpstr>XXX_リクエスト単体!Print_Area</vt:lpstr>
      <vt:lpstr>XxxAction_クラス単体!Print_Area</vt:lpstr>
      <vt:lpstr>取引単体!Print_Area</vt:lpstr>
      <vt:lpstr>表紙!Print_Area</vt:lpstr>
      <vt:lpstr>変更履歴!Print_Area</vt:lpstr>
      <vt:lpstr>XXX_リクエスト単体!Print_Titles</vt:lpstr>
      <vt:lpstr>XxxAction_クラス単体!Print_Titles</vt:lpstr>
      <vt:lpstr>取引単体!Print_Titles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2018-09-28T14:45:37Z</dcterms:created>
  <dcterms:modified xsi:type="dcterms:W3CDTF">2024-08-01T06:17:35Z</dcterms:modified>
</cp:coreProperties>
</file>