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filterPrivacy="1" codeName="ThisWorkbook" defaultThemeVersion="124226"/>
  <xr:revisionPtr revIDLastSave="0" documentId="13_ncr:1_{C87AD940-CAC6-46C5-B62E-925C6D05F199}" xr6:coauthVersionLast="47" xr6:coauthVersionMax="47" xr10:uidLastSave="{00000000-0000-0000-0000-000000000000}"/>
  <bookViews>
    <workbookView xWindow="-110" yWindow="-110" windowWidth="38620" windowHeight="21220" tabRatio="688" xr2:uid="{00000000-000D-0000-FFFF-FFFF00000000}"/>
  </bookViews>
  <sheets>
    <sheet name="表紙" sheetId="20" r:id="rId1"/>
    <sheet name="変更履歴" sheetId="21" r:id="rId2"/>
    <sheet name="XxxAction_クラス単体" sheetId="25" r:id="rId3"/>
    <sheet name="XXX_リクエスト単体" sheetId="26" r:id="rId4"/>
    <sheet name="取引単体" sheetId="17" r:id="rId5"/>
  </sheets>
  <definedNames>
    <definedName name="_xlnm._FilterDatabase" localSheetId="3" hidden="1">XXX_リクエスト単体!$A$10:$R$450</definedName>
    <definedName name="_xlnm._FilterDatabase" localSheetId="2" hidden="1">XxxAction_クラス単体!$A$10:$R$10</definedName>
    <definedName name="_xlnm.Print_Area" localSheetId="3">XXX_リクエスト単体!$A$1:$R$450</definedName>
    <definedName name="_xlnm.Print_Area" localSheetId="2">XxxAction_クラス単体!$A$1:$R$312</definedName>
    <definedName name="_xlnm.Print_Area" localSheetId="4">取引単体!$A$1:$Q$25</definedName>
    <definedName name="_xlnm.Print_Area" localSheetId="0">表紙!$A$1:$S$39</definedName>
    <definedName name="_xlnm.Print_Area" localSheetId="1">変更履歴!$A$1:$AI$34</definedName>
    <definedName name="_xlnm.Print_Titles" localSheetId="3">XXX_リクエスト単体!$1:$9</definedName>
    <definedName name="_xlnm.Print_Titles" localSheetId="2">XxxAction_クラス単体!$1:$10</definedName>
    <definedName name="_xlnm.Print_Titles" localSheetId="4">取引単体!$1:$10</definedName>
    <definedName name="_xlnm.Print_Titles" localSheetId="1">変更履歴!$1:$4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G2" i="21" l="1"/>
  <c r="AG1" i="21"/>
  <c r="AC1" i="21"/>
  <c r="A14" i="17" a="1"/>
  <c r="A24" i="17" a="1"/>
  <c r="A16" i="17" a="1"/>
  <c r="A17" i="17" a="1"/>
  <c r="A15" i="17" a="1"/>
  <c r="A13" i="17" a="1"/>
  <c r="A12" i="17" a="1"/>
  <c r="A23" i="17" a="1"/>
  <c r="A11" i="17" a="1"/>
  <c r="A21" i="17" a="1"/>
  <c r="A20" i="17" a="1"/>
  <c r="A19" i="17" a="1"/>
  <c r="A18" i="17" a="1"/>
  <c r="A22" i="17" a="1"/>
  <c r="A12" i="17" l="1"/>
  <c r="A13" i="17"/>
  <c r="A15" i="17"/>
  <c r="A16" i="17"/>
  <c r="A17" i="17"/>
  <c r="A18" i="17"/>
  <c r="A19" i="17"/>
  <c r="A20" i="17"/>
  <c r="A21" i="17"/>
  <c r="A22" i="17"/>
  <c r="A23" i="17"/>
  <c r="A14" i="17"/>
  <c r="A24" i="17"/>
  <c r="A11" i="17"/>
  <c r="A361" i="26" a="1"/>
  <c r="A375" i="26" a="1"/>
  <c r="A308" i="26" a="1"/>
  <c r="A162" i="26" a="1"/>
  <c r="A430" i="26" a="1"/>
  <c r="A256" i="25" a="1"/>
  <c r="A178" i="26" a="1"/>
  <c r="A230" i="26" a="1"/>
  <c r="A279" i="26" a="1"/>
  <c r="A328" i="26" a="1"/>
  <c r="A243" i="25" a="1"/>
  <c r="A313" i="26" a="1"/>
  <c r="A439" i="26" a="1"/>
  <c r="A107" i="26" a="1"/>
  <c r="A30" i="25" a="1"/>
  <c r="A391" i="26" a="1"/>
  <c r="A108" i="26" a="1"/>
  <c r="A218" i="26" a="1"/>
  <c r="A419" i="26" a="1"/>
  <c r="A305" i="26" a="1"/>
  <c r="A101" i="26" a="1"/>
  <c r="A304" i="26" a="1"/>
  <c r="I25" i="20"/>
  <c r="A155" i="26" a="1"/>
  <c r="A435" i="26" a="1"/>
  <c r="A301" i="26" a="1"/>
  <c r="A76" i="25" a="1"/>
  <c r="A113" i="26" a="1"/>
  <c r="A319" i="26" a="1"/>
  <c r="A363" i="26" a="1"/>
  <c r="A108" i="25" a="1"/>
  <c r="A164" i="25" a="1"/>
  <c r="A310" i="25" a="1"/>
  <c r="A51" i="25" a="1"/>
  <c r="A252" i="25" a="1"/>
  <c r="A130" i="25" a="1"/>
  <c r="A99" i="26" a="1"/>
  <c r="A14" i="25" a="1"/>
  <c r="A70" i="26" a="1"/>
  <c r="A271" i="26" a="1"/>
  <c r="A80" i="26" a="1"/>
  <c r="A43" i="26" a="1"/>
  <c r="A250" i="26" a="1"/>
  <c r="A28" i="25" a="1"/>
  <c r="A12" i="25" a="1"/>
  <c r="A99" i="25" a="1"/>
  <c r="A143" i="25" a="1"/>
  <c r="A116" i="26" a="1"/>
  <c r="A120" i="26" a="1"/>
  <c r="A244" i="25" a="1"/>
  <c r="A91" i="25" a="1"/>
  <c r="A222" i="25" a="1"/>
  <c r="A257" i="25" a="1"/>
  <c r="A370" i="26" a="1"/>
  <c r="A73" i="25" a="1"/>
  <c r="A380" i="26" a="1"/>
  <c r="A379" i="26" a="1"/>
  <c r="A353" i="26" a="1"/>
  <c r="A67" i="25" a="1"/>
  <c r="A47" i="26" a="1"/>
  <c r="A33" i="25" a="1"/>
  <c r="A209" i="26" a="1"/>
  <c r="A136" i="25" a="1"/>
  <c r="A147" i="25" a="1"/>
  <c r="A69" i="26" a="1"/>
  <c r="A334" i="26" a="1"/>
  <c r="A194" i="25" a="1"/>
  <c r="A71" i="26" a="1"/>
  <c r="A19" i="26" a="1"/>
  <c r="A120" i="25" a="1"/>
  <c r="A330" i="26" a="1"/>
  <c r="A64" i="26" a="1"/>
  <c r="A316" i="26" a="1"/>
  <c r="A183" i="25" a="1"/>
  <c r="A78" i="26" a="1"/>
  <c r="A53" i="25" a="1"/>
  <c r="A34" i="26" a="1"/>
  <c r="A174" i="26" a="1"/>
  <c r="A417" i="26" a="1"/>
  <c r="A310" i="26" a="1"/>
  <c r="A75" i="25" a="1"/>
  <c r="A97" i="26" a="1"/>
  <c r="A149" i="26" a="1"/>
  <c r="A182" i="26" a="1"/>
  <c r="A231" i="25" a="1"/>
  <c r="A54" i="25" a="1"/>
  <c r="A147" i="26" a="1"/>
  <c r="A26" i="26" a="1"/>
  <c r="A425" i="26" a="1"/>
  <c r="A258" i="26" a="1"/>
  <c r="A360" i="26" a="1"/>
  <c r="A242" i="26" a="1"/>
  <c r="A385" i="26" a="1"/>
  <c r="A195" i="25" a="1"/>
  <c r="A253" i="25" a="1"/>
  <c r="A172" i="26" a="1"/>
  <c r="A60" i="26" a="1"/>
  <c r="A111" i="26" a="1"/>
  <c r="A241" i="26" a="1"/>
  <c r="A35" i="25" a="1"/>
  <c r="A61" i="26" a="1"/>
  <c r="A338" i="26" a="1"/>
  <c r="A238" i="25" a="1"/>
  <c r="A110" i="25" a="1"/>
  <c r="A308" i="25" a="1"/>
  <c r="A139" i="26" a="1"/>
  <c r="A253" i="26" a="1"/>
  <c r="A309" i="26" a="1"/>
  <c r="A223" i="25" a="1"/>
  <c r="A267" i="26" a="1"/>
  <c r="A275" i="26" a="1"/>
  <c r="A249" i="26" a="1"/>
  <c r="A199" i="25" a="1"/>
  <c r="A118" i="26" a="1"/>
  <c r="A318" i="26" a="1"/>
  <c r="A224" i="26" a="1"/>
  <c r="A416" i="26" a="1"/>
  <c r="A234" i="25" a="1"/>
  <c r="A205" i="26" a="1"/>
  <c r="A145" i="26" a="1"/>
  <c r="A267" i="25" a="1"/>
  <c r="A67" i="26" a="1"/>
  <c r="A126" i="25" a="1"/>
  <c r="A36" i="26" a="1"/>
  <c r="A38" i="26" a="1"/>
  <c r="A154" i="25" a="1"/>
  <c r="A96" i="25" a="1"/>
  <c r="A297" i="26" a="1"/>
  <c r="A44" i="26" a="1"/>
  <c r="A394" i="26" a="1"/>
  <c r="A208" i="26" a="1"/>
  <c r="A122" i="25" a="1"/>
  <c r="A72" i="25" a="1"/>
  <c r="A212" i="26" a="1"/>
  <c r="A141" i="25" a="1"/>
  <c r="A192" i="26" a="1"/>
  <c r="A20" i="26" a="1"/>
  <c r="A85" i="26" a="1"/>
  <c r="A265" i="25" a="1"/>
  <c r="A283" i="25" a="1"/>
  <c r="A434" i="26" a="1"/>
  <c r="A422" i="26" a="1"/>
  <c r="A166" i="25" a="1"/>
  <c r="A234" i="26" a="1"/>
  <c r="A356" i="26" a="1"/>
  <c r="A163" i="25" a="1"/>
  <c r="A300" i="26" a="1"/>
  <c r="A191" i="25" a="1"/>
  <c r="A169" i="26" a="1"/>
  <c r="A145" i="25" a="1"/>
  <c r="A217" i="26" a="1"/>
  <c r="A317" i="26" a="1"/>
  <c r="A190" i="26" a="1"/>
  <c r="A82" i="26" a="1"/>
  <c r="A23" i="26" a="1"/>
  <c r="A322" i="26" a="1"/>
  <c r="A355" i="26" a="1"/>
  <c r="A170" i="26" a="1"/>
  <c r="A187" i="25" a="1"/>
  <c r="A83" i="25" a="1"/>
  <c r="A86" i="26" a="1"/>
  <c r="A129" i="25" a="1"/>
  <c r="A293" i="25" a="1"/>
  <c r="A87" i="26" a="1"/>
  <c r="A41" i="25" a="1"/>
  <c r="A268" i="25" a="1"/>
  <c r="A232" i="26" a="1"/>
  <c r="A287" i="26" a="1"/>
  <c r="A240" i="25" a="1"/>
  <c r="A201" i="26" a="1"/>
  <c r="A52" i="26" a="1"/>
  <c r="A134" i="25" a="1"/>
  <c r="A312" i="26" a="1"/>
  <c r="A266" i="26" a="1"/>
  <c r="A58" i="26" a="1"/>
  <c r="A16" i="26" a="1"/>
  <c r="A142" i="25" a="1"/>
  <c r="A247" i="25" a="1"/>
  <c r="A23" i="25" a="1"/>
  <c r="A167" i="26" a="1"/>
  <c r="A286" i="26" a="1"/>
  <c r="A81" i="26" a="1"/>
  <c r="A288" i="26" a="1"/>
  <c r="A132" i="26" a="1"/>
  <c r="A46" i="25" a="1"/>
  <c r="A374" i="26" a="1"/>
  <c r="A344" i="26" a="1"/>
  <c r="A221" i="26" a="1"/>
  <c r="A292" i="26" a="1"/>
  <c r="A165" i="25" a="1"/>
  <c r="A431" i="26" a="1"/>
  <c r="A193" i="25" a="1"/>
  <c r="A45" i="25" a="1"/>
  <c r="A63" i="26" a="1"/>
  <c r="A205" i="25" a="1"/>
  <c r="A386" i="26" a="1"/>
  <c r="A179" i="25" a="1"/>
  <c r="A168" i="25" a="1"/>
  <c r="A121" i="26" a="1"/>
  <c r="A86" i="25" a="1"/>
  <c r="A203" i="25" a="1"/>
  <c r="A348" i="26" a="1"/>
  <c r="A411" i="26" a="1"/>
  <c r="A246" i="26" a="1"/>
  <c r="A104" i="25" a="1"/>
  <c r="A291" i="25" a="1"/>
  <c r="A27" i="25" a="1"/>
  <c r="A273" i="26" a="1"/>
  <c r="A447" i="26" a="1"/>
  <c r="A118" i="25" a="1"/>
  <c r="A397" i="26" a="1"/>
  <c r="A264" i="26" a="1"/>
  <c r="A269" i="25" a="1"/>
  <c r="A364" i="26" a="1"/>
  <c r="A377" i="26" a="1"/>
  <c r="A122" i="26" a="1"/>
  <c r="A77" i="26" a="1"/>
  <c r="A44" i="25" a="1"/>
  <c r="A297" i="25" a="1"/>
  <c r="A161" i="25" a="1"/>
  <c r="A104" i="26" a="1"/>
  <c r="A287" i="25" a="1"/>
  <c r="A304" i="25" a="1"/>
  <c r="A222" i="26" a="1"/>
  <c r="A131" i="25" a="1"/>
  <c r="A284" i="25" a="1"/>
  <c r="A139" i="25" a="1"/>
  <c r="A426" i="26" a="1"/>
  <c r="A102" i="26" a="1"/>
  <c r="A337" i="26" a="1"/>
  <c r="A78" i="25" a="1"/>
  <c r="A95" i="26" a="1"/>
  <c r="A70" i="25" a="1"/>
  <c r="A216" i="25" a="1"/>
  <c r="A152" i="25" a="1"/>
  <c r="A237" i="26" a="1"/>
  <c r="A89" i="26" a="1"/>
  <c r="A329" i="26" a="1"/>
  <c r="A301" i="25" a="1"/>
  <c r="A409" i="26" a="1"/>
  <c r="A30" i="26" a="1"/>
  <c r="AC2" i="21"/>
  <c r="A56" i="26" a="1"/>
  <c r="A39" i="26" a="1"/>
  <c r="A293" i="26" a="1"/>
  <c r="A185" i="26" a="1"/>
  <c r="A436" i="26" a="1"/>
  <c r="A257" i="26" a="1"/>
  <c r="A41" i="26" a="1"/>
  <c r="A65" i="26" a="1"/>
  <c r="A88" i="26" a="1"/>
  <c r="A71" i="25" a="1"/>
  <c r="A206" i="26" a="1"/>
  <c r="A29" i="26" a="1"/>
  <c r="A13" i="26" a="1"/>
  <c r="A296" i="26" a="1"/>
  <c r="A306" i="25" a="1"/>
  <c r="A299" i="26" a="1"/>
  <c r="A29" i="25" a="1"/>
  <c r="A136" i="26" a="1"/>
  <c r="A48" i="25" a="1"/>
  <c r="A326" i="26" a="1"/>
  <c r="A112" i="25" a="1"/>
  <c r="A321" i="26" a="1"/>
  <c r="A21" i="26" a="1"/>
  <c r="A249" i="25" a="1"/>
  <c r="A188" i="26" a="1"/>
  <c r="A365" i="26" a="1"/>
  <c r="A176" i="26" a="1"/>
  <c r="A231" i="26" a="1"/>
  <c r="A230" i="25" a="1"/>
  <c r="A189" i="25" a="1"/>
  <c r="A177" i="25" a="1"/>
  <c r="A25" i="25" a="1"/>
  <c r="A276" i="25" a="1"/>
  <c r="A77" i="25" a="1"/>
  <c r="A220" i="26" a="1"/>
  <c r="A202" i="25" a="1"/>
  <c r="A24" i="25" a="1"/>
  <c r="A289" i="26" a="1"/>
  <c r="A245" i="26" a="1"/>
  <c r="A55" i="26" a="1"/>
  <c r="A79" i="25" a="1"/>
  <c r="A24" i="26" a="1"/>
  <c r="A188" i="25" a="1"/>
  <c r="A159" i="25" a="1"/>
  <c r="A43" i="25" a="1"/>
  <c r="A347" i="26" a="1"/>
  <c r="A239" i="25" a="1"/>
  <c r="A228" i="25" a="1"/>
  <c r="A219" i="26" a="1"/>
  <c r="A204" i="25" a="1"/>
  <c r="A202" i="26" a="1"/>
  <c r="A443" i="26" a="1"/>
  <c r="A181" i="26" a="1"/>
  <c r="A335" i="26" a="1"/>
  <c r="A298" i="25" a="1"/>
  <c r="A180" i="26" a="1"/>
  <c r="A103" i="26" a="1"/>
  <c r="A279" i="25" a="1"/>
  <c r="A38" i="25" a="1"/>
  <c r="A142" i="26" a="1"/>
  <c r="A75" i="26" a="1"/>
  <c r="A384" i="26" a="1"/>
  <c r="A254" i="26" a="1"/>
  <c r="A59" i="25" a="1"/>
  <c r="A236" i="26" a="1"/>
  <c r="A107" i="25" a="1"/>
  <c r="A149" i="25" a="1"/>
  <c r="A80" i="25" a="1"/>
  <c r="A189" i="26" a="1"/>
  <c r="A34" i="25" a="1"/>
  <c r="A157" i="25" a="1"/>
  <c r="A102" i="25" a="1"/>
  <c r="A101" i="25" a="1"/>
  <c r="A242" i="25" a="1"/>
  <c r="A185" i="25" a="1"/>
  <c r="A265" i="26" a="1"/>
  <c r="A406" i="26" a="1"/>
  <c r="A159" i="26" a="1"/>
  <c r="A336" i="26" a="1"/>
  <c r="A19" i="25" a="1"/>
  <c r="A33" i="26" a="1"/>
  <c r="A179" i="26" a="1"/>
  <c r="A144" i="26" a="1"/>
  <c r="A302" i="26" a="1"/>
  <c r="A250" i="25" a="1"/>
  <c r="A161" i="26" a="1"/>
  <c r="A47" i="25" a="1"/>
  <c r="A90" i="25" a="1"/>
  <c r="A399" i="26" a="1"/>
  <c r="A224" i="25" a="1"/>
  <c r="A172" i="25" a="1"/>
  <c r="A223" i="26" a="1"/>
  <c r="A131" i="26" a="1"/>
  <c r="A354" i="26" a="1"/>
  <c r="A342" i="26" a="1"/>
  <c r="A368" i="26" a="1"/>
  <c r="A403" i="26" a="1"/>
  <c r="A175" i="26" a="1"/>
  <c r="A98" i="26" a="1"/>
  <c r="A137" i="25" a="1"/>
  <c r="A58" i="25" a="1"/>
  <c r="A25" i="26" a="1"/>
  <c r="A404" i="26" a="1"/>
  <c r="A163" i="26" a="1"/>
  <c r="A168" i="26" a="1"/>
  <c r="A57" i="25" a="1"/>
  <c r="A207" i="26" a="1"/>
  <c r="A94" i="26" a="1"/>
  <c r="A197" i="25" a="1"/>
  <c r="A57" i="26" a="1"/>
  <c r="A201" i="25" a="1"/>
  <c r="A66" i="25" a="1"/>
  <c r="A284" i="26" a="1"/>
  <c r="A359" i="26" a="1"/>
  <c r="A244" i="26" a="1"/>
  <c r="A213" i="25" a="1"/>
  <c r="A437" i="26" a="1"/>
  <c r="A157" i="26" a="1"/>
  <c r="A214" i="26" a="1"/>
  <c r="A383" i="26" a="1"/>
  <c r="A258" i="25" a="1"/>
  <c r="A421" i="26" a="1"/>
  <c r="A128" i="25" a="1"/>
  <c r="A150" i="26" a="1"/>
  <c r="A16" i="25" a="1"/>
  <c r="A340" i="26" a="1"/>
  <c r="A333" i="26" a="1"/>
  <c r="A124" i="25" a="1"/>
  <c r="A211" i="26" a="1"/>
  <c r="A440" i="26" a="1"/>
  <c r="A376" i="26" a="1"/>
  <c r="A169" i="25" a="1"/>
  <c r="A226" i="25" a="1"/>
  <c r="A165" i="26" a="1"/>
  <c r="A186" i="25" a="1"/>
  <c r="A40" i="25" a="1"/>
  <c r="A98" i="25" a="1"/>
  <c r="A203" i="26" a="1"/>
  <c r="A274" i="26" a="1"/>
  <c r="A83" i="26" a="1"/>
  <c r="A276" i="26" a="1"/>
  <c r="A37" i="25" a="1"/>
  <c r="A54" i="26" a="1"/>
  <c r="A261" i="25" a="1"/>
  <c r="A232" i="25" a="1"/>
  <c r="A243" i="26" a="1"/>
  <c r="A81" i="25" a="1"/>
  <c r="A295" i="26" a="1"/>
  <c r="A105" i="25" a="1"/>
  <c r="A197" i="26" a="1"/>
  <c r="A32" i="25" a="1"/>
  <c r="A227" i="26" a="1"/>
  <c r="A198" i="26" a="1"/>
  <c r="A272" i="25" a="1"/>
  <c r="A119" i="25" a="1"/>
  <c r="A21" i="25" a="1"/>
  <c r="A238" i="26" a="1"/>
  <c r="A11" i="25" a="1"/>
  <c r="A93" i="26" a="1"/>
  <c r="A395" i="26" a="1"/>
  <c r="A283" i="26" a="1"/>
  <c r="A60" i="25" a="1"/>
  <c r="A198" i="25" a="1"/>
  <c r="A260" i="25" a="1"/>
  <c r="A315" i="26" a="1"/>
  <c r="A92" i="25" a="1"/>
  <c r="A444" i="26" a="1"/>
  <c r="A177" i="26" a="1"/>
  <c r="A154" i="26" a="1"/>
  <c r="A200" i="26" a="1"/>
  <c r="A207" i="25" a="1"/>
  <c r="A233" i="25" a="1"/>
  <c r="A263" i="25" a="1"/>
  <c r="A251" i="25" a="1"/>
  <c r="A432" i="26" a="1"/>
  <c r="A27" i="26" a="1"/>
  <c r="A171" i="26" a="1"/>
  <c r="A17" i="25" a="1"/>
  <c r="A408" i="26" a="1"/>
  <c r="A220" i="25" a="1"/>
  <c r="A414" i="26" a="1"/>
  <c r="A427" i="26" a="1"/>
  <c r="A311" i="26" a="1"/>
  <c r="A196" i="25" a="1"/>
  <c r="A210" i="26" a="1"/>
  <c r="A282" i="26" a="1"/>
  <c r="A195" i="26" a="1"/>
  <c r="A349" i="26" a="1"/>
  <c r="A59" i="26" a="1"/>
  <c r="A373" i="26" a="1"/>
  <c r="A367" i="26" a="1"/>
  <c r="A18" i="26" a="1"/>
  <c r="A53" i="26" a="1"/>
  <c r="A225" i="25" a="1"/>
  <c r="A64" i="25" a="1"/>
  <c r="A216" i="26" a="1"/>
  <c r="A235" i="25" a="1"/>
  <c r="A259" i="26" a="1"/>
  <c r="A158" i="25" a="1"/>
  <c r="A140" i="26" a="1"/>
  <c r="A407" i="26" a="1"/>
  <c r="A292" i="25" a="1"/>
  <c r="A40" i="26" a="1"/>
  <c r="A278" i="26" a="1"/>
  <c r="A275" i="25" a="1"/>
  <c r="A17" i="26" a="1"/>
  <c r="A262" i="26" a="1"/>
  <c r="A331" i="26" a="1"/>
  <c r="A110" i="26" a="1"/>
  <c r="A295" i="25" a="1"/>
  <c r="A160" i="25" a="1"/>
  <c r="A215" i="26" a="1"/>
  <c r="A117" i="26" a="1"/>
  <c r="A237" i="25" a="1"/>
  <c r="A366" i="26" a="1"/>
  <c r="A186" i="26" a="1"/>
  <c r="A285" i="26" a="1"/>
  <c r="A345" i="26" a="1"/>
  <c r="A251" i="26" a="1"/>
  <c r="A42" i="25" a="1"/>
  <c r="A62" i="25" a="1"/>
  <c r="A210" i="25" a="1"/>
  <c r="A114" i="25" a="1"/>
  <c r="A390" i="26" a="1"/>
  <c r="A428" i="26" a="1"/>
  <c r="A13" i="25" a="1"/>
  <c r="A277" i="26" a="1"/>
  <c r="A192" i="25" a="1"/>
  <c r="A63" i="25" a="1"/>
  <c r="A305" i="25" a="1"/>
  <c r="A143" i="26" a="1"/>
  <c r="A55" i="25" a="1"/>
  <c r="A140" i="25" a="1"/>
  <c r="A281" i="26" a="1"/>
  <c r="A49" i="25" a="1"/>
  <c r="A264" i="25" a="1"/>
  <c r="A151" i="25" a="1"/>
  <c r="A26" i="25" a="1"/>
  <c r="A151" i="26" a="1"/>
  <c r="A133" i="26" a="1"/>
  <c r="A303" i="25" a="1"/>
  <c r="A106" i="26" a="1"/>
  <c r="A420" i="26" a="1"/>
  <c r="A261" i="26" a="1"/>
  <c r="A20" i="25" a="1"/>
  <c r="A358" i="26" a="1"/>
  <c r="A117" i="25" a="1"/>
  <c r="A129" i="26" a="1"/>
  <c r="A22" i="25" a="1"/>
  <c r="A135" i="26" a="1"/>
  <c r="A141" i="26" a="1"/>
  <c r="A150" i="25" a="1"/>
  <c r="A217" i="25" a="1"/>
  <c r="A180" i="25" a="1"/>
  <c r="A229" i="25" a="1"/>
  <c r="A164" i="26" a="1"/>
  <c r="A285" i="25" a="1"/>
  <c r="A194" i="26" a="1"/>
  <c r="A235" i="26" a="1"/>
  <c r="A46" i="26" a="1"/>
  <c r="A438" i="26" a="1"/>
  <c r="A357" i="26" a="1"/>
  <c r="A74" i="26" a="1"/>
  <c r="A206" i="25" a="1"/>
  <c r="A219" i="25" a="1"/>
  <c r="A446" i="26" a="1"/>
  <c r="A82" i="25" a="1"/>
  <c r="A410" i="26" a="1"/>
  <c r="A89" i="25" a="1"/>
  <c r="A37" i="26" a="1"/>
  <c r="A271" i="25" a="1"/>
  <c r="A294" i="25" a="1"/>
  <c r="A36" i="25" a="1"/>
  <c r="A269" i="26" a="1"/>
  <c r="A241" i="25" a="1"/>
  <c r="A123" i="25" a="1"/>
  <c r="A412" i="26" a="1"/>
  <c r="A127" i="25" a="1"/>
  <c r="A52" i="25" a="1"/>
  <c r="A393" i="26" a="1"/>
  <c r="A314" i="26" a="1"/>
  <c r="A42" i="26" a="1"/>
  <c r="A184" i="26" a="1"/>
  <c r="A109" i="26" a="1"/>
  <c r="A15" i="26" a="1"/>
  <c r="A212" i="25" a="1"/>
  <c r="A402" i="26" a="1"/>
  <c r="A191" i="26" a="1"/>
  <c r="A14" i="26" a="1"/>
  <c r="A396" i="26" a="1"/>
  <c r="A68" i="25" a="1"/>
  <c r="A277" i="25" a="1"/>
  <c r="A346" i="26" a="1"/>
  <c r="A138" i="26" a="1"/>
  <c r="A262" i="25" a="1"/>
  <c r="A133" i="25" a="1"/>
  <c r="A196" i="26" a="1"/>
  <c r="A155" i="25" a="1"/>
  <c r="A116" i="25" a="1"/>
  <c r="A87" i="25" a="1"/>
  <c r="A303" i="26" a="1"/>
  <c r="A12" i="26" a="1"/>
  <c r="A291" i="26" a="1"/>
  <c r="A68" i="26" a="1"/>
  <c r="A144" i="25" a="1"/>
  <c r="A130" i="26" a="1"/>
  <c r="A245" i="25" a="1"/>
  <c r="A88" i="25" a="1"/>
  <c r="A213" i="26" a="1"/>
  <c r="A76" i="26" a="1"/>
  <c r="A371" i="26" a="1"/>
  <c r="A448" i="26" a="1"/>
  <c r="A236" i="25" a="1"/>
  <c r="A73" i="26" a="1"/>
  <c r="A225" i="26" a="1"/>
  <c r="A433" i="26" a="1"/>
  <c r="A31" i="26" a="1"/>
  <c r="A96" i="26" a="1"/>
  <c r="A106" i="25" a="1"/>
  <c r="A158" i="26" a="1"/>
  <c r="A254" i="25" a="1"/>
  <c r="A296" i="25" a="1"/>
  <c r="A405" i="26" a="1"/>
  <c r="A95" i="25" a="1"/>
  <c r="A148" i="25" a="1"/>
  <c r="A103" i="25" a="1"/>
  <c r="A175" i="25" a="1"/>
  <c r="A18" i="25" a="1"/>
  <c r="A400" i="26" a="1"/>
  <c r="A148" i="26" a="1"/>
  <c r="A146" i="26" a="1"/>
  <c r="A398" i="26" a="1"/>
  <c r="A307" i="25" a="1"/>
  <c r="A114" i="26" a="1"/>
  <c r="A56" i="25" a="1"/>
  <c r="A248" i="25" a="1"/>
  <c r="A134" i="26" a="1"/>
  <c r="A248" i="26" a="1"/>
  <c r="A327" i="26" a="1"/>
  <c r="A111" i="25" a="1"/>
  <c r="A378" i="26" a="1"/>
  <c r="A94" i="25" a="1"/>
  <c r="A105" i="26" a="1"/>
  <c r="A239" i="26" a="1"/>
  <c r="A173" i="26" a="1"/>
  <c r="A449" i="26" a="1"/>
  <c r="A226" i="26" a="1"/>
  <c r="A274" i="25" a="1"/>
  <c r="A138" i="25" a="1"/>
  <c r="A160" i="26" a="1"/>
  <c r="A171" i="25" a="1"/>
  <c r="A288" i="25" a="1"/>
  <c r="A199" i="26" a="1"/>
  <c r="A15" i="25" a="1"/>
  <c r="A121" i="25" a="1"/>
  <c r="A290" i="26" a="1"/>
  <c r="A441" i="26" a="1"/>
  <c r="A252" i="26" a="1"/>
  <c r="A132" i="25" a="1"/>
  <c r="A255" i="25" a="1"/>
  <c r="A289" i="25" a="1"/>
  <c r="A270" i="25" a="1"/>
  <c r="A173" i="25" a="1"/>
  <c r="A51" i="26" a="1"/>
  <c r="A280" i="26" a="1"/>
  <c r="A343" i="26" a="1"/>
  <c r="A299" i="25" a="1"/>
  <c r="A281" i="25" a="1"/>
  <c r="A307" i="26" a="1"/>
  <c r="A124" i="26" a="1"/>
  <c r="A341" i="26" a="1"/>
  <c r="A401" i="26" a="1"/>
  <c r="A48" i="26" a="1"/>
  <c r="A176" i="25" a="1"/>
  <c r="A61" i="25" a="1"/>
  <c r="A372" i="26" a="1"/>
  <c r="A282" i="25" a="1"/>
  <c r="A181" i="25" a="1"/>
  <c r="A97" i="25" a="1"/>
  <c r="A233" i="26" a="1"/>
  <c r="A450" i="26" a="1"/>
  <c r="A204" i="26" a="1"/>
  <c r="A115" i="25" a="1"/>
  <c r="A92" i="26" a="1"/>
  <c r="A208" i="25" a="1"/>
  <c r="A85" i="25" a="1"/>
  <c r="A128" i="26" a="1"/>
  <c r="A187" i="26" a="1"/>
  <c r="A268" i="26" a="1"/>
  <c r="A229" i="26" a="1"/>
  <c r="A174" i="25" a="1"/>
  <c r="A259" i="25" a="1"/>
  <c r="A45" i="26" a="1"/>
  <c r="A90" i="26" a="1"/>
  <c r="A35" i="26" a="1"/>
  <c r="A351" i="26" a="1"/>
  <c r="A214" i="25" a="1"/>
  <c r="A302" i="25" a="1"/>
  <c r="A263" i="26" a="1"/>
  <c r="A115" i="26" a="1"/>
  <c r="A442" i="26" a="1"/>
  <c r="A69" i="25" a="1"/>
  <c r="A100" i="25" a="1"/>
  <c r="A388" i="26" a="1"/>
  <c r="A72" i="26" a="1"/>
  <c r="A339" i="26" a="1"/>
  <c r="A91" i="26" a="1"/>
  <c r="A280" i="25" a="1"/>
  <c r="A294" i="26" a="1"/>
  <c r="A178" i="25" a="1"/>
  <c r="A137" i="26" a="1"/>
  <c r="A382" i="26" a="1"/>
  <c r="A112" i="26" a="1"/>
  <c r="A218" i="25" a="1"/>
  <c r="A123" i="26" a="1"/>
  <c r="A79" i="26" a="1"/>
  <c r="A227" i="25" a="1"/>
  <c r="A109" i="25" a="1"/>
  <c r="A211" i="25" a="1"/>
  <c r="A272" i="26" a="1"/>
  <c r="A32" i="26" a="1"/>
  <c r="A415" i="26" a="1"/>
  <c r="A369" i="26" a="1"/>
  <c r="A184" i="25" a="1"/>
  <c r="A418" i="26" a="1"/>
  <c r="A306" i="26" a="1"/>
  <c r="A162" i="25" a="1"/>
  <c r="A290" i="25" a="1"/>
  <c r="A152" i="26" a="1"/>
  <c r="A332" i="26" a="1"/>
  <c r="A324" i="26" a="1"/>
  <c r="A126" i="26" a="1"/>
  <c r="A167" i="25" a="1"/>
  <c r="A50" i="26" a="1"/>
  <c r="A135" i="25" a="1"/>
  <c r="A146" i="25" a="1"/>
  <c r="A298" i="26" a="1"/>
  <c r="A125" i="25" a="1"/>
  <c r="A93" i="25" a="1"/>
  <c r="A28" i="26" a="1"/>
  <c r="A166" i="26" a="1"/>
  <c r="A429" i="26" a="1"/>
  <c r="A309" i="25" a="1"/>
  <c r="A221" i="25" a="1"/>
  <c r="A256" i="26" a="1"/>
  <c r="A392" i="26" a="1"/>
  <c r="A49" i="26" a="1"/>
  <c r="A381" i="26" a="1"/>
  <c r="A31" i="25" a="1"/>
  <c r="A11" i="26" a="1"/>
  <c r="A246" i="25" a="1"/>
  <c r="A323" i="26" a="1"/>
  <c r="A127" i="26" a="1"/>
  <c r="A113" i="25" a="1"/>
  <c r="A352" i="26" a="1"/>
  <c r="A240" i="26" a="1"/>
  <c r="A84" i="26" a="1"/>
  <c r="A423" i="26" a="1"/>
  <c r="A320" i="26" a="1"/>
  <c r="A170" i="25" a="1"/>
  <c r="A190" i="25" a="1"/>
  <c r="A39" i="25" a="1"/>
  <c r="A387" i="26" a="1"/>
  <c r="A247" i="26" a="1"/>
  <c r="A300" i="25" a="1"/>
  <c r="A209" i="25" a="1"/>
  <c r="A270" i="26" a="1"/>
  <c r="A362" i="26" a="1"/>
  <c r="A445" i="26" a="1"/>
  <c r="A156" i="25" a="1"/>
  <c r="A182" i="25" a="1"/>
  <c r="A200" i="25" a="1"/>
  <c r="A125" i="26" a="1"/>
  <c r="A153" i="26" a="1"/>
  <c r="A325" i="26" a="1"/>
  <c r="A156" i="26" a="1"/>
  <c r="A62" i="26" a="1"/>
  <c r="A278" i="25" a="1"/>
  <c r="A215" i="25" a="1"/>
  <c r="A260" i="26" a="1"/>
  <c r="A255" i="26" a="1"/>
  <c r="A84" i="25" a="1"/>
  <c r="A65" i="25" a="1"/>
  <c r="A273" i="25" a="1"/>
  <c r="A153" i="25" a="1"/>
  <c r="A50" i="25" a="1"/>
  <c r="A228" i="26" a="1"/>
  <c r="A350" i="26" a="1"/>
  <c r="A286" i="25" a="1"/>
  <c r="A193" i="26" a="1"/>
  <c r="A74" i="25" a="1"/>
  <c r="A22" i="26" a="1"/>
  <c r="A100" i="26" a="1"/>
  <c r="A389" i="26" a="1"/>
  <c r="A183" i="26" a="1"/>
  <c r="A424" i="26" a="1"/>
  <c r="A312" i="25" a="1"/>
  <c r="A66" i="26" a="1"/>
  <c r="A266" i="25" a="1"/>
  <c r="A119" i="26" a="1"/>
  <c r="A311" i="25" a="1"/>
  <c r="A413" i="26" a="1"/>
  <c r="A128" i="26" l="1"/>
  <c r="A106" i="26"/>
  <c r="A12" i="26"/>
  <c r="A428" i="26"/>
  <c r="A219" i="26"/>
  <c r="A24" i="25"/>
  <c r="A383" i="26"/>
  <c r="A342" i="26"/>
  <c r="A431" i="26"/>
  <c r="A88" i="26"/>
  <c r="A16" i="26"/>
  <c r="A394" i="26"/>
  <c r="A364" i="26"/>
  <c r="A266" i="25"/>
  <c r="A427" i="26"/>
  <c r="A123" i="26"/>
  <c r="A379" i="26"/>
  <c r="A252" i="25"/>
  <c r="A300" i="25"/>
  <c r="A178" i="25"/>
  <c r="A85" i="25"/>
  <c r="A296" i="25"/>
  <c r="A277" i="26"/>
  <c r="A390" i="26"/>
  <c r="A104" i="25"/>
  <c r="A432" i="26"/>
  <c r="A202" i="25"/>
  <c r="A354" i="26"/>
  <c r="A189" i="25"/>
  <c r="A65" i="26"/>
  <c r="A58" i="26"/>
  <c r="A44" i="26"/>
  <c r="A149" i="26"/>
  <c r="A335" i="26"/>
  <c r="A202" i="26"/>
  <c r="A229" i="25"/>
  <c r="A255" i="26"/>
  <c r="A51" i="25"/>
  <c r="A247" i="26"/>
  <c r="A117" i="25"/>
  <c r="A208" i="25"/>
  <c r="A303" i="25"/>
  <c r="A13" i="25"/>
  <c r="A114" i="25"/>
  <c r="A208" i="26"/>
  <c r="A251" i="25"/>
  <c r="A386" i="26"/>
  <c r="A131" i="26"/>
  <c r="A165" i="25"/>
  <c r="A41" i="26"/>
  <c r="A266" i="26"/>
  <c r="A297" i="26"/>
  <c r="A306" i="26"/>
  <c r="A226" i="25"/>
  <c r="A273" i="26"/>
  <c r="A194" i="25"/>
  <c r="A260" i="26"/>
  <c r="A270" i="26"/>
  <c r="A387" i="26"/>
  <c r="A400" i="26"/>
  <c r="A92" i="26"/>
  <c r="A133" i="26"/>
  <c r="A303" i="26"/>
  <c r="A210" i="25"/>
  <c r="A228" i="25"/>
  <c r="A263" i="25"/>
  <c r="A205" i="25"/>
  <c r="A223" i="26"/>
  <c r="A292" i="26"/>
  <c r="A257" i="26"/>
  <c r="A312" i="26"/>
  <c r="A96" i="25"/>
  <c r="A103" i="26"/>
  <c r="A417" i="26"/>
  <c r="A72" i="25"/>
  <c r="A193" i="26"/>
  <c r="A380" i="26"/>
  <c r="A310" i="25"/>
  <c r="A39" i="25"/>
  <c r="A18" i="25"/>
  <c r="A115" i="25"/>
  <c r="A254" i="25"/>
  <c r="A87" i="25"/>
  <c r="A62" i="25"/>
  <c r="A246" i="26"/>
  <c r="A233" i="25"/>
  <c r="A220" i="26"/>
  <c r="A172" i="25"/>
  <c r="A230" i="25"/>
  <c r="A436" i="26"/>
  <c r="A134" i="25"/>
  <c r="A154" i="25"/>
  <c r="A446" i="26"/>
  <c r="A66" i="26"/>
  <c r="A194" i="26"/>
  <c r="A180" i="25"/>
  <c r="A73" i="25"/>
  <c r="A164" i="25"/>
  <c r="A190" i="25"/>
  <c r="A294" i="26"/>
  <c r="A204" i="26"/>
  <c r="A151" i="26"/>
  <c r="A116" i="25"/>
  <c r="A42" i="25"/>
  <c r="A414" i="26"/>
  <c r="A207" i="25"/>
  <c r="A214" i="26"/>
  <c r="A224" i="25"/>
  <c r="A221" i="26"/>
  <c r="A185" i="26"/>
  <c r="A52" i="26"/>
  <c r="A38" i="26"/>
  <c r="A97" i="26"/>
  <c r="A357" i="26"/>
  <c r="A183" i="26"/>
  <c r="A218" i="25"/>
  <c r="A215" i="25"/>
  <c r="A108" i="25"/>
  <c r="A170" i="25"/>
  <c r="A358" i="26"/>
  <c r="A450" i="26"/>
  <c r="A158" i="26"/>
  <c r="A155" i="25"/>
  <c r="A251" i="26"/>
  <c r="A333" i="26"/>
  <c r="A200" i="26"/>
  <c r="A63" i="26"/>
  <c r="A399" i="26"/>
  <c r="A231" i="26"/>
  <c r="A293" i="26"/>
  <c r="A201" i="26"/>
  <c r="A36" i="26"/>
  <c r="A413" i="26"/>
  <c r="A397" i="26"/>
  <c r="A27" i="25"/>
  <c r="A307" i="25"/>
  <c r="A370" i="26"/>
  <c r="A363" i="26"/>
  <c r="A320" i="26"/>
  <c r="A20" i="25"/>
  <c r="A233" i="26"/>
  <c r="A26" i="25"/>
  <c r="A196" i="26"/>
  <c r="A345" i="26"/>
  <c r="A239" i="25"/>
  <c r="A154" i="26"/>
  <c r="A77" i="25"/>
  <c r="A90" i="25"/>
  <c r="A344" i="26"/>
  <c r="A39" i="26"/>
  <c r="A240" i="25"/>
  <c r="A126" i="25"/>
  <c r="A210" i="26"/>
  <c r="A192" i="26"/>
  <c r="A248" i="26"/>
  <c r="A112" i="26"/>
  <c r="A278" i="25"/>
  <c r="A319" i="26"/>
  <c r="A423" i="26"/>
  <c r="A175" i="25"/>
  <c r="A97" i="25"/>
  <c r="A106" i="25"/>
  <c r="A133" i="25"/>
  <c r="A285" i="26"/>
  <c r="A340" i="26"/>
  <c r="A177" i="26"/>
  <c r="A45" i="25"/>
  <c r="A47" i="25"/>
  <c r="A176" i="26"/>
  <c r="A56" i="26"/>
  <c r="A287" i="26"/>
  <c r="A67" i="26"/>
  <c r="A203" i="26"/>
  <c r="A369" i="26"/>
  <c r="A64" i="26"/>
  <c r="A217" i="25"/>
  <c r="A62" i="26"/>
  <c r="A113" i="26"/>
  <c r="A84" i="26"/>
  <c r="A103" i="25"/>
  <c r="A181" i="25"/>
  <c r="A151" i="25"/>
  <c r="A262" i="25"/>
  <c r="A186" i="26"/>
  <c r="A411" i="26"/>
  <c r="A444" i="26"/>
  <c r="A193" i="25"/>
  <c r="A161" i="26"/>
  <c r="A374" i="26"/>
  <c r="A232" i="26"/>
  <c r="A267" i="25"/>
  <c r="A449" i="26"/>
  <c r="A311" i="26"/>
  <c r="A440" i="26"/>
  <c r="A334" i="26"/>
  <c r="A156" i="26"/>
  <c r="A76" i="25"/>
  <c r="A240" i="26"/>
  <c r="A280" i="25"/>
  <c r="A282" i="25"/>
  <c r="A96" i="26"/>
  <c r="A138" i="26"/>
  <c r="A366" i="26"/>
  <c r="A16" i="25"/>
  <c r="A92" i="25"/>
  <c r="A157" i="26"/>
  <c r="A250" i="25"/>
  <c r="A46" i="25"/>
  <c r="A30" i="26"/>
  <c r="A268" i="25"/>
  <c r="A145" i="26"/>
  <c r="A75" i="25"/>
  <c r="A174" i="26"/>
  <c r="A211" i="25"/>
  <c r="A286" i="25"/>
  <c r="A257" i="25"/>
  <c r="A209" i="25"/>
  <c r="A352" i="26"/>
  <c r="A91" i="26"/>
  <c r="A372" i="26"/>
  <c r="A31" i="26"/>
  <c r="A346" i="26"/>
  <c r="A237" i="25"/>
  <c r="A220" i="25"/>
  <c r="A315" i="26"/>
  <c r="A276" i="25"/>
  <c r="A302" i="26"/>
  <c r="A132" i="26"/>
  <c r="A409" i="26"/>
  <c r="A41" i="25"/>
  <c r="A205" i="26"/>
  <c r="A98" i="25"/>
  <c r="A181" i="26"/>
  <c r="A134" i="26"/>
  <c r="A69" i="26"/>
  <c r="A222" i="25"/>
  <c r="A301" i="26"/>
  <c r="A113" i="25"/>
  <c r="A148" i="25"/>
  <c r="A61" i="25"/>
  <c r="A264" i="25"/>
  <c r="A277" i="25"/>
  <c r="A117" i="26"/>
  <c r="A347" i="26"/>
  <c r="A260" i="25"/>
  <c r="A25" i="25"/>
  <c r="A144" i="26"/>
  <c r="A288" i="26"/>
  <c r="A301" i="25"/>
  <c r="A87" i="26"/>
  <c r="A234" i="25"/>
  <c r="A180" i="26"/>
  <c r="A169" i="25"/>
  <c r="A204" i="25"/>
  <c r="A150" i="25"/>
  <c r="A91" i="25"/>
  <c r="A435" i="26"/>
  <c r="A127" i="26"/>
  <c r="A261" i="26"/>
  <c r="A176" i="25"/>
  <c r="A49" i="25"/>
  <c r="A68" i="25"/>
  <c r="A215" i="26"/>
  <c r="A150" i="26"/>
  <c r="A198" i="25"/>
  <c r="A177" i="25"/>
  <c r="A179" i="26"/>
  <c r="A365" i="26"/>
  <c r="A329" i="26"/>
  <c r="A293" i="25"/>
  <c r="A416" i="26"/>
  <c r="A219" i="25"/>
  <c r="A118" i="25"/>
  <c r="A109" i="25"/>
  <c r="A398" i="26"/>
  <c r="A325" i="26"/>
  <c r="A155" i="26"/>
  <c r="A323" i="26"/>
  <c r="A95" i="25"/>
  <c r="A48" i="26"/>
  <c r="A433" i="26"/>
  <c r="A396" i="26"/>
  <c r="A160" i="25"/>
  <c r="A43" i="25"/>
  <c r="A60" i="25"/>
  <c r="A437" i="26"/>
  <c r="A33" i="26"/>
  <c r="A81" i="26"/>
  <c r="A89" i="26"/>
  <c r="A129" i="25"/>
  <c r="A224" i="26"/>
  <c r="A40" i="25"/>
  <c r="A34" i="26"/>
  <c r="A122" i="25"/>
  <c r="A147" i="25"/>
  <c r="A153" i="26"/>
  <c r="A246" i="25"/>
  <c r="A339" i="26"/>
  <c r="A401" i="26"/>
  <c r="A281" i="26"/>
  <c r="A14" i="26"/>
  <c r="A295" i="25"/>
  <c r="A128" i="25"/>
  <c r="A283" i="26"/>
  <c r="A213" i="25"/>
  <c r="A19" i="25"/>
  <c r="A188" i="26"/>
  <c r="A237" i="26"/>
  <c r="A86" i="26"/>
  <c r="A318" i="26"/>
  <c r="A269" i="25"/>
  <c r="A378" i="26"/>
  <c r="A211" i="26"/>
  <c r="A141" i="26"/>
  <c r="A244" i="25"/>
  <c r="A304" i="26"/>
  <c r="A11" i="26"/>
  <c r="A72" i="26"/>
  <c r="A341" i="26"/>
  <c r="A225" i="26"/>
  <c r="A191" i="26"/>
  <c r="A110" i="26"/>
  <c r="A348" i="26"/>
  <c r="A395" i="26"/>
  <c r="A244" i="26"/>
  <c r="A336" i="26"/>
  <c r="A286" i="26"/>
  <c r="A152" i="25"/>
  <c r="A83" i="25"/>
  <c r="A118" i="26"/>
  <c r="A173" i="26"/>
  <c r="A53" i="25"/>
  <c r="A285" i="25"/>
  <c r="A382" i="26"/>
  <c r="A125" i="26"/>
  <c r="A101" i="26"/>
  <c r="A31" i="25"/>
  <c r="A420" i="26"/>
  <c r="A124" i="26"/>
  <c r="A140" i="25"/>
  <c r="A402" i="26"/>
  <c r="A331" i="26"/>
  <c r="A159" i="25"/>
  <c r="A93" i="26"/>
  <c r="A359" i="26"/>
  <c r="A159" i="26"/>
  <c r="A249" i="25"/>
  <c r="A216" i="25"/>
  <c r="A187" i="25"/>
  <c r="A199" i="25"/>
  <c r="A265" i="25"/>
  <c r="A312" i="25"/>
  <c r="A291" i="25"/>
  <c r="A146" i="26"/>
  <c r="A120" i="26"/>
  <c r="A305" i="26"/>
  <c r="A381" i="26"/>
  <c r="A405" i="26"/>
  <c r="A307" i="26"/>
  <c r="A73" i="26"/>
  <c r="A212" i="25"/>
  <c r="A262" i="26"/>
  <c r="A188" i="25"/>
  <c r="A11" i="25"/>
  <c r="A284" i="26"/>
  <c r="A406" i="26"/>
  <c r="A167" i="26"/>
  <c r="A70" i="25"/>
  <c r="A170" i="26"/>
  <c r="A249" i="26"/>
  <c r="A311" i="25"/>
  <c r="A78" i="26"/>
  <c r="A330" i="26"/>
  <c r="A350" i="26"/>
  <c r="A116" i="26"/>
  <c r="A419" i="26"/>
  <c r="A49" i="26"/>
  <c r="A388" i="26"/>
  <c r="A281" i="25"/>
  <c r="A55" i="25"/>
  <c r="A15" i="26"/>
  <c r="A17" i="26"/>
  <c r="A203" i="25"/>
  <c r="A238" i="26"/>
  <c r="A66" i="25"/>
  <c r="A265" i="26"/>
  <c r="A21" i="26"/>
  <c r="A95" i="26"/>
  <c r="A355" i="26"/>
  <c r="A275" i="26"/>
  <c r="A418" i="26"/>
  <c r="A141" i="25"/>
  <c r="A124" i="25"/>
  <c r="A136" i="25"/>
  <c r="A143" i="25"/>
  <c r="A218" i="26"/>
  <c r="A392" i="26"/>
  <c r="A100" i="25"/>
  <c r="A299" i="25"/>
  <c r="A143" i="26"/>
  <c r="A109" i="26"/>
  <c r="A275" i="25"/>
  <c r="A24" i="26"/>
  <c r="A21" i="25"/>
  <c r="A201" i="25"/>
  <c r="A185" i="25"/>
  <c r="A23" i="25"/>
  <c r="A78" i="25"/>
  <c r="A322" i="26"/>
  <c r="A267" i="26"/>
  <c r="A206" i="25"/>
  <c r="A111" i="25"/>
  <c r="A389" i="26"/>
  <c r="A135" i="26"/>
  <c r="A99" i="25"/>
  <c r="A108" i="26"/>
  <c r="A256" i="26"/>
  <c r="A69" i="25"/>
  <c r="A343" i="26"/>
  <c r="A236" i="25"/>
  <c r="A184" i="26"/>
  <c r="A278" i="26"/>
  <c r="A86" i="25"/>
  <c r="A119" i="25"/>
  <c r="A57" i="26"/>
  <c r="A242" i="25"/>
  <c r="A247" i="25"/>
  <c r="A337" i="26"/>
  <c r="A23" i="26"/>
  <c r="A223" i="25"/>
  <c r="A196" i="25"/>
  <c r="A438" i="26"/>
  <c r="A248" i="25"/>
  <c r="A22" i="25"/>
  <c r="A12" i="25"/>
  <c r="A391" i="26"/>
  <c r="A221" i="25"/>
  <c r="A442" i="26"/>
  <c r="A280" i="26"/>
  <c r="A305" i="25"/>
  <c r="A42" i="26"/>
  <c r="A40" i="26"/>
  <c r="A79" i="25"/>
  <c r="A272" i="25"/>
  <c r="A197" i="25"/>
  <c r="A101" i="25"/>
  <c r="A321" i="26"/>
  <c r="A102" i="26"/>
  <c r="A82" i="26"/>
  <c r="A309" i="26"/>
  <c r="A186" i="25"/>
  <c r="A415" i="26"/>
  <c r="A227" i="25"/>
  <c r="A137" i="26"/>
  <c r="A28" i="25"/>
  <c r="A30" i="25"/>
  <c r="A309" i="25"/>
  <c r="A115" i="26"/>
  <c r="A51" i="26"/>
  <c r="A63" i="25"/>
  <c r="A314" i="26"/>
  <c r="A292" i="25"/>
  <c r="A55" i="26"/>
  <c r="A198" i="26"/>
  <c r="A94" i="26"/>
  <c r="A102" i="25"/>
  <c r="A112" i="25"/>
  <c r="A426" i="26"/>
  <c r="A190" i="26"/>
  <c r="A253" i="26"/>
  <c r="A310" i="26"/>
  <c r="A46" i="26"/>
  <c r="A120" i="25"/>
  <c r="A148" i="26"/>
  <c r="A200" i="25"/>
  <c r="A107" i="26"/>
  <c r="A429" i="26"/>
  <c r="A263" i="26"/>
  <c r="A173" i="25"/>
  <c r="A448" i="26"/>
  <c r="A393" i="26"/>
  <c r="A407" i="26"/>
  <c r="A421" i="26"/>
  <c r="A227" i="26"/>
  <c r="A207" i="26"/>
  <c r="A157" i="25"/>
  <c r="A142" i="25"/>
  <c r="A139" i="25"/>
  <c r="A317" i="26"/>
  <c r="A139" i="26"/>
  <c r="A298" i="25"/>
  <c r="A32" i="26"/>
  <c r="A56" i="25"/>
  <c r="A209" i="26"/>
  <c r="A182" i="25"/>
  <c r="A439" i="26"/>
  <c r="A166" i="26"/>
  <c r="A302" i="25"/>
  <c r="A270" i="25"/>
  <c r="A192" i="25"/>
  <c r="A52" i="25"/>
  <c r="A140" i="26"/>
  <c r="A121" i="26"/>
  <c r="A32" i="25"/>
  <c r="A57" i="25"/>
  <c r="A34" i="25"/>
  <c r="A326" i="26"/>
  <c r="A284" i="25"/>
  <c r="A217" i="26"/>
  <c r="A308" i="25"/>
  <c r="A85" i="26"/>
  <c r="A376" i="26"/>
  <c r="A164" i="26"/>
  <c r="A228" i="26"/>
  <c r="A250" i="26"/>
  <c r="A313" i="26"/>
  <c r="A28" i="26"/>
  <c r="A214" i="25"/>
  <c r="A289" i="25"/>
  <c r="A371" i="26"/>
  <c r="A127" i="25"/>
  <c r="A158" i="25"/>
  <c r="A408" i="26"/>
  <c r="A197" i="26"/>
  <c r="A168" i="26"/>
  <c r="A189" i="26"/>
  <c r="A48" i="25"/>
  <c r="A131" i="25"/>
  <c r="A145" i="25"/>
  <c r="A110" i="25"/>
  <c r="A264" i="26"/>
  <c r="A183" i="25"/>
  <c r="A19" i="26"/>
  <c r="A129" i="26"/>
  <c r="A43" i="26"/>
  <c r="A243" i="25"/>
  <c r="A93" i="25"/>
  <c r="A351" i="26"/>
  <c r="A255" i="25"/>
  <c r="A76" i="26"/>
  <c r="A412" i="26"/>
  <c r="A259" i="26"/>
  <c r="A17" i="25"/>
  <c r="A105" i="25"/>
  <c r="A163" i="26"/>
  <c r="A80" i="25"/>
  <c r="A136" i="26"/>
  <c r="A222" i="26"/>
  <c r="A169" i="26"/>
  <c r="A238" i="25"/>
  <c r="A239" i="26"/>
  <c r="A447" i="26"/>
  <c r="A100" i="26"/>
  <c r="A33" i="25"/>
  <c r="A80" i="26"/>
  <c r="A328" i="26"/>
  <c r="A125" i="25"/>
  <c r="A35" i="26"/>
  <c r="A132" i="25"/>
  <c r="A213" i="26"/>
  <c r="A123" i="25"/>
  <c r="A235" i="25"/>
  <c r="A168" i="25"/>
  <c r="A295" i="26"/>
  <c r="A404" i="26"/>
  <c r="A149" i="25"/>
  <c r="A29" i="25"/>
  <c r="A304" i="25"/>
  <c r="A191" i="25"/>
  <c r="A338" i="26"/>
  <c r="A119" i="26"/>
  <c r="A443" i="26"/>
  <c r="A22" i="26"/>
  <c r="A50" i="25"/>
  <c r="A156" i="25"/>
  <c r="A279" i="26"/>
  <c r="A298" i="26"/>
  <c r="A90" i="26"/>
  <c r="A252" i="26"/>
  <c r="A88" i="25"/>
  <c r="A241" i="25"/>
  <c r="A216" i="26"/>
  <c r="A245" i="26"/>
  <c r="A81" i="25"/>
  <c r="A25" i="26"/>
  <c r="A107" i="25"/>
  <c r="A299" i="26"/>
  <c r="A287" i="25"/>
  <c r="A300" i="26"/>
  <c r="A61" i="26"/>
  <c r="A74" i="26"/>
  <c r="A327" i="26"/>
  <c r="A79" i="26"/>
  <c r="A47" i="26"/>
  <c r="A271" i="26"/>
  <c r="A230" i="26"/>
  <c r="A146" i="25"/>
  <c r="A45" i="26"/>
  <c r="A441" i="26"/>
  <c r="A245" i="25"/>
  <c r="A269" i="26"/>
  <c r="A64" i="25"/>
  <c r="A258" i="25"/>
  <c r="A243" i="26"/>
  <c r="A58" i="25"/>
  <c r="A236" i="26"/>
  <c r="A306" i="25"/>
  <c r="A104" i="26"/>
  <c r="A163" i="25"/>
  <c r="A35" i="25"/>
  <c r="A20" i="26"/>
  <c r="A235" i="26"/>
  <c r="A71" i="26"/>
  <c r="A67" i="25"/>
  <c r="A70" i="26"/>
  <c r="A178" i="26"/>
  <c r="A135" i="25"/>
  <c r="A259" i="25"/>
  <c r="A290" i="26"/>
  <c r="A130" i="26"/>
  <c r="A36" i="25"/>
  <c r="A225" i="25"/>
  <c r="A171" i="26"/>
  <c r="A232" i="25"/>
  <c r="A137" i="25"/>
  <c r="A59" i="25"/>
  <c r="A296" i="26"/>
  <c r="A161" i="25"/>
  <c r="A356" i="26"/>
  <c r="A241" i="26"/>
  <c r="A184" i="25"/>
  <c r="A424" i="26"/>
  <c r="A114" i="26"/>
  <c r="A153" i="25"/>
  <c r="A14" i="25"/>
  <c r="A256" i="25"/>
  <c r="A50" i="26"/>
  <c r="A174" i="25"/>
  <c r="A121" i="25"/>
  <c r="A144" i="25"/>
  <c r="A294" i="25"/>
  <c r="A53" i="26"/>
  <c r="A179" i="25"/>
  <c r="A261" i="25"/>
  <c r="A98" i="26"/>
  <c r="A254" i="26"/>
  <c r="A13" i="26"/>
  <c r="A297" i="25"/>
  <c r="A234" i="26"/>
  <c r="A111" i="26"/>
  <c r="A105" i="26"/>
  <c r="A212" i="26"/>
  <c r="A74" i="25"/>
  <c r="A273" i="25"/>
  <c r="A99" i="26"/>
  <c r="A430" i="26"/>
  <c r="A167" i="25"/>
  <c r="A229" i="26"/>
  <c r="A15" i="25"/>
  <c r="A68" i="26"/>
  <c r="A271" i="25"/>
  <c r="A18" i="26"/>
  <c r="A27" i="26"/>
  <c r="A54" i="26"/>
  <c r="A175" i="26"/>
  <c r="A384" i="26"/>
  <c r="A29" i="26"/>
  <c r="A44" i="25"/>
  <c r="A166" i="25"/>
  <c r="A60" i="26"/>
  <c r="A165" i="26"/>
  <c r="A272" i="26"/>
  <c r="A425" i="26"/>
  <c r="A353" i="26"/>
  <c r="A445" i="26"/>
  <c r="A162" i="26"/>
  <c r="A126" i="26"/>
  <c r="A268" i="26"/>
  <c r="A199" i="26"/>
  <c r="A291" i="26"/>
  <c r="A37" i="26"/>
  <c r="A367" i="26"/>
  <c r="A289" i="26"/>
  <c r="A37" i="25"/>
  <c r="A403" i="26"/>
  <c r="A75" i="26"/>
  <c r="A206" i="26"/>
  <c r="A77" i="26"/>
  <c r="A422" i="26"/>
  <c r="A172" i="26"/>
  <c r="A94" i="25"/>
  <c r="A316" i="26"/>
  <c r="A26" i="26"/>
  <c r="A65" i="25"/>
  <c r="A130" i="25"/>
  <c r="A308" i="26"/>
  <c r="A324" i="26"/>
  <c r="A187" i="26"/>
  <c r="A288" i="25"/>
  <c r="A138" i="25"/>
  <c r="A89" i="25"/>
  <c r="A373" i="26"/>
  <c r="A195" i="26"/>
  <c r="A276" i="26"/>
  <c r="A368" i="26"/>
  <c r="A142" i="26"/>
  <c r="A71" i="25"/>
  <c r="A122" i="26"/>
  <c r="A434" i="26"/>
  <c r="A253" i="25"/>
  <c r="A385" i="26"/>
  <c r="A360" i="26"/>
  <c r="A147" i="26"/>
  <c r="A84" i="25"/>
  <c r="A362" i="26"/>
  <c r="A375" i="26"/>
  <c r="A332" i="26"/>
  <c r="A290" i="25"/>
  <c r="A171" i="25"/>
  <c r="A274" i="25"/>
  <c r="A410" i="26"/>
  <c r="A59" i="26"/>
  <c r="A282" i="26"/>
  <c r="A83" i="26"/>
  <c r="A274" i="26"/>
  <c r="A38" i="25"/>
  <c r="A279" i="25"/>
  <c r="A377" i="26"/>
  <c r="A283" i="25"/>
  <c r="A195" i="25"/>
  <c r="A242" i="26"/>
  <c r="A258" i="26"/>
  <c r="A54" i="25"/>
  <c r="A231" i="25"/>
  <c r="A182" i="26"/>
  <c r="A361" i="26"/>
  <c r="A152" i="26"/>
  <c r="A162" i="25"/>
  <c r="A160" i="26"/>
  <c r="A226" i="26"/>
  <c r="A82" i="25"/>
  <c r="A349" i="2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<sst xmlns="http://schemas.openxmlformats.org/spreadsheetml/2006/main" count="2499" uniqueCount="838">
  <si>
    <t>更新者：</t>
    <rPh sb="0" eb="3">
      <t>コウシンシャ</t>
    </rPh>
    <phoneticPr fontId="2"/>
  </si>
  <si>
    <t>更新日：</t>
    <rPh sb="0" eb="3">
      <t>コウシンビ</t>
    </rPh>
    <phoneticPr fontId="2"/>
  </si>
  <si>
    <t>テストデータシート名</t>
    <rPh sb="9" eb="10">
      <t>メイ</t>
    </rPh>
    <phoneticPr fontId="2"/>
  </si>
  <si>
    <t>テスト内容</t>
    <rPh sb="3" eb="5">
      <t>ナイヨウ</t>
    </rPh>
    <phoneticPr fontId="2"/>
  </si>
  <si>
    <t>想定結果</t>
    <rPh sb="0" eb="2">
      <t>ソウテイ</t>
    </rPh>
    <rPh sb="2" eb="4">
      <t>ケッカ</t>
    </rPh>
    <phoneticPr fontId="2"/>
  </si>
  <si>
    <t>単体テスト仕様書(リクエスト単体テスト)</t>
    <rPh sb="0" eb="2">
      <t>タンタイ</t>
    </rPh>
    <rPh sb="5" eb="7">
      <t>シヨウ</t>
    </rPh>
    <rPh sb="7" eb="8">
      <t>ショ</t>
    </rPh>
    <rPh sb="14" eb="16">
      <t>タンタイ</t>
    </rPh>
    <phoneticPr fontId="2"/>
  </si>
  <si>
    <t>実施者</t>
    <rPh sb="0" eb="2">
      <t>ジッシ</t>
    </rPh>
    <rPh sb="2" eb="3">
      <t>シャ</t>
    </rPh>
    <phoneticPr fontId="2"/>
  </si>
  <si>
    <t>実施結果</t>
    <rPh sb="0" eb="2">
      <t>ジッシ</t>
    </rPh>
    <rPh sb="2" eb="4">
      <t>ケッカ</t>
    </rPh>
    <phoneticPr fontId="2"/>
  </si>
  <si>
    <t>確認者</t>
    <rPh sb="0" eb="2">
      <t>カクニン</t>
    </rPh>
    <rPh sb="2" eb="3">
      <t>シャ</t>
    </rPh>
    <phoneticPr fontId="2"/>
  </si>
  <si>
    <t>確認日</t>
    <rPh sb="0" eb="2">
      <t>カクニン</t>
    </rPh>
    <rPh sb="2" eb="3">
      <t>ビ</t>
    </rPh>
    <phoneticPr fontId="2"/>
  </si>
  <si>
    <t>区分</t>
    <rPh sb="0" eb="2">
      <t>クブン</t>
    </rPh>
    <phoneticPr fontId="4"/>
  </si>
  <si>
    <t>確認観点1</t>
    <rPh sb="0" eb="2">
      <t>カクニン</t>
    </rPh>
    <rPh sb="2" eb="4">
      <t>カンテン</t>
    </rPh>
    <phoneticPr fontId="4"/>
  </si>
  <si>
    <t>確認観点2</t>
    <rPh sb="0" eb="2">
      <t>カクニン</t>
    </rPh>
    <rPh sb="2" eb="4">
      <t>カンテン</t>
    </rPh>
    <phoneticPr fontId="4"/>
  </si>
  <si>
    <t>対応設計書</t>
    <rPh sb="0" eb="2">
      <t>タイオウ</t>
    </rPh>
    <rPh sb="2" eb="4">
      <t>セッケイ</t>
    </rPh>
    <rPh sb="4" eb="5">
      <t>ショ</t>
    </rPh>
    <phoneticPr fontId="4"/>
  </si>
  <si>
    <t>対応箇所</t>
    <rPh sb="0" eb="2">
      <t>タイオウ</t>
    </rPh>
    <rPh sb="2" eb="4">
      <t>カショ</t>
    </rPh>
    <phoneticPr fontId="4"/>
  </si>
  <si>
    <t>データNo</t>
    <phoneticPr fontId="2"/>
  </si>
  <si>
    <t>実施日</t>
    <rPh sb="0" eb="3">
      <t>ジッシビ</t>
    </rPh>
    <phoneticPr fontId="2"/>
  </si>
  <si>
    <t>作成者：</t>
    <rPh sb="0" eb="3">
      <t>サクセイシャ</t>
    </rPh>
    <phoneticPr fontId="2"/>
  </si>
  <si>
    <t>作成日：</t>
    <rPh sb="0" eb="3">
      <t>サクセイビ</t>
    </rPh>
    <phoneticPr fontId="2"/>
  </si>
  <si>
    <t>実施日</t>
    <rPh sb="0" eb="2">
      <t>ジッシ</t>
    </rPh>
    <rPh sb="2" eb="3">
      <t>ヒ</t>
    </rPh>
    <phoneticPr fontId="2"/>
  </si>
  <si>
    <t>単体テスト仕様書(取引単体テスト)</t>
    <rPh sb="0" eb="2">
      <t>タンタイ</t>
    </rPh>
    <rPh sb="5" eb="7">
      <t>シヨウ</t>
    </rPh>
    <rPh sb="7" eb="8">
      <t>ショ</t>
    </rPh>
    <rPh sb="9" eb="11">
      <t>トリヒキ</t>
    </rPh>
    <rPh sb="11" eb="13">
      <t>タンタイ</t>
    </rPh>
    <phoneticPr fontId="2"/>
  </si>
  <si>
    <t>単体テスト仕様書(クラス単体テスト)</t>
    <rPh sb="0" eb="2">
      <t>タンタイ</t>
    </rPh>
    <rPh sb="5" eb="7">
      <t>シヨウ</t>
    </rPh>
    <rPh sb="7" eb="8">
      <t>ショ</t>
    </rPh>
    <rPh sb="12" eb="14">
      <t>タンタイ</t>
    </rPh>
    <phoneticPr fontId="2"/>
  </si>
  <si>
    <t>精査エラー</t>
    <rPh sb="0" eb="2">
      <t>セイサ</t>
    </rPh>
    <phoneticPr fontId="2"/>
  </si>
  <si>
    <t>システム機能設計書</t>
    <phoneticPr fontId="4"/>
  </si>
  <si>
    <t>画面レイアウト</t>
    <rPh sb="0" eb="2">
      <t>ガメン</t>
    </rPh>
    <phoneticPr fontId="4"/>
  </si>
  <si>
    <t>システム機能設計書</t>
    <rPh sb="4" eb="6">
      <t>キノウ</t>
    </rPh>
    <rPh sb="6" eb="9">
      <t>セッケイショ</t>
    </rPh>
    <phoneticPr fontId="2"/>
  </si>
  <si>
    <t>実行結果</t>
    <rPh sb="0" eb="2">
      <t>ジッコウ</t>
    </rPh>
    <rPh sb="2" eb="4">
      <t>ケッカ</t>
    </rPh>
    <phoneticPr fontId="2"/>
  </si>
  <si>
    <t>画面イベント詳細</t>
    <rPh sb="0" eb="2">
      <t>ガメン</t>
    </rPh>
    <rPh sb="6" eb="8">
      <t>ショウサイ</t>
    </rPh>
    <phoneticPr fontId="2"/>
  </si>
  <si>
    <t>確認観点3</t>
    <rPh sb="0" eb="2">
      <t>カクニン</t>
    </rPh>
    <rPh sb="2" eb="4">
      <t>カンテン</t>
    </rPh>
    <phoneticPr fontId="4"/>
  </si>
  <si>
    <t>取引実行確認</t>
    <rPh sb="0" eb="2">
      <t>トリヒキ</t>
    </rPh>
    <rPh sb="2" eb="4">
      <t>ジッコウ</t>
    </rPh>
    <rPh sb="4" eb="6">
      <t>カクニン</t>
    </rPh>
    <phoneticPr fontId="2"/>
  </si>
  <si>
    <t>正常取引</t>
    <rPh sb="0" eb="2">
      <t>セイジョウ</t>
    </rPh>
    <rPh sb="2" eb="4">
      <t>トリヒキ</t>
    </rPh>
    <phoneticPr fontId="2"/>
  </si>
  <si>
    <t>戻るイベント</t>
    <rPh sb="0" eb="1">
      <t>モド</t>
    </rPh>
    <phoneticPr fontId="2"/>
  </si>
  <si>
    <t>検索結果0件</t>
    <rPh sb="0" eb="2">
      <t>ケンサク</t>
    </rPh>
    <rPh sb="2" eb="4">
      <t>ケッカ</t>
    </rPh>
    <rPh sb="5" eb="6">
      <t>ケン</t>
    </rPh>
    <phoneticPr fontId="2"/>
  </si>
  <si>
    <t>サブウィンドウ連携</t>
    <rPh sb="7" eb="9">
      <t>レンケイ</t>
    </rPh>
    <phoneticPr fontId="2"/>
  </si>
  <si>
    <t>異常取引</t>
    <rPh sb="0" eb="2">
      <t>イジョウ</t>
    </rPh>
    <rPh sb="2" eb="4">
      <t>トリヒキ</t>
    </rPh>
    <phoneticPr fontId="2"/>
  </si>
  <si>
    <t>検索結果上限超過エラー</t>
    <rPh sb="0" eb="2">
      <t>ケンサク</t>
    </rPh>
    <rPh sb="2" eb="4">
      <t>ケッカ</t>
    </rPh>
    <rPh sb="4" eb="6">
      <t>ジョウゲン</t>
    </rPh>
    <rPh sb="6" eb="8">
      <t>チョウカ</t>
    </rPh>
    <phoneticPr fontId="2"/>
  </si>
  <si>
    <t>排他制御エラー</t>
    <rPh sb="0" eb="2">
      <t>ハイタ</t>
    </rPh>
    <rPh sb="2" eb="4">
      <t>セイギョ</t>
    </rPh>
    <phoneticPr fontId="2"/>
  </si>
  <si>
    <t>ページング処理、ソート処理　など</t>
    <rPh sb="11" eb="13">
      <t>ショリ</t>
    </rPh>
    <phoneticPr fontId="2"/>
  </si>
  <si>
    <t>-</t>
    <phoneticPr fontId="2"/>
  </si>
  <si>
    <t>画面遷移パターン</t>
    <rPh sb="0" eb="2">
      <t>ガメン</t>
    </rPh>
    <rPh sb="2" eb="4">
      <t>センイ</t>
    </rPh>
    <phoneticPr fontId="2"/>
  </si>
  <si>
    <t>その他エラー</t>
    <rPh sb="2" eb="3">
      <t>タ</t>
    </rPh>
    <phoneticPr fontId="2"/>
  </si>
  <si>
    <t>その他のイベント</t>
    <phoneticPr fontId="2"/>
  </si>
  <si>
    <t>異常取引→正常取引　など</t>
    <phoneticPr fontId="2"/>
  </si>
  <si>
    <t>取引の連続実行</t>
    <rPh sb="0" eb="2">
      <t>トリヒキ</t>
    </rPh>
    <rPh sb="3" eb="5">
      <t>レンゾク</t>
    </rPh>
    <rPh sb="5" eb="7">
      <t>ジッコウ</t>
    </rPh>
    <phoneticPr fontId="2"/>
  </si>
  <si>
    <t>企業情報詳細画面へ遷移する</t>
    <rPh sb="0" eb="2">
      <t>キギョウ</t>
    </rPh>
    <rPh sb="2" eb="4">
      <t>ジョウホウ</t>
    </rPh>
    <rPh sb="4" eb="6">
      <t>ショウサイ</t>
    </rPh>
    <rPh sb="6" eb="8">
      <t>ガメン</t>
    </rPh>
    <rPh sb="9" eb="11">
      <t>センイ</t>
    </rPh>
    <phoneticPr fontId="2"/>
  </si>
  <si>
    <t>企業更新画面に遷移する</t>
    <rPh sb="0" eb="2">
      <t>キギョウ</t>
    </rPh>
    <rPh sb="2" eb="4">
      <t>コウシン</t>
    </rPh>
    <rPh sb="4" eb="6">
      <t>ガメン</t>
    </rPh>
    <rPh sb="7" eb="9">
      <t>センイ</t>
    </rPh>
    <phoneticPr fontId="2"/>
  </si>
  <si>
    <t>住所情報サブウィンドウが表示される</t>
  </si>
  <si>
    <t>更新完了画面から一覧検索画面に遷移した際に、検索処理実行時の検索条件が表示される</t>
    <rPh sb="0" eb="2">
      <t>コウシン</t>
    </rPh>
    <rPh sb="2" eb="4">
      <t>カンリョウ</t>
    </rPh>
    <rPh sb="4" eb="6">
      <t>ガメン</t>
    </rPh>
    <rPh sb="8" eb="10">
      <t>イチラン</t>
    </rPh>
    <rPh sb="10" eb="12">
      <t>ケンサク</t>
    </rPh>
    <rPh sb="12" eb="14">
      <t>ガメン</t>
    </rPh>
    <rPh sb="15" eb="17">
      <t>センイ</t>
    </rPh>
    <rPh sb="19" eb="20">
      <t>サイ</t>
    </rPh>
    <rPh sb="22" eb="24">
      <t>ケンサク</t>
    </rPh>
    <rPh sb="24" eb="26">
      <t>ショリ</t>
    </rPh>
    <rPh sb="26" eb="28">
      <t>ジッコウ</t>
    </rPh>
    <rPh sb="28" eb="29">
      <t>ジ</t>
    </rPh>
    <rPh sb="30" eb="32">
      <t>ケンサク</t>
    </rPh>
    <rPh sb="32" eb="34">
      <t>ジョウケン</t>
    </rPh>
    <rPh sb="35" eb="37">
      <t>ヒョウジ</t>
    </rPh>
    <phoneticPr fontId="2"/>
  </si>
  <si>
    <t>企業情報更新画面に排他制御エラーのメッセージが表示される</t>
    <rPh sb="0" eb="2">
      <t>キギョウ</t>
    </rPh>
    <rPh sb="2" eb="4">
      <t>ジョウホウ</t>
    </rPh>
    <rPh sb="4" eb="6">
      <t>コウシン</t>
    </rPh>
    <rPh sb="6" eb="8">
      <t>ガメン</t>
    </rPh>
    <rPh sb="9" eb="11">
      <t>ハイタ</t>
    </rPh>
    <rPh sb="11" eb="13">
      <t>セイギョ</t>
    </rPh>
    <rPh sb="23" eb="25">
      <t>ヒョウジ</t>
    </rPh>
    <phoneticPr fontId="2"/>
  </si>
  <si>
    <t>企業情報更新確認画面に排他制御エラーのメッセージが表示される</t>
    <rPh sb="0" eb="2">
      <t>キギョウ</t>
    </rPh>
    <rPh sb="2" eb="4">
      <t>ジョウホウ</t>
    </rPh>
    <rPh sb="4" eb="6">
      <t>コウシン</t>
    </rPh>
    <rPh sb="6" eb="8">
      <t>カクニン</t>
    </rPh>
    <rPh sb="8" eb="10">
      <t>ガメン</t>
    </rPh>
    <rPh sb="11" eb="13">
      <t>ハイタ</t>
    </rPh>
    <rPh sb="13" eb="15">
      <t>セイギョ</t>
    </rPh>
    <rPh sb="25" eb="27">
      <t>ヒョウジ</t>
    </rPh>
    <phoneticPr fontId="2"/>
  </si>
  <si>
    <t>精査エラーが発生した後も、入力項目が復元され、正しく処理を継続できること</t>
    <rPh sb="0" eb="2">
      <t>セイサ</t>
    </rPh>
    <rPh sb="6" eb="8">
      <t>ハッセイ</t>
    </rPh>
    <rPh sb="10" eb="11">
      <t>アト</t>
    </rPh>
    <rPh sb="13" eb="15">
      <t>ニュウリョク</t>
    </rPh>
    <rPh sb="15" eb="17">
      <t>コウモク</t>
    </rPh>
    <rPh sb="18" eb="20">
      <t>フクゲン</t>
    </rPh>
    <rPh sb="23" eb="24">
      <t>タダ</t>
    </rPh>
    <rPh sb="26" eb="28">
      <t>ショリ</t>
    </rPh>
    <rPh sb="29" eb="31">
      <t>ケイゾク</t>
    </rPh>
    <phoneticPr fontId="2"/>
  </si>
  <si>
    <t>排他制御エラーが発生した後も、入力項目が復元され、正しく処理を継続できること</t>
    <rPh sb="0" eb="2">
      <t>ハイタ</t>
    </rPh>
    <rPh sb="2" eb="4">
      <t>セイギョ</t>
    </rPh>
    <rPh sb="8" eb="10">
      <t>ハッセイ</t>
    </rPh>
    <rPh sb="12" eb="13">
      <t>アト</t>
    </rPh>
    <rPh sb="15" eb="17">
      <t>ニュウリョク</t>
    </rPh>
    <rPh sb="17" eb="19">
      <t>コウモク</t>
    </rPh>
    <rPh sb="20" eb="22">
      <t>フクゲン</t>
    </rPh>
    <rPh sb="25" eb="26">
      <t>タダ</t>
    </rPh>
    <rPh sb="28" eb="30">
      <t>ショリ</t>
    </rPh>
    <rPh sb="31" eb="33">
      <t>ケイゾク</t>
    </rPh>
    <phoneticPr fontId="2"/>
  </si>
  <si>
    <t>testUpdateCompanyContact</t>
    <phoneticPr fontId="2"/>
  </si>
  <si>
    <t>1</t>
    <phoneticPr fontId="2"/>
  </si>
  <si>
    <t>2</t>
    <phoneticPr fontId="2"/>
  </si>
  <si>
    <t>3</t>
    <phoneticPr fontId="2"/>
  </si>
  <si>
    <t>4</t>
    <phoneticPr fontId="2"/>
  </si>
  <si>
    <t>5</t>
    <phoneticPr fontId="2"/>
  </si>
  <si>
    <t>PJ名</t>
  </si>
  <si>
    <t>成果物名</t>
  </si>
  <si>
    <t>作成</t>
  </si>
  <si>
    <t>システム名</t>
  </si>
  <si>
    <t>変更</t>
  </si>
  <si>
    <t>サブシステム名</t>
  </si>
  <si>
    <t>変更履歴（ 1　/ 1 ）</t>
  </si>
  <si>
    <t>No.</t>
    <phoneticPr fontId="4"/>
  </si>
  <si>
    <t>版数</t>
    <rPh sb="0" eb="2">
      <t>ハンスウ</t>
    </rPh>
    <phoneticPr fontId="4"/>
  </si>
  <si>
    <t>変更日</t>
    <rPh sb="0" eb="3">
      <t>ヘンコウビ</t>
    </rPh>
    <phoneticPr fontId="4"/>
  </si>
  <si>
    <t>変更箇所（項番等）</t>
    <rPh sb="0" eb="2">
      <t>ヘンコウ</t>
    </rPh>
    <rPh sb="2" eb="4">
      <t>カショ</t>
    </rPh>
    <rPh sb="5" eb="8">
      <t>コウバンナド</t>
    </rPh>
    <phoneticPr fontId="4"/>
  </si>
  <si>
    <t>変更内容</t>
    <rPh sb="0" eb="2">
      <t>ヘンコウ</t>
    </rPh>
    <rPh sb="2" eb="4">
      <t>ナイヨウ</t>
    </rPh>
    <phoneticPr fontId="4"/>
  </si>
  <si>
    <t>担当者</t>
    <rPh sb="0" eb="3">
      <t>タントウシャ</t>
    </rPh>
    <phoneticPr fontId="4"/>
  </si>
  <si>
    <t>サンプルサブシステム</t>
    <phoneticPr fontId="2"/>
  </si>
  <si>
    <t>サンプルプロジェクト</t>
    <phoneticPr fontId="2"/>
  </si>
  <si>
    <t>サンプルシステム</t>
    <phoneticPr fontId="2"/>
  </si>
  <si>
    <t>単体テスト仕様書(画面)
サンプル取引/WXXXXXXX</t>
    <rPh sb="9" eb="11">
      <t>ガメン</t>
    </rPh>
    <rPh sb="18" eb="20">
      <t>トリヒキ</t>
    </rPh>
    <phoneticPr fontId="2"/>
  </si>
  <si>
    <t>1.0版</t>
    <rPh sb="3" eb="4">
      <t>ハン</t>
    </rPh>
    <phoneticPr fontId="4"/>
  </si>
  <si>
    <t>新規</t>
    <rPh sb="0" eb="2">
      <t>シンキ</t>
    </rPh>
    <phoneticPr fontId="4"/>
  </si>
  <si>
    <t>-</t>
    <phoneticPr fontId="4"/>
  </si>
  <si>
    <t>(新規作成)</t>
    <rPh sb="1" eb="5">
      <t>シンキサクセイ</t>
    </rPh>
    <phoneticPr fontId="4"/>
  </si>
  <si>
    <t>TIS</t>
    <phoneticPr fontId="2"/>
  </si>
  <si>
    <t>ケースNo.</t>
    <phoneticPr fontId="4"/>
  </si>
  <si>
    <t>サブシステム名：サンプルサブシステム</t>
    <rPh sb="6" eb="7">
      <t>メイ</t>
    </rPh>
    <phoneticPr fontId="2"/>
  </si>
  <si>
    <t>第１．１版</t>
    <rPh sb="0" eb="1">
      <t>ダイ</t>
    </rPh>
    <rPh sb="4" eb="5">
      <t>ハン</t>
    </rPh>
    <phoneticPr fontId="12"/>
  </si>
  <si>
    <t>1.1版</t>
    <rPh sb="3" eb="4">
      <t>ハン</t>
    </rPh>
    <phoneticPr fontId="2"/>
  </si>
  <si>
    <t>変更</t>
    <rPh sb="0" eb="2">
      <t>ヘンコウ</t>
    </rPh>
    <phoneticPr fontId="2"/>
  </si>
  <si>
    <t>ケースNo</t>
    <phoneticPr fontId="4"/>
  </si>
  <si>
    <t>大項目</t>
    <rPh sb="0" eb="1">
      <t>ダイ</t>
    </rPh>
    <rPh sb="1" eb="3">
      <t>コウモク</t>
    </rPh>
    <phoneticPr fontId="3"/>
  </si>
  <si>
    <t>中項目</t>
    <rPh sb="0" eb="1">
      <t>チュウ</t>
    </rPh>
    <rPh sb="1" eb="3">
      <t>コウモク</t>
    </rPh>
    <phoneticPr fontId="3"/>
  </si>
  <si>
    <t>小項目</t>
    <rPh sb="0" eb="1">
      <t>ショウ</t>
    </rPh>
    <rPh sb="1" eb="3">
      <t>コウモク</t>
    </rPh>
    <phoneticPr fontId="3"/>
  </si>
  <si>
    <t>詳細</t>
    <rPh sb="0" eb="2">
      <t>ショウサイ</t>
    </rPh>
    <phoneticPr fontId="1"/>
  </si>
  <si>
    <t>観点</t>
    <rPh sb="0" eb="2">
      <t>カンテン</t>
    </rPh>
    <phoneticPr fontId="2"/>
  </si>
  <si>
    <t>対象外理由</t>
    <rPh sb="0" eb="3">
      <t>タイショウガイ</t>
    </rPh>
    <rPh sb="3" eb="5">
      <t>リユウ</t>
    </rPh>
    <phoneticPr fontId="2"/>
  </si>
  <si>
    <t>対応設計書</t>
    <rPh sb="0" eb="2">
      <t>タイオウ</t>
    </rPh>
    <rPh sb="2" eb="4">
      <t>セッケイ</t>
    </rPh>
    <rPh sb="4" eb="5">
      <t>ショ</t>
    </rPh>
    <phoneticPr fontId="2"/>
  </si>
  <si>
    <t>対応箇所</t>
    <rPh sb="0" eb="2">
      <t>タイオウ</t>
    </rPh>
    <rPh sb="2" eb="4">
      <t>カショ</t>
    </rPh>
    <phoneticPr fontId="2"/>
  </si>
  <si>
    <t>バリデーション</t>
  </si>
  <si>
    <t>単項目バリデーション</t>
    <rPh sb="0" eb="1">
      <t>タン</t>
    </rPh>
    <rPh sb="1" eb="3">
      <t>コウモク</t>
    </rPh>
    <phoneticPr fontId="19"/>
  </si>
  <si>
    <t>必須バリデーション</t>
  </si>
  <si>
    <t>必須項目</t>
    <rPh sb="0" eb="2">
      <t>ヒッス</t>
    </rPh>
    <rPh sb="2" eb="4">
      <t>コウモク</t>
    </rPh>
    <phoneticPr fontId="19"/>
  </si>
  <si>
    <t>必須項目が未入力の場合、エラーとなること。</t>
    <rPh sb="0" eb="2">
      <t>ヒッス</t>
    </rPh>
    <rPh sb="2" eb="4">
      <t>コウモク</t>
    </rPh>
    <rPh sb="5" eb="8">
      <t>ミニュウリョク</t>
    </rPh>
    <rPh sb="9" eb="11">
      <t>バアイ</t>
    </rPh>
    <phoneticPr fontId="4"/>
  </si>
  <si>
    <t>任意項目</t>
    <rPh sb="0" eb="2">
      <t>ニンイ</t>
    </rPh>
    <rPh sb="2" eb="4">
      <t>コウモク</t>
    </rPh>
    <phoneticPr fontId="19"/>
  </si>
  <si>
    <t>必須項目が入力され、任意項目が未入力の場合、エラーとならないこと。</t>
    <rPh sb="0" eb="2">
      <t>ヒッス</t>
    </rPh>
    <rPh sb="2" eb="4">
      <t>コウモク</t>
    </rPh>
    <rPh sb="5" eb="7">
      <t>ニュウリョク</t>
    </rPh>
    <rPh sb="10" eb="12">
      <t>ニンイ</t>
    </rPh>
    <rPh sb="12" eb="14">
      <t>コウモク</t>
    </rPh>
    <rPh sb="15" eb="18">
      <t>ミニュウリョク</t>
    </rPh>
    <rPh sb="19" eb="21">
      <t>バアイ</t>
    </rPh>
    <phoneticPr fontId="19"/>
  </si>
  <si>
    <t>文字列長バリデーション</t>
    <rPh sb="0" eb="3">
      <t>モジレツ</t>
    </rPh>
    <rPh sb="3" eb="4">
      <t>チョウ</t>
    </rPh>
    <phoneticPr fontId="2"/>
  </si>
  <si>
    <t>-</t>
  </si>
  <si>
    <t>文字列項目に最大長が入力された場合、エラーとならないこと。</t>
    <rPh sb="0" eb="3">
      <t>モジレツ</t>
    </rPh>
    <rPh sb="3" eb="5">
      <t>コウモク</t>
    </rPh>
    <rPh sb="6" eb="8">
      <t>サイダイ</t>
    </rPh>
    <rPh sb="8" eb="9">
      <t>チョウ</t>
    </rPh>
    <rPh sb="10" eb="12">
      <t>ニュウリョク</t>
    </rPh>
    <rPh sb="15" eb="17">
      <t>バアイ</t>
    </rPh>
    <phoneticPr fontId="19"/>
  </si>
  <si>
    <t>文字列項目に最大長＋1が入力された場合、エラーとなること。</t>
    <rPh sb="0" eb="3">
      <t>モジレツ</t>
    </rPh>
    <rPh sb="3" eb="5">
      <t>コウモク</t>
    </rPh>
    <rPh sb="6" eb="8">
      <t>サイダイ</t>
    </rPh>
    <rPh sb="8" eb="9">
      <t>チョウ</t>
    </rPh>
    <rPh sb="12" eb="14">
      <t>ニュウリョク</t>
    </rPh>
    <rPh sb="17" eb="19">
      <t>バアイ</t>
    </rPh>
    <phoneticPr fontId="19"/>
  </si>
  <si>
    <t>文字列項目に最小長が入力された場合、エラーとならないこと。</t>
    <rPh sb="0" eb="3">
      <t>モジレツ</t>
    </rPh>
    <rPh sb="3" eb="5">
      <t>コウモク</t>
    </rPh>
    <rPh sb="6" eb="8">
      <t>サイショウ</t>
    </rPh>
    <rPh sb="8" eb="9">
      <t>チョウ</t>
    </rPh>
    <rPh sb="10" eb="12">
      <t>ニュウリョク</t>
    </rPh>
    <rPh sb="15" eb="17">
      <t>バアイ</t>
    </rPh>
    <phoneticPr fontId="19"/>
  </si>
  <si>
    <t>文字列項目に最小長－1が入力された場合、エラーとなること。</t>
    <rPh sb="0" eb="3">
      <t>モジレツ</t>
    </rPh>
    <rPh sb="3" eb="5">
      <t>コウモク</t>
    </rPh>
    <rPh sb="6" eb="8">
      <t>サイショウ</t>
    </rPh>
    <rPh sb="8" eb="9">
      <t>チョウ</t>
    </rPh>
    <rPh sb="12" eb="14">
      <t>ニュウリョク</t>
    </rPh>
    <rPh sb="17" eb="19">
      <t>バアイ</t>
    </rPh>
    <phoneticPr fontId="19"/>
  </si>
  <si>
    <t>サロゲートペア文字を許容する設計となっている場合、サロゲートペア文字を含んだ値が入力された結果がエラーとならないこと。</t>
    <rPh sb="38" eb="39">
      <t>アタイ</t>
    </rPh>
    <rPh sb="40" eb="42">
      <t>ニュウリョク</t>
    </rPh>
    <phoneticPr fontId="19"/>
  </si>
  <si>
    <t>数値バリデーション</t>
    <rPh sb="0" eb="2">
      <t>スウチ</t>
    </rPh>
    <phoneticPr fontId="2"/>
  </si>
  <si>
    <t>桁数</t>
    <rPh sb="0" eb="2">
      <t>ケタスウ</t>
    </rPh>
    <phoneticPr fontId="2"/>
  </si>
  <si>
    <t>数値項目の整数部に最大桁、小数部に最大桁が入力された場合、エラーとならないこと。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1" eb="23">
      <t>ニュウリョク</t>
    </rPh>
    <rPh sb="26" eb="28">
      <t>バアイ</t>
    </rPh>
    <phoneticPr fontId="19"/>
  </si>
  <si>
    <t>数値項目の整数部に最大桁＋1、小数部に最大桁が入力された場合、エラーとなること。</t>
    <rPh sb="0" eb="2">
      <t>スウチ</t>
    </rPh>
    <rPh sb="2" eb="4">
      <t>コウモク</t>
    </rPh>
    <rPh sb="5" eb="7">
      <t>セイスウ</t>
    </rPh>
    <rPh sb="7" eb="8">
      <t>ブ</t>
    </rPh>
    <rPh sb="9" eb="11">
      <t>サイダイ</t>
    </rPh>
    <rPh sb="11" eb="12">
      <t>ケタ</t>
    </rPh>
    <rPh sb="15" eb="18">
      <t>ショウスウブ</t>
    </rPh>
    <rPh sb="19" eb="21">
      <t>サイダイ</t>
    </rPh>
    <rPh sb="21" eb="22">
      <t>ケタ</t>
    </rPh>
    <rPh sb="23" eb="25">
      <t>ニュウリョク</t>
    </rPh>
    <rPh sb="28" eb="30">
      <t>バアイ</t>
    </rPh>
    <phoneticPr fontId="19"/>
  </si>
  <si>
    <t>数値項目の整数部に最大桁、小数部に最大桁＋１が入力された場合、エラーとなること。</t>
    <rPh sb="0" eb="2">
      <t>スウチ</t>
    </rPh>
    <rPh sb="2" eb="4">
      <t>コウモク</t>
    </rPh>
    <rPh sb="5" eb="7">
      <t>セイスウ</t>
    </rPh>
    <rPh sb="7" eb="8">
      <t>ブ</t>
    </rPh>
    <rPh sb="9" eb="11">
      <t>サイダイ</t>
    </rPh>
    <rPh sb="11" eb="12">
      <t>ケタ</t>
    </rPh>
    <rPh sb="13" eb="16">
      <t>ショウスウブ</t>
    </rPh>
    <rPh sb="17" eb="19">
      <t>サイダイ</t>
    </rPh>
    <rPh sb="19" eb="20">
      <t>ケタ</t>
    </rPh>
    <rPh sb="23" eb="25">
      <t>ニュウリョク</t>
    </rPh>
    <rPh sb="28" eb="30">
      <t>バアイ</t>
    </rPh>
    <phoneticPr fontId="19"/>
  </si>
  <si>
    <t>有効範囲</t>
    <rPh sb="0" eb="2">
      <t>ユウコウ</t>
    </rPh>
    <rPh sb="2" eb="4">
      <t>ハンイ</t>
    </rPh>
    <phoneticPr fontId="19"/>
  </si>
  <si>
    <t>数値項目に有効範囲の上限値が入力された場合、エラーとならないこと。</t>
    <rPh sb="0" eb="2">
      <t>スウチ</t>
    </rPh>
    <rPh sb="2" eb="4">
      <t>コウモク</t>
    </rPh>
    <rPh sb="5" eb="7">
      <t>ユウコウ</t>
    </rPh>
    <rPh sb="7" eb="9">
      <t>ハンイ</t>
    </rPh>
    <rPh sb="10" eb="12">
      <t>ジョウゲン</t>
    </rPh>
    <rPh sb="12" eb="13">
      <t>チ</t>
    </rPh>
    <rPh sb="14" eb="16">
      <t>ニュウリョク</t>
    </rPh>
    <rPh sb="19" eb="21">
      <t>バアイ</t>
    </rPh>
    <phoneticPr fontId="19"/>
  </si>
  <si>
    <t>数値項目に有効範囲の上限値＋1が入力された場合、エラーとなること。</t>
    <rPh sb="0" eb="2">
      <t>スウチ</t>
    </rPh>
    <rPh sb="2" eb="4">
      <t>コウモク</t>
    </rPh>
    <rPh sb="5" eb="7">
      <t>ユウコウ</t>
    </rPh>
    <rPh sb="7" eb="9">
      <t>ハンイ</t>
    </rPh>
    <rPh sb="10" eb="12">
      <t>ジョウゲン</t>
    </rPh>
    <rPh sb="12" eb="13">
      <t>チ</t>
    </rPh>
    <rPh sb="16" eb="18">
      <t>ニュウリョク</t>
    </rPh>
    <rPh sb="21" eb="23">
      <t>バアイ</t>
    </rPh>
    <phoneticPr fontId="19"/>
  </si>
  <si>
    <t>数値項目に有効範囲の下限値が入力された場合、エラーとならないこと。</t>
    <rPh sb="10" eb="12">
      <t>カゲン</t>
    </rPh>
    <phoneticPr fontId="2"/>
  </si>
  <si>
    <t>数値項目に有効範囲の下限値－1が入力された場合、エラーとなること。</t>
    <rPh sb="10" eb="12">
      <t>カゲン</t>
    </rPh>
    <phoneticPr fontId="2"/>
  </si>
  <si>
    <t>文字種バリデーション</t>
    <rPh sb="0" eb="3">
      <t>モジシュ</t>
    </rPh>
    <phoneticPr fontId="2"/>
  </si>
  <si>
    <t>許容対象の文字が入力された場合、エラーとならないこと。</t>
    <rPh sb="0" eb="2">
      <t>キョヨウ</t>
    </rPh>
    <rPh sb="2" eb="4">
      <t>タイショウ</t>
    </rPh>
    <rPh sb="5" eb="7">
      <t>モジ</t>
    </rPh>
    <rPh sb="8" eb="10">
      <t>ニュウリョク</t>
    </rPh>
    <rPh sb="13" eb="15">
      <t>バアイ</t>
    </rPh>
    <phoneticPr fontId="19"/>
  </si>
  <si>
    <t>許容対象外の文字が入力された場合、エラーとなること。</t>
    <rPh sb="0" eb="2">
      <t>キョヨウ</t>
    </rPh>
    <rPh sb="2" eb="4">
      <t>タイショウ</t>
    </rPh>
    <rPh sb="4" eb="5">
      <t>ガイ</t>
    </rPh>
    <rPh sb="6" eb="8">
      <t>モジ</t>
    </rPh>
    <rPh sb="9" eb="11">
      <t>ニュウリョク</t>
    </rPh>
    <rPh sb="14" eb="16">
      <t>バアイ</t>
    </rPh>
    <phoneticPr fontId="19"/>
  </si>
  <si>
    <t>その他のバリデーション</t>
    <rPh sb="2" eb="3">
      <t>タ</t>
    </rPh>
    <phoneticPr fontId="19"/>
  </si>
  <si>
    <t>コード値</t>
    <rPh sb="3" eb="4">
      <t>チ</t>
    </rPh>
    <phoneticPr fontId="19"/>
  </si>
  <si>
    <t>コード値を入力値とする項目について、有効範囲内の値が入力された場合、エラーとならないこと。</t>
    <rPh sb="5" eb="8">
      <t>ニュウリョクチ</t>
    </rPh>
    <rPh sb="18" eb="20">
      <t>ユウコウ</t>
    </rPh>
    <rPh sb="20" eb="22">
      <t>ハンイ</t>
    </rPh>
    <rPh sb="22" eb="23">
      <t>ナイ</t>
    </rPh>
    <rPh sb="24" eb="25">
      <t>アタイ</t>
    </rPh>
    <rPh sb="26" eb="28">
      <t>ニュウリョク</t>
    </rPh>
    <rPh sb="31" eb="33">
      <t>バアイ</t>
    </rPh>
    <phoneticPr fontId="19"/>
  </si>
  <si>
    <t>コード値を入力値とする項目について、有効範囲外の値が入力された場合、エラーとなること。</t>
    <rPh sb="5" eb="8">
      <t>ニュウリョクチ</t>
    </rPh>
    <rPh sb="18" eb="20">
      <t>ユウコウ</t>
    </rPh>
    <rPh sb="20" eb="22">
      <t>ハンイ</t>
    </rPh>
    <rPh sb="22" eb="23">
      <t>ガイ</t>
    </rPh>
    <rPh sb="24" eb="25">
      <t>アタイ</t>
    </rPh>
    <rPh sb="26" eb="28">
      <t>ニュウリョク</t>
    </rPh>
    <rPh sb="31" eb="33">
      <t>バアイ</t>
    </rPh>
    <phoneticPr fontId="19"/>
  </si>
  <si>
    <t>日付</t>
    <rPh sb="0" eb="2">
      <t>ヒヅケ</t>
    </rPh>
    <phoneticPr fontId="19"/>
  </si>
  <si>
    <t>日付項目に有効な書式の値が入力された場合、エラーとならないこと。</t>
    <rPh sb="0" eb="2">
      <t>ヒヅケ</t>
    </rPh>
    <rPh sb="2" eb="4">
      <t>コウモク</t>
    </rPh>
    <rPh sb="5" eb="7">
      <t>ユウコウ</t>
    </rPh>
    <rPh sb="8" eb="10">
      <t>ショシキ</t>
    </rPh>
    <rPh sb="11" eb="12">
      <t>アタイ</t>
    </rPh>
    <rPh sb="13" eb="15">
      <t>ニュウリョク</t>
    </rPh>
    <rPh sb="18" eb="20">
      <t>バアイ</t>
    </rPh>
    <phoneticPr fontId="19"/>
  </si>
  <si>
    <t>日付項目に無効な書式の値が入力された場合、エラーとなること。</t>
    <rPh sb="0" eb="2">
      <t>ヒヅケ</t>
    </rPh>
    <rPh sb="2" eb="4">
      <t>コウモク</t>
    </rPh>
    <rPh sb="5" eb="7">
      <t>ムコウ</t>
    </rPh>
    <rPh sb="8" eb="10">
      <t>ショシキ</t>
    </rPh>
    <rPh sb="11" eb="12">
      <t>アタイ</t>
    </rPh>
    <rPh sb="13" eb="15">
      <t>ニュウリョク</t>
    </rPh>
    <rPh sb="18" eb="20">
      <t>バアイ</t>
    </rPh>
    <phoneticPr fontId="19"/>
  </si>
  <si>
    <t>日付項目に実在日が入力された場合、エラーとならないこと。</t>
    <rPh sb="0" eb="2">
      <t>ヒヅケ</t>
    </rPh>
    <rPh sb="2" eb="4">
      <t>コウモク</t>
    </rPh>
    <rPh sb="5" eb="7">
      <t>ジツザイ</t>
    </rPh>
    <rPh sb="7" eb="8">
      <t>ヒ</t>
    </rPh>
    <rPh sb="9" eb="11">
      <t>ニュウリョク</t>
    </rPh>
    <rPh sb="14" eb="16">
      <t>バアイ</t>
    </rPh>
    <phoneticPr fontId="19"/>
  </si>
  <si>
    <t>日付項目に実在日以外が入力された場合、エラーとなること。</t>
    <rPh sb="0" eb="2">
      <t>ヒヅケ</t>
    </rPh>
    <rPh sb="2" eb="4">
      <t>コウモク</t>
    </rPh>
    <rPh sb="5" eb="7">
      <t>ジツザイ</t>
    </rPh>
    <rPh sb="7" eb="8">
      <t>ヒ</t>
    </rPh>
    <rPh sb="8" eb="10">
      <t>イガイ</t>
    </rPh>
    <rPh sb="11" eb="13">
      <t>ニュウリョク</t>
    </rPh>
    <rPh sb="16" eb="18">
      <t>バアイ</t>
    </rPh>
    <phoneticPr fontId="19"/>
  </si>
  <si>
    <t>メールアドレス</t>
  </si>
  <si>
    <t>メールアドレス項目に有効な値が入力された場合、エラーとならないこと。</t>
    <rPh sb="7" eb="9">
      <t>コウモク</t>
    </rPh>
    <rPh sb="10" eb="12">
      <t>ユウコウ</t>
    </rPh>
    <rPh sb="13" eb="14">
      <t>アタイ</t>
    </rPh>
    <rPh sb="15" eb="17">
      <t>ニュウリョク</t>
    </rPh>
    <rPh sb="20" eb="22">
      <t>バアイ</t>
    </rPh>
    <phoneticPr fontId="21"/>
  </si>
  <si>
    <t>メールアドレス項目に無効な値が入力された場合、エラーとなること。</t>
    <rPh sb="7" eb="9">
      <t>コウモク</t>
    </rPh>
    <rPh sb="10" eb="12">
      <t>ムコウ</t>
    </rPh>
    <rPh sb="13" eb="14">
      <t>アタイ</t>
    </rPh>
    <rPh sb="15" eb="17">
      <t>ニュウリョク</t>
    </rPh>
    <rPh sb="20" eb="22">
      <t>バアイ</t>
    </rPh>
    <phoneticPr fontId="21"/>
  </si>
  <si>
    <t>アプリケーション固有のバリデーション</t>
    <rPh sb="8" eb="10">
      <t>コユウ</t>
    </rPh>
    <phoneticPr fontId="19"/>
  </si>
  <si>
    <t>アプリケーション固有のバリデーションがある場合、バリデーションの結果が［システム機能設計書の記載通り］であること。</t>
    <phoneticPr fontId="19"/>
  </si>
  <si>
    <t>相関バリデーション</t>
    <rPh sb="0" eb="2">
      <t>ソウカン</t>
    </rPh>
    <phoneticPr fontId="2"/>
  </si>
  <si>
    <t>特定の条件により必須・任意が変わる項目について、該当項目が必須となっている状態で、値が未入力の場合、エラーとなること。</t>
    <rPh sb="29" eb="31">
      <t>ヒッス</t>
    </rPh>
    <phoneticPr fontId="19"/>
  </si>
  <si>
    <t>特定の条件により必須・任意が変わる項目について、該当項目が任意となっている状態で、値が未入力の場合、エラーとならないこと。</t>
  </si>
  <si>
    <t>相関バリデーション対象項目について、有効な値の組み合わせが各項目に入力された場合、エラーとならないこと。</t>
    <rPh sb="0" eb="2">
      <t>ソウカン</t>
    </rPh>
    <rPh sb="9" eb="11">
      <t>タイショウ</t>
    </rPh>
    <rPh sb="11" eb="13">
      <t>コウモク</t>
    </rPh>
    <rPh sb="18" eb="20">
      <t>ユウコウ</t>
    </rPh>
    <rPh sb="21" eb="22">
      <t>アタイ</t>
    </rPh>
    <rPh sb="23" eb="24">
      <t>ク</t>
    </rPh>
    <rPh sb="25" eb="26">
      <t>ア</t>
    </rPh>
    <rPh sb="29" eb="30">
      <t>カク</t>
    </rPh>
    <rPh sb="30" eb="32">
      <t>コウモク</t>
    </rPh>
    <rPh sb="33" eb="35">
      <t>ニュウリョク</t>
    </rPh>
    <rPh sb="38" eb="40">
      <t>バアイ</t>
    </rPh>
    <phoneticPr fontId="19"/>
  </si>
  <si>
    <t>相関バリデーション対象項目について、無効な値の組み合わせが各項目に入力された場合、エラーとなること。</t>
    <rPh sb="0" eb="2">
      <t>ソウカン</t>
    </rPh>
    <rPh sb="9" eb="11">
      <t>タイショウ</t>
    </rPh>
    <rPh sb="11" eb="13">
      <t>コウモク</t>
    </rPh>
    <rPh sb="18" eb="20">
      <t>ムコウ</t>
    </rPh>
    <rPh sb="21" eb="22">
      <t>アタイ</t>
    </rPh>
    <rPh sb="23" eb="24">
      <t>ク</t>
    </rPh>
    <rPh sb="25" eb="26">
      <t>ア</t>
    </rPh>
    <rPh sb="29" eb="30">
      <t>カク</t>
    </rPh>
    <rPh sb="30" eb="32">
      <t>コウモク</t>
    </rPh>
    <rPh sb="33" eb="35">
      <t>ニュウリョク</t>
    </rPh>
    <rPh sb="38" eb="40">
      <t>バアイ</t>
    </rPh>
    <phoneticPr fontId="19"/>
  </si>
  <si>
    <t>DBとの相関バリデーション</t>
    <rPh sb="4" eb="6">
      <t>ソウカン</t>
    </rPh>
    <phoneticPr fontId="19"/>
  </si>
  <si>
    <t>有効なレコードが存在する場合、エラーとならないこと。</t>
  </si>
  <si>
    <t>有効なレコードが存在しない場合、エラーとなること。</t>
  </si>
  <si>
    <t>DB操作</t>
    <rPh sb="2" eb="4">
      <t>ソウサ</t>
    </rPh>
    <phoneticPr fontId="19"/>
  </si>
  <si>
    <t>共通</t>
    <rPh sb="0" eb="2">
      <t>キョウツウ</t>
    </rPh>
    <phoneticPr fontId="2"/>
  </si>
  <si>
    <t>検索/更新/削除条件</t>
    <rPh sb="0" eb="2">
      <t>ケンサク</t>
    </rPh>
    <rPh sb="3" eb="5">
      <t>コウシン</t>
    </rPh>
    <rPh sb="6" eb="8">
      <t>サクジョ</t>
    </rPh>
    <rPh sb="8" eb="10">
      <t>ジョウケン</t>
    </rPh>
    <phoneticPr fontId="2"/>
  </si>
  <si>
    <t>単一条件</t>
    <rPh sb="0" eb="2">
      <t>タンイツ</t>
    </rPh>
    <rPh sb="2" eb="4">
      <t>ジョウケン</t>
    </rPh>
    <phoneticPr fontId="19"/>
  </si>
  <si>
    <t>有効な値が条件に指定された場合、期待したレコードが取得、更新、削除されること。</t>
    <rPh sb="0" eb="2">
      <t>ユウコウ</t>
    </rPh>
    <rPh sb="3" eb="4">
      <t>アタイ</t>
    </rPh>
    <rPh sb="5" eb="7">
      <t>ジョウケン</t>
    </rPh>
    <rPh sb="8" eb="10">
      <t>シテイ</t>
    </rPh>
    <rPh sb="13" eb="15">
      <t>バアイ</t>
    </rPh>
    <rPh sb="16" eb="18">
      <t>キタイ</t>
    </rPh>
    <rPh sb="25" eb="27">
      <t>シュトク</t>
    </rPh>
    <rPh sb="28" eb="30">
      <t>コウシン</t>
    </rPh>
    <rPh sb="31" eb="33">
      <t>サクジョ</t>
    </rPh>
    <phoneticPr fontId="19"/>
  </si>
  <si>
    <t>無効な値が条件に指定された場合、レコードが取得、更新、削除されないこと。</t>
    <rPh sb="0" eb="2">
      <t>ムコウ</t>
    </rPh>
    <rPh sb="3" eb="4">
      <t>アタイ</t>
    </rPh>
    <rPh sb="5" eb="7">
      <t>ジョウケン</t>
    </rPh>
    <rPh sb="8" eb="10">
      <t>シテイ</t>
    </rPh>
    <rPh sb="13" eb="15">
      <t>バアイ</t>
    </rPh>
    <phoneticPr fontId="19"/>
  </si>
  <si>
    <t>値が条件に指定されなかった場合、［システム機能設計書/共通コンポーネント設計書の記載通りの挙動］となること。</t>
    <rPh sb="0" eb="1">
      <t>アタイ</t>
    </rPh>
    <rPh sb="2" eb="4">
      <t>ジョウケン</t>
    </rPh>
    <rPh sb="5" eb="7">
      <t>シテイ</t>
    </rPh>
    <rPh sb="13" eb="15">
      <t>バアイ</t>
    </rPh>
    <rPh sb="45" eb="47">
      <t>キョドウ</t>
    </rPh>
    <phoneticPr fontId="19"/>
  </si>
  <si>
    <t>複数条件</t>
    <rPh sb="0" eb="2">
      <t>フクスウ</t>
    </rPh>
    <rPh sb="2" eb="4">
      <t>ジョウケン</t>
    </rPh>
    <phoneticPr fontId="19"/>
  </si>
  <si>
    <t>有効な値の組み合わせが条件に指定された場合、期待したレコードが取得、更新、削除されること。</t>
    <rPh sb="0" eb="2">
      <t>ユウコウ</t>
    </rPh>
    <rPh sb="3" eb="4">
      <t>アタイ</t>
    </rPh>
    <rPh sb="5" eb="6">
      <t>ク</t>
    </rPh>
    <rPh sb="7" eb="8">
      <t>ア</t>
    </rPh>
    <rPh sb="11" eb="13">
      <t>ジョウケン</t>
    </rPh>
    <rPh sb="14" eb="16">
      <t>シテイ</t>
    </rPh>
    <rPh sb="19" eb="21">
      <t>バアイ</t>
    </rPh>
    <rPh sb="22" eb="24">
      <t>キタイ</t>
    </rPh>
    <phoneticPr fontId="19"/>
  </si>
  <si>
    <t>無効な値の組み合わせが条件に指定された場合、レコードが取得、更新、削除されないこと。</t>
    <rPh sb="0" eb="2">
      <t>ムコウ</t>
    </rPh>
    <rPh sb="3" eb="4">
      <t>アタイ</t>
    </rPh>
    <rPh sb="5" eb="6">
      <t>ク</t>
    </rPh>
    <rPh sb="7" eb="8">
      <t>ア</t>
    </rPh>
    <rPh sb="11" eb="13">
      <t>ジョウケン</t>
    </rPh>
    <rPh sb="14" eb="16">
      <t>シテイ</t>
    </rPh>
    <rPh sb="19" eb="21">
      <t>バアイ</t>
    </rPh>
    <phoneticPr fontId="19"/>
  </si>
  <si>
    <t>完全一致</t>
    <rPh sb="0" eb="2">
      <t>カンゼン</t>
    </rPh>
    <rPh sb="2" eb="4">
      <t>イッチ</t>
    </rPh>
    <phoneticPr fontId="2"/>
  </si>
  <si>
    <t>完全一致する値が指定された場合、期待したレコードが取得、更新、削除されること。</t>
  </si>
  <si>
    <t>完全一致しない値が指定された場合、レコードが取得、更新、削除されないこと。</t>
  </si>
  <si>
    <t>部分一致</t>
    <rPh sb="0" eb="2">
      <t>ブブン</t>
    </rPh>
    <rPh sb="2" eb="4">
      <t>イッチ</t>
    </rPh>
    <phoneticPr fontId="19"/>
  </si>
  <si>
    <t>前方一致する値が指定された場合、期待したレコードが取得、更新、削除されること。</t>
  </si>
  <si>
    <t>前方一致しない値が指定された場合、レコードが取得、更新、削除されないこと。</t>
  </si>
  <si>
    <t>後方一致する値が指定された場合、期待したレコードが取得、更新、削除されること。</t>
  </si>
  <si>
    <t>後方一致しない値が指定された場合、レコードが取得、更新、削除されないこと。</t>
  </si>
  <si>
    <t>中間一致する値が指定された場合、期待したレコードが取得、更新、削除されること。</t>
  </si>
  <si>
    <t>中間一致しない値が指定された場合、レコードが取得、更新、削除されないこと。</t>
  </si>
  <si>
    <t>抽出範囲</t>
    <rPh sb="0" eb="2">
      <t>チュウシュツ</t>
    </rPh>
    <rPh sb="2" eb="4">
      <t>ハンイ</t>
    </rPh>
    <phoneticPr fontId="19"/>
  </si>
  <si>
    <t>月、年度の切り替えにより抽出対象が変わる場合、取得、更新、削除されたレコードが［システム機能設計書/共通コンポーネント設計書の記載通り］であること。</t>
    <rPh sb="0" eb="1">
      <t>ツキ</t>
    </rPh>
    <rPh sb="2" eb="4">
      <t>ネンド</t>
    </rPh>
    <rPh sb="5" eb="6">
      <t>キ</t>
    </rPh>
    <rPh sb="7" eb="8">
      <t>カ</t>
    </rPh>
    <rPh sb="12" eb="14">
      <t>チュウシュツ</t>
    </rPh>
    <rPh sb="14" eb="16">
      <t>タイショウ</t>
    </rPh>
    <rPh sb="17" eb="18">
      <t>カ</t>
    </rPh>
    <rPh sb="20" eb="22">
      <t>バアイ</t>
    </rPh>
    <phoneticPr fontId="19"/>
  </si>
  <si>
    <t>エスケープ</t>
  </si>
  <si>
    <t>条件にワイルドカード文字が指定された場合、該当の文字が含まれるレコードが取得、更新、削除されること。</t>
    <rPh sb="0" eb="2">
      <t>ジョウケン</t>
    </rPh>
    <rPh sb="10" eb="12">
      <t>モジ</t>
    </rPh>
    <rPh sb="13" eb="15">
      <t>シテイ</t>
    </rPh>
    <rPh sb="18" eb="20">
      <t>バアイ</t>
    </rPh>
    <rPh sb="21" eb="23">
      <t>ガイトウ</t>
    </rPh>
    <rPh sb="24" eb="26">
      <t>モジ</t>
    </rPh>
    <rPh sb="27" eb="28">
      <t>フク</t>
    </rPh>
    <phoneticPr fontId="2"/>
  </si>
  <si>
    <t>件数上限</t>
    <rPh sb="0" eb="2">
      <t>ケンスウ</t>
    </rPh>
    <rPh sb="2" eb="4">
      <t>ジョウゲン</t>
    </rPh>
    <phoneticPr fontId="19"/>
  </si>
  <si>
    <t>処理件数に上限がある場合、上限の件数以上のレコードが取得、更新、削除されないこと。</t>
    <rPh sb="0" eb="2">
      <t>ショリ</t>
    </rPh>
    <rPh sb="2" eb="4">
      <t>ケンスウ</t>
    </rPh>
    <rPh sb="5" eb="7">
      <t>ジョウゲン</t>
    </rPh>
    <rPh sb="10" eb="12">
      <t>バアイ</t>
    </rPh>
    <rPh sb="13" eb="15">
      <t>ジョウゲン</t>
    </rPh>
    <rPh sb="16" eb="18">
      <t>ケンスウ</t>
    </rPh>
    <rPh sb="18" eb="20">
      <t>イジョウ</t>
    </rPh>
    <phoneticPr fontId="19"/>
  </si>
  <si>
    <t>登録/更新内容</t>
    <rPh sb="0" eb="2">
      <t>トウロク</t>
    </rPh>
    <rPh sb="3" eb="5">
      <t>コウシン</t>
    </rPh>
    <rPh sb="5" eb="7">
      <t>ナイヨウ</t>
    </rPh>
    <phoneticPr fontId="2"/>
  </si>
  <si>
    <t>全項目に値が指定された場合、レコードが登録されること。</t>
  </si>
  <si>
    <t>更新対象の項目すべてに値が指定された場合、レコードが更新されること。</t>
  </si>
  <si>
    <t>必須項目に値が指定されていない場合、レコードが登録されないこと。</t>
  </si>
  <si>
    <t>更新対象の必須項目に値が指定されていない場合、レコードが更新されないこと。</t>
  </si>
  <si>
    <t>必須項目は値あり、任意項目は値なしの場合、レコードが登録、更新されること。</t>
    <rPh sb="0" eb="2">
      <t>ヒッス</t>
    </rPh>
    <rPh sb="2" eb="4">
      <t>コウモク</t>
    </rPh>
    <rPh sb="5" eb="6">
      <t>アタイ</t>
    </rPh>
    <rPh sb="9" eb="11">
      <t>ニンイ</t>
    </rPh>
    <rPh sb="11" eb="13">
      <t>コウモク</t>
    </rPh>
    <rPh sb="14" eb="15">
      <t>アタイ</t>
    </rPh>
    <rPh sb="18" eb="20">
      <t>バアイ</t>
    </rPh>
    <phoneticPr fontId="2"/>
  </si>
  <si>
    <t>編集仕様</t>
    <rPh sb="0" eb="2">
      <t>ヘンシュウ</t>
    </rPh>
    <rPh sb="2" eb="4">
      <t>シヨウ</t>
    </rPh>
    <phoneticPr fontId="19"/>
  </si>
  <si>
    <t>取得した値を変換する設計となっている場合、登録、更新された値が［システム機能設計書/共通コンポーネント設計書の記載通り］であること。</t>
  </si>
  <si>
    <t>取得した値を編集する処理が分岐する設計となっている場合、登録、更新された値が［システム機能設計書/共通コンポーネント設計書の記載通り］であること。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</si>
  <si>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ループ処理によって、取得した値の編集を繰り返す設計となっている場合、登録、更新された値が［システム機能設計書/共通コンポーネント設計書の記載通り］であること。</t>
    <rPh sb="3" eb="5">
      <t>ショリ</t>
    </rPh>
    <rPh sb="16" eb="18">
      <t>ヘンシュウ</t>
    </rPh>
    <rPh sb="19" eb="20">
      <t>ク</t>
    </rPh>
    <rPh sb="21" eb="22">
      <t>カエ</t>
    </rPh>
    <rPh sb="23" eb="25">
      <t>セッケイ</t>
    </rPh>
    <rPh sb="31" eb="33">
      <t>バアイ</t>
    </rPh>
    <phoneticPr fontId="19"/>
  </si>
  <si>
    <t>取得した値を使用して計算する設計となっている場合、登録、更新された値が［システム機能設計書/共通コンポーネント設計書の記載通り］であること。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</si>
  <si>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取得した値を連結する設計となっている場合、登録、更新された値が［システム機能設計書/共通コンポーネント設計書の記載通り］であること。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</si>
  <si>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取得した値を暗号化する設計となっている場合、登録、更新された値が暗号化されること。</t>
    <rPh sb="0" eb="2">
      <t>シュトク</t>
    </rPh>
    <rPh sb="4" eb="5">
      <t>アタイ</t>
    </rPh>
    <rPh sb="6" eb="9">
      <t>アンゴウカ</t>
    </rPh>
    <rPh sb="11" eb="13">
      <t>セッケイ</t>
    </rPh>
    <rPh sb="19" eb="21">
      <t>バアイ</t>
    </rPh>
    <rPh sb="22" eb="24">
      <t>トウロク</t>
    </rPh>
    <rPh sb="25" eb="27">
      <t>コウシン</t>
    </rPh>
    <rPh sb="30" eb="31">
      <t>アタイ</t>
    </rPh>
    <rPh sb="32" eb="35">
      <t>アンゴウカ</t>
    </rPh>
    <phoneticPr fontId="19"/>
  </si>
  <si>
    <t>取得した値をマスキングする設計となっている場合、登録、更新された値がマスキングされること。</t>
    <rPh sb="0" eb="2">
      <t>シュトク</t>
    </rPh>
    <rPh sb="4" eb="5">
      <t>アタイ</t>
    </rPh>
    <rPh sb="13" eb="15">
      <t>セッケイ</t>
    </rPh>
    <rPh sb="21" eb="23">
      <t>バアイ</t>
    </rPh>
    <rPh sb="24" eb="26">
      <t>トウロク</t>
    </rPh>
    <rPh sb="27" eb="29">
      <t>コウシン</t>
    </rPh>
    <rPh sb="32" eb="33">
      <t>アタイ</t>
    </rPh>
    <phoneticPr fontId="19"/>
  </si>
  <si>
    <t>取得した値に改行、タブ、メタキャラクタが含まれる場合、登録、更新された値がエンコーディング、サニタイジングされること。</t>
    <rPh sb="0" eb="2">
      <t>シュトク</t>
    </rPh>
    <rPh sb="4" eb="5">
      <t>アタイ</t>
    </rPh>
    <rPh sb="6" eb="8">
      <t>カイギョウ</t>
    </rPh>
    <rPh sb="20" eb="21">
      <t>フク</t>
    </rPh>
    <rPh sb="24" eb="26">
      <t>バアイ</t>
    </rPh>
    <rPh sb="27" eb="29">
      <t>トウロク</t>
    </rPh>
    <rPh sb="30" eb="32">
      <t>コウシン</t>
    </rPh>
    <rPh sb="35" eb="36">
      <t>アタイ</t>
    </rPh>
    <phoneticPr fontId="19"/>
  </si>
  <si>
    <t>データ型</t>
    <rPh sb="3" eb="4">
      <t>ガタ</t>
    </rPh>
    <phoneticPr fontId="19"/>
  </si>
  <si>
    <t>カラムのデータ型に合わせて、指定された値が登録、更新されること。</t>
    <rPh sb="7" eb="8">
      <t>カタ</t>
    </rPh>
    <rPh sb="9" eb="10">
      <t>ア</t>
    </rPh>
    <rPh sb="14" eb="16">
      <t>シテイ</t>
    </rPh>
    <phoneticPr fontId="19"/>
  </si>
  <si>
    <t>桁数</t>
    <rPh sb="0" eb="2">
      <t>ケタスウ</t>
    </rPh>
    <phoneticPr fontId="19"/>
  </si>
  <si>
    <t>最大長が指定された場合、登録、更新されること。</t>
    <rPh sb="0" eb="2">
      <t>サイダイ</t>
    </rPh>
    <rPh sb="2" eb="3">
      <t>チョウ</t>
    </rPh>
    <rPh sb="4" eb="6">
      <t>シテイ</t>
    </rPh>
    <rPh sb="9" eb="11">
      <t>バアイ</t>
    </rPh>
    <phoneticPr fontId="19"/>
  </si>
  <si>
    <t>最大長＋1が指定された場合、登録、更新されないこと。</t>
    <rPh sb="0" eb="2">
      <t>サイダイ</t>
    </rPh>
    <rPh sb="2" eb="3">
      <t>チョウ</t>
    </rPh>
    <rPh sb="6" eb="8">
      <t>シテイ</t>
    </rPh>
    <rPh sb="11" eb="13">
      <t>バアイ</t>
    </rPh>
    <phoneticPr fontId="19"/>
  </si>
  <si>
    <t>最小長が指定された場合、登録、更新されること。</t>
    <rPh sb="0" eb="2">
      <t>サイショウ</t>
    </rPh>
    <rPh sb="2" eb="3">
      <t>チョウ</t>
    </rPh>
    <rPh sb="4" eb="6">
      <t>シテイ</t>
    </rPh>
    <rPh sb="9" eb="11">
      <t>バアイ</t>
    </rPh>
    <phoneticPr fontId="19"/>
  </si>
  <si>
    <t>最小長－1が指定された場合、登録、更新されないこと。</t>
    <rPh sb="0" eb="2">
      <t>サイショウ</t>
    </rPh>
    <rPh sb="2" eb="3">
      <t>チョウ</t>
    </rPh>
    <rPh sb="6" eb="8">
      <t>シテイ</t>
    </rPh>
    <rPh sb="11" eb="13">
      <t>バアイ</t>
    </rPh>
    <phoneticPr fontId="19"/>
  </si>
  <si>
    <t>サロゲートペア文字を許容する設計となっている場合、サロゲートペア文字を含む値が登録、更新されること。</t>
    <rPh sb="39" eb="41">
      <t>トウロク</t>
    </rPh>
    <rPh sb="42" eb="44">
      <t>コウシン</t>
    </rPh>
    <phoneticPr fontId="19"/>
  </si>
  <si>
    <t>検索</t>
    <rPh sb="0" eb="2">
      <t>ケンサク</t>
    </rPh>
    <phoneticPr fontId="19"/>
  </si>
  <si>
    <t>検索対象のテーブルにレコードがある場合、期待したレコードを取得できること。</t>
    <rPh sb="0" eb="2">
      <t>ケンサク</t>
    </rPh>
    <rPh sb="2" eb="4">
      <t>タイショウ</t>
    </rPh>
    <rPh sb="17" eb="19">
      <t>バアイ</t>
    </rPh>
    <rPh sb="20" eb="22">
      <t>キタイ</t>
    </rPh>
    <rPh sb="29" eb="31">
      <t>シュトク</t>
    </rPh>
    <phoneticPr fontId="19"/>
  </si>
  <si>
    <t>検索対象のテーブルのレコードが0件の場合、［システム機能設計書/共通コンポーネント設計書の記載通りの挙動］であること。</t>
    <rPh sb="0" eb="2">
      <t>ケンサク</t>
    </rPh>
    <rPh sb="2" eb="4">
      <t>タイショウ</t>
    </rPh>
    <rPh sb="16" eb="17">
      <t>ケン</t>
    </rPh>
    <rPh sb="18" eb="20">
      <t>バアイ</t>
    </rPh>
    <rPh sb="50" eb="52">
      <t>キョドウ</t>
    </rPh>
    <phoneticPr fontId="19"/>
  </si>
  <si>
    <t>件数</t>
    <rPh sb="0" eb="2">
      <t>ケンスウ</t>
    </rPh>
    <phoneticPr fontId="19"/>
  </si>
  <si>
    <t>期待したレコード件数を取得できること。</t>
    <rPh sb="0" eb="2">
      <t>キタイ</t>
    </rPh>
    <rPh sb="8" eb="10">
      <t>ケンスウ</t>
    </rPh>
    <rPh sb="11" eb="13">
      <t>シュトク</t>
    </rPh>
    <phoneticPr fontId="19"/>
  </si>
  <si>
    <t>結合</t>
    <rPh sb="0" eb="2">
      <t>ケツゴウ</t>
    </rPh>
    <phoneticPr fontId="19"/>
  </si>
  <si>
    <t>内部結合（INNER JOIN句）を使用する場合、［システム機能設計書/共通コンポーネント設計書の記載通り］に結合された結果が取得できること。</t>
    <rPh sb="0" eb="2">
      <t>ナイブ</t>
    </rPh>
    <rPh sb="2" eb="4">
      <t>ケツゴウ</t>
    </rPh>
    <rPh sb="15" eb="16">
      <t>ク</t>
    </rPh>
    <rPh sb="18" eb="20">
      <t>シヨウ</t>
    </rPh>
    <rPh sb="22" eb="24">
      <t>バアイ</t>
    </rPh>
    <rPh sb="55" eb="57">
      <t>ケツゴウ</t>
    </rPh>
    <rPh sb="60" eb="62">
      <t>ケッカ</t>
    </rPh>
    <rPh sb="63" eb="65">
      <t>シュトク</t>
    </rPh>
    <phoneticPr fontId="19"/>
  </si>
  <si>
    <t>外部結合（OUTER JOIN句）を使用する場合、［システム機能設計書/共通コンポーネント設計書の記載通り］に結合された結果が取得できること。</t>
    <rPh sb="0" eb="2">
      <t>ガイブ</t>
    </rPh>
    <rPh sb="2" eb="4">
      <t>ケツゴウ</t>
    </rPh>
    <rPh sb="15" eb="16">
      <t>ク</t>
    </rPh>
    <rPh sb="18" eb="20">
      <t>シヨウ</t>
    </rPh>
    <rPh sb="22" eb="24">
      <t>バアイ</t>
    </rPh>
    <phoneticPr fontId="19"/>
  </si>
  <si>
    <t>ソート順</t>
    <rPh sb="3" eb="4">
      <t>ジュン</t>
    </rPh>
    <phoneticPr fontId="19"/>
  </si>
  <si>
    <t>ORDER BY句に指定した条件でソートされた結果を取得できること。</t>
    <rPh sb="8" eb="9">
      <t>ク</t>
    </rPh>
    <rPh sb="10" eb="12">
      <t>シテイ</t>
    </rPh>
    <rPh sb="14" eb="16">
      <t>ジョウケン</t>
    </rPh>
    <rPh sb="23" eb="25">
      <t>ケッカ</t>
    </rPh>
    <rPh sb="26" eb="28">
      <t>シュトク</t>
    </rPh>
    <phoneticPr fontId="19"/>
  </si>
  <si>
    <t>グループ化</t>
    <rPh sb="4" eb="5">
      <t>カ</t>
    </rPh>
    <phoneticPr fontId="19"/>
  </si>
  <si>
    <t>GROUP BY句に指定した条件でグループ化された結果を取得できること。</t>
    <rPh sb="8" eb="9">
      <t>ク</t>
    </rPh>
    <rPh sb="10" eb="12">
      <t>シテイ</t>
    </rPh>
    <rPh sb="14" eb="16">
      <t>ジョウケン</t>
    </rPh>
    <rPh sb="21" eb="22">
      <t>カ</t>
    </rPh>
    <rPh sb="25" eb="27">
      <t>ケッカ</t>
    </rPh>
    <rPh sb="28" eb="30">
      <t>シュトク</t>
    </rPh>
    <phoneticPr fontId="19"/>
  </si>
  <si>
    <t>登録</t>
  </si>
  <si>
    <t>登録対象のテーブルに期待したレコードが追加されること。</t>
    <rPh sb="0" eb="2">
      <t>トウロク</t>
    </rPh>
    <rPh sb="2" eb="4">
      <t>タイショウ</t>
    </rPh>
    <rPh sb="10" eb="12">
      <t>キタイ</t>
    </rPh>
    <rPh sb="19" eb="21">
      <t>ツイカ</t>
    </rPh>
    <phoneticPr fontId="19"/>
  </si>
  <si>
    <t>期待したレコード件数を登録できること。</t>
    <rPh sb="0" eb="2">
      <t>キタイ</t>
    </rPh>
    <rPh sb="8" eb="10">
      <t>ケンスウ</t>
    </rPh>
    <rPh sb="11" eb="13">
      <t>トウロク</t>
    </rPh>
    <phoneticPr fontId="19"/>
  </si>
  <si>
    <t>エラー</t>
  </si>
  <si>
    <t>エラーが発生した場合、登録対象のテーブルの状態が［システム機能設計書/共通コンポーネント設計書/方式設計書の記載通り］であること。</t>
    <rPh sb="4" eb="6">
      <t>ハッセイ</t>
    </rPh>
    <rPh sb="8" eb="10">
      <t>バアイ</t>
    </rPh>
    <rPh sb="11" eb="13">
      <t>トウロク</t>
    </rPh>
    <rPh sb="13" eb="15">
      <t>タイショウ</t>
    </rPh>
    <rPh sb="21" eb="23">
      <t>ジョウタイ</t>
    </rPh>
    <rPh sb="48" eb="50">
      <t>ホウシキ</t>
    </rPh>
    <rPh sb="50" eb="53">
      <t>セッケイショ</t>
    </rPh>
    <phoneticPr fontId="19"/>
  </si>
  <si>
    <t>更新</t>
  </si>
  <si>
    <t>更新対象のテーブルに更新するレコードがある場合、期待したレコードが更新されること。</t>
    <rPh sb="0" eb="2">
      <t>コウシン</t>
    </rPh>
    <rPh sb="2" eb="4">
      <t>タイショウ</t>
    </rPh>
    <rPh sb="10" eb="12">
      <t>コウシン</t>
    </rPh>
    <rPh sb="21" eb="23">
      <t>バアイ</t>
    </rPh>
    <rPh sb="24" eb="26">
      <t>キタイ</t>
    </rPh>
    <rPh sb="33" eb="35">
      <t>コウシン</t>
    </rPh>
    <phoneticPr fontId="19"/>
  </si>
  <si>
    <t>更新対象のテーブルに更新するレコードがない場合、［システム機能設計書/共通コンポーネント設計書の記載通りの挙動］となること。</t>
    <rPh sb="0" eb="2">
      <t>コウシン</t>
    </rPh>
    <rPh sb="2" eb="4">
      <t>タイショウ</t>
    </rPh>
    <rPh sb="10" eb="12">
      <t>コウシン</t>
    </rPh>
    <rPh sb="21" eb="23">
      <t>バアイ</t>
    </rPh>
    <rPh sb="53" eb="55">
      <t>キョドウ</t>
    </rPh>
    <phoneticPr fontId="19"/>
  </si>
  <si>
    <t>期待したレコード件数を更新できること。</t>
    <rPh sb="0" eb="2">
      <t>キタイ</t>
    </rPh>
    <rPh sb="8" eb="10">
      <t>ケンスウ</t>
    </rPh>
    <rPh sb="11" eb="13">
      <t>コウシン</t>
    </rPh>
    <phoneticPr fontId="19"/>
  </si>
  <si>
    <t>内部結合（INNER JOIN句）を使用する場合、［システム機能設計書/共通コンポーネント設計書の記載通り］に結合されたレコードが更新できること。</t>
    <rPh sb="0" eb="2">
      <t>ナイブ</t>
    </rPh>
    <rPh sb="2" eb="4">
      <t>ケツゴウ</t>
    </rPh>
    <rPh sb="15" eb="16">
      <t>ク</t>
    </rPh>
    <rPh sb="18" eb="20">
      <t>シヨウ</t>
    </rPh>
    <rPh sb="22" eb="24">
      <t>バアイ</t>
    </rPh>
    <rPh sb="65" eb="67">
      <t>コウシン</t>
    </rPh>
    <phoneticPr fontId="19"/>
  </si>
  <si>
    <t>外部結合（OUTER JOIN句）を使用する場合、［システム機能設計書/共通コンポーネント設計書の記載通り］に結合されたレコードが更新できること。</t>
    <rPh sb="0" eb="2">
      <t>ガイブ</t>
    </rPh>
    <rPh sb="2" eb="4">
      <t>ケツゴウ</t>
    </rPh>
    <rPh sb="15" eb="16">
      <t>ク</t>
    </rPh>
    <rPh sb="18" eb="20">
      <t>シヨウ</t>
    </rPh>
    <rPh sb="22" eb="24">
      <t>バアイ</t>
    </rPh>
    <phoneticPr fontId="19"/>
  </si>
  <si>
    <t>エラーが発生した場合、更新対象のテーブルの状態が［システム機能設計書/共通コンポーネント設計書/方式設計書の記載通り］であること。</t>
    <rPh sb="4" eb="6">
      <t>ハッセイ</t>
    </rPh>
    <rPh sb="8" eb="10">
      <t>バアイ</t>
    </rPh>
    <rPh sb="11" eb="13">
      <t>コウシン</t>
    </rPh>
    <rPh sb="13" eb="15">
      <t>タイショウ</t>
    </rPh>
    <rPh sb="21" eb="23">
      <t>ジョウタイ</t>
    </rPh>
    <phoneticPr fontId="19"/>
  </si>
  <si>
    <t>削除</t>
  </si>
  <si>
    <t>論理削除</t>
  </si>
  <si>
    <t>論理削除対象のテーブルに更新するレコードがある場合、期待したレコードが論理削除されること。</t>
    <rPh sb="0" eb="2">
      <t>ロンリ</t>
    </rPh>
    <rPh sb="2" eb="4">
      <t>サクジョ</t>
    </rPh>
    <rPh sb="35" eb="37">
      <t>ロンリ</t>
    </rPh>
    <rPh sb="37" eb="39">
      <t>サクジョ</t>
    </rPh>
    <phoneticPr fontId="19"/>
  </si>
  <si>
    <t>論理削除対象のテーブルに更新するレコードがない場合、［システム機能設計書/共通コンポーネント設計書の記載通りの挙動］となること。</t>
    <rPh sb="0" eb="2">
      <t>ロンリ</t>
    </rPh>
    <rPh sb="2" eb="4">
      <t>サクジョ</t>
    </rPh>
    <rPh sb="4" eb="6">
      <t>タイショウ</t>
    </rPh>
    <rPh sb="12" eb="14">
      <t>コウシン</t>
    </rPh>
    <rPh sb="23" eb="25">
      <t>バアイ</t>
    </rPh>
    <phoneticPr fontId="19"/>
  </si>
  <si>
    <t>期待したレコード件数を論理削除できること。</t>
    <rPh sb="0" eb="2">
      <t>キタイ</t>
    </rPh>
    <rPh sb="8" eb="10">
      <t>ケンスウ</t>
    </rPh>
    <rPh sb="11" eb="13">
      <t>ロンリ</t>
    </rPh>
    <rPh sb="13" eb="15">
      <t>サクジョ</t>
    </rPh>
    <phoneticPr fontId="19"/>
  </si>
  <si>
    <t>内部結合（INNER JOIN句）を使用する場合、［システム機能設計書/共通コンポーネント設計書の記載通り］に結合されたレコードが論理削除できること。</t>
    <rPh sb="0" eb="2">
      <t>ナイブ</t>
    </rPh>
    <rPh sb="2" eb="4">
      <t>ケツゴウ</t>
    </rPh>
    <rPh sb="15" eb="16">
      <t>ク</t>
    </rPh>
    <rPh sb="18" eb="20">
      <t>シヨウ</t>
    </rPh>
    <rPh sb="22" eb="24">
      <t>バアイ</t>
    </rPh>
    <rPh sb="65" eb="67">
      <t>ロンリ</t>
    </rPh>
    <rPh sb="67" eb="69">
      <t>サクジョ</t>
    </rPh>
    <phoneticPr fontId="19"/>
  </si>
  <si>
    <t>外部結合（OUTER JOIN句）を使用する場合、［システム機能設計書/共通コンポーネント設計書の記載通り］に結合されたレコードが論理削除できること。</t>
    <rPh sb="0" eb="2">
      <t>ガイブ</t>
    </rPh>
    <rPh sb="2" eb="4">
      <t>ケツゴウ</t>
    </rPh>
    <rPh sb="15" eb="16">
      <t>ク</t>
    </rPh>
    <rPh sb="18" eb="20">
      <t>シヨウ</t>
    </rPh>
    <rPh sb="22" eb="24">
      <t>バアイ</t>
    </rPh>
    <phoneticPr fontId="19"/>
  </si>
  <si>
    <t>物理削除</t>
  </si>
  <si>
    <t>物理削除対象のテーブルに削除するレコードがある場合、期待したレコードが物理削除されること。</t>
    <rPh sb="0" eb="2">
      <t>ブツリ</t>
    </rPh>
    <rPh sb="2" eb="4">
      <t>サクジョ</t>
    </rPh>
    <rPh sb="12" eb="14">
      <t>サクジョ</t>
    </rPh>
    <rPh sb="35" eb="37">
      <t>ブツリ</t>
    </rPh>
    <rPh sb="37" eb="39">
      <t>サクジョ</t>
    </rPh>
    <phoneticPr fontId="19"/>
  </si>
  <si>
    <t>物理削除対象のテーブルに削除するレコードがない場合、［システム機能設計書/共通コンポーネント設計書の記載通りの挙動］となること。</t>
    <rPh sb="0" eb="2">
      <t>ブツリ</t>
    </rPh>
    <rPh sb="2" eb="4">
      <t>サクジョ</t>
    </rPh>
    <rPh sb="4" eb="6">
      <t>タイショウ</t>
    </rPh>
    <rPh sb="12" eb="14">
      <t>サクジョ</t>
    </rPh>
    <rPh sb="23" eb="25">
      <t>バアイ</t>
    </rPh>
    <phoneticPr fontId="19"/>
  </si>
  <si>
    <t>期待したレコード件数を物理削除できること。</t>
    <rPh sb="0" eb="2">
      <t>キタイ</t>
    </rPh>
    <rPh sb="8" eb="10">
      <t>ケンスウ</t>
    </rPh>
    <rPh sb="11" eb="13">
      <t>ブツリ</t>
    </rPh>
    <rPh sb="13" eb="15">
      <t>サクジョ</t>
    </rPh>
    <phoneticPr fontId="19"/>
  </si>
  <si>
    <t>内部結合（INNER JOIN句）を使用する場合、［システム機能設計書/共通コンポーネント設計書の記載通り］に結合されたレコードが物理削除できること。</t>
    <rPh sb="0" eb="2">
      <t>ナイブ</t>
    </rPh>
    <rPh sb="2" eb="4">
      <t>ケツゴウ</t>
    </rPh>
    <rPh sb="15" eb="16">
      <t>ク</t>
    </rPh>
    <rPh sb="18" eb="20">
      <t>シヨウ</t>
    </rPh>
    <rPh sb="22" eb="24">
      <t>バアイ</t>
    </rPh>
    <rPh sb="65" eb="67">
      <t>ブツリ</t>
    </rPh>
    <phoneticPr fontId="19"/>
  </si>
  <si>
    <t>外部結合（OUTER JOIN句）を使用する場合、［システム機能設計書/共通コンポーネント設計書の記載通り］に結合されたレコードが物理削除できること。</t>
    <rPh sb="0" eb="2">
      <t>ガイブ</t>
    </rPh>
    <rPh sb="2" eb="4">
      <t>ケツゴウ</t>
    </rPh>
    <rPh sb="15" eb="16">
      <t>ク</t>
    </rPh>
    <rPh sb="18" eb="20">
      <t>シヨウ</t>
    </rPh>
    <rPh sb="22" eb="24">
      <t>バアイ</t>
    </rPh>
    <phoneticPr fontId="19"/>
  </si>
  <si>
    <t>エラーが発生した場合、削除対象のテーブルの状態が［システム機能設計書/共通コンポーネント設計書/方式設計書の記載通り］であること。</t>
    <rPh sb="4" eb="6">
      <t>ハッセイ</t>
    </rPh>
    <rPh sb="8" eb="10">
      <t>バアイ</t>
    </rPh>
    <rPh sb="11" eb="13">
      <t>サクジョ</t>
    </rPh>
    <rPh sb="13" eb="15">
      <t>タイショウ</t>
    </rPh>
    <rPh sb="21" eb="23">
      <t>ジョウタイ</t>
    </rPh>
    <phoneticPr fontId="19"/>
  </si>
  <si>
    <t>DB制御</t>
    <rPh sb="2" eb="4">
      <t>セイギョ</t>
    </rPh>
    <phoneticPr fontId="19"/>
  </si>
  <si>
    <t>更新順序</t>
    <rPh sb="0" eb="2">
      <t>コウシン</t>
    </rPh>
    <rPh sb="2" eb="4">
      <t>ジュンジョ</t>
    </rPh>
    <phoneticPr fontId="2"/>
  </si>
  <si>
    <t>複数テーブルに対し、登録、更新、削除を行う場合、処理されるテーブルの順序が［システム機能設計書/共通コンポーネント設計書の記載通り］であること。</t>
    <rPh sb="0" eb="2">
      <t>フクスウ</t>
    </rPh>
    <rPh sb="7" eb="8">
      <t>タイ</t>
    </rPh>
    <rPh sb="10" eb="12">
      <t>トウロク</t>
    </rPh>
    <rPh sb="13" eb="15">
      <t>コウシン</t>
    </rPh>
    <rPh sb="16" eb="18">
      <t>サクジョ</t>
    </rPh>
    <rPh sb="19" eb="20">
      <t>オコナ</t>
    </rPh>
    <rPh sb="21" eb="23">
      <t>バアイ</t>
    </rPh>
    <rPh sb="24" eb="26">
      <t>ショリ</t>
    </rPh>
    <rPh sb="34" eb="36">
      <t>ジュンジョ</t>
    </rPh>
    <rPh sb="42" eb="47">
      <t>キノウセッケイショ</t>
    </rPh>
    <rPh sb="48" eb="50">
      <t>キョウツウ</t>
    </rPh>
    <rPh sb="57" eb="60">
      <t>セッケイショ</t>
    </rPh>
    <rPh sb="61" eb="64">
      <t>キサイドオ</t>
    </rPh>
    <phoneticPr fontId="2"/>
  </si>
  <si>
    <t>排他制御</t>
    <rPh sb="0" eb="2">
      <t>ハイタ</t>
    </rPh>
    <rPh sb="2" eb="4">
      <t>セイギョ</t>
    </rPh>
    <phoneticPr fontId="19"/>
  </si>
  <si>
    <t>登録、更新、削除の実行時に楽観的ロックができること。</t>
    <rPh sb="0" eb="2">
      <t>トウロク</t>
    </rPh>
    <rPh sb="3" eb="5">
      <t>コウシン</t>
    </rPh>
    <rPh sb="6" eb="8">
      <t>サクジョ</t>
    </rPh>
    <rPh sb="9" eb="11">
      <t>ジッコウ</t>
    </rPh>
    <rPh sb="11" eb="12">
      <t>ジ</t>
    </rPh>
    <rPh sb="13" eb="16">
      <t>ラッカンテキ</t>
    </rPh>
    <phoneticPr fontId="19"/>
  </si>
  <si>
    <t>登録、更新、削除の実行時に悲観的ロックができること。</t>
    <rPh sb="0" eb="2">
      <t>トウロク</t>
    </rPh>
    <rPh sb="3" eb="5">
      <t>コウシン</t>
    </rPh>
    <rPh sb="6" eb="8">
      <t>サクジョ</t>
    </rPh>
    <rPh sb="9" eb="11">
      <t>ジッコウ</t>
    </rPh>
    <rPh sb="11" eb="12">
      <t>ジ</t>
    </rPh>
    <rPh sb="13" eb="15">
      <t>ヒカン</t>
    </rPh>
    <rPh sb="15" eb="16">
      <t>テキ</t>
    </rPh>
    <phoneticPr fontId="19"/>
  </si>
  <si>
    <t>ロールバック</t>
  </si>
  <si>
    <t>エラーが発生した場合、ロールバックされること。</t>
    <rPh sb="4" eb="6">
      <t>ハッセイ</t>
    </rPh>
    <rPh sb="8" eb="10">
      <t>バアイ</t>
    </rPh>
    <phoneticPr fontId="19"/>
  </si>
  <si>
    <t>コミット</t>
  </si>
  <si>
    <t>コミットタイミングが［方式設計書の記載通り］であること。</t>
    <rPh sb="11" eb="13">
      <t>ホウシキ</t>
    </rPh>
    <rPh sb="13" eb="16">
      <t>セッケイショ</t>
    </rPh>
    <rPh sb="17" eb="19">
      <t>キサイ</t>
    </rPh>
    <rPh sb="19" eb="20">
      <t>ドオ</t>
    </rPh>
    <phoneticPr fontId="2"/>
  </si>
  <si>
    <t>コミットの単位が［方式設計書の記載通り］であること。</t>
    <rPh sb="9" eb="14">
      <t>ホウシキセッケイショ</t>
    </rPh>
    <rPh sb="15" eb="17">
      <t>キサイ</t>
    </rPh>
    <rPh sb="17" eb="18">
      <t>ドオ</t>
    </rPh>
    <phoneticPr fontId="2"/>
  </si>
  <si>
    <t>ファイル取込</t>
    <rPh sb="4" eb="6">
      <t>トリコミ</t>
    </rPh>
    <phoneticPr fontId="2"/>
  </si>
  <si>
    <t>実行結果</t>
    <rPh sb="0" eb="2">
      <t>ジッコウ</t>
    </rPh>
    <rPh sb="2" eb="4">
      <t>ケッカ</t>
    </rPh>
    <phoneticPr fontId="19"/>
  </si>
  <si>
    <t>取り込まれたファイルの格納先が［システム機能設計書/共通コンポーネント設計書の記載通り］であること。</t>
    <rPh sb="0" eb="1">
      <t>ト</t>
    </rPh>
    <rPh sb="2" eb="3">
      <t>コ</t>
    </rPh>
    <rPh sb="11" eb="13">
      <t>カクノウ</t>
    </rPh>
    <rPh sb="13" eb="14">
      <t>サキ</t>
    </rPh>
    <phoneticPr fontId="2"/>
  </si>
  <si>
    <t>※ファイルアップロードを含む</t>
  </si>
  <si>
    <t>取り込まれたファイルが、指定のファイル名で格納されること。</t>
    <rPh sb="12" eb="14">
      <t>シテイ</t>
    </rPh>
    <rPh sb="19" eb="20">
      <t>メイ</t>
    </rPh>
    <rPh sb="21" eb="23">
      <t>カクノウ</t>
    </rPh>
    <phoneticPr fontId="2"/>
  </si>
  <si>
    <t>取り込まれたファイルのアクセス権限が［システム機能設計書/共通コンポーネント設計書の記載通り］であること。</t>
    <rPh sb="15" eb="17">
      <t>ケンゲン</t>
    </rPh>
    <phoneticPr fontId="2"/>
  </si>
  <si>
    <t>取り込まれたファイルの所有権が［システム機能設計書/共通コンポーネント設計書の記載通り］であること。</t>
    <rPh sb="11" eb="13">
      <t>ショユウ</t>
    </rPh>
    <phoneticPr fontId="2"/>
  </si>
  <si>
    <t>取り込まれたファイルに含まれるレコードの長さが最大長の場合、エラーとならないこと。</t>
    <rPh sb="11" eb="12">
      <t>フク</t>
    </rPh>
    <rPh sb="20" eb="21">
      <t>ナガ</t>
    </rPh>
    <rPh sb="23" eb="25">
      <t>サイダイ</t>
    </rPh>
    <rPh sb="25" eb="26">
      <t>チョウ</t>
    </rPh>
    <rPh sb="27" eb="29">
      <t>バアイ</t>
    </rPh>
    <phoneticPr fontId="19"/>
  </si>
  <si>
    <t>取り込まれたファイルに含まれるレコードの長さが最大長＋1の場合、エラーとなること。</t>
    <rPh sb="11" eb="12">
      <t>フク</t>
    </rPh>
    <rPh sb="20" eb="21">
      <t>ナガ</t>
    </rPh>
    <rPh sb="23" eb="25">
      <t>サイダイ</t>
    </rPh>
    <rPh sb="29" eb="31">
      <t>バアイ</t>
    </rPh>
    <phoneticPr fontId="19"/>
  </si>
  <si>
    <t>取り込まれたファイルに含まれるレコードの長さが最小長の場合、エラーとならないこと。</t>
    <rPh sb="11" eb="12">
      <t>フク</t>
    </rPh>
    <rPh sb="20" eb="21">
      <t>ナガ</t>
    </rPh>
    <rPh sb="23" eb="25">
      <t>サイショウ</t>
    </rPh>
    <rPh sb="27" eb="29">
      <t>バアイ</t>
    </rPh>
    <phoneticPr fontId="19"/>
  </si>
  <si>
    <t>取り込まれたファイルに含まれるレコードの長さが最小長-1の場合、エラーとなること。</t>
    <rPh sb="11" eb="12">
      <t>フク</t>
    </rPh>
    <rPh sb="20" eb="21">
      <t>ナガ</t>
    </rPh>
    <rPh sb="23" eb="25">
      <t>サイショウ</t>
    </rPh>
    <rPh sb="29" eb="31">
      <t>バアイ</t>
    </rPh>
    <phoneticPr fontId="19"/>
  </si>
  <si>
    <t>サロゲートペア文字を許容する設計となっている場合、サロゲートペア文字を含むレコードを取り込んだ結果がエラーとならないこと。</t>
    <rPh sb="42" eb="43">
      <t>ト</t>
    </rPh>
    <rPh sb="44" eb="45">
      <t>コ</t>
    </rPh>
    <rPh sb="47" eb="49">
      <t>ケッカ</t>
    </rPh>
    <phoneticPr fontId="19"/>
  </si>
  <si>
    <t>レコード件数</t>
    <rPh sb="4" eb="6">
      <t>ケンスウ</t>
    </rPh>
    <phoneticPr fontId="19"/>
  </si>
  <si>
    <t>取り込まれたファイルのレコード件数が複数の場合、［システム機能設計書/共通コンポーネント設計書の記載通りの挙動］となること。</t>
    <rPh sb="15" eb="17">
      <t>ケンスウ</t>
    </rPh>
    <rPh sb="18" eb="20">
      <t>フクスウ</t>
    </rPh>
    <rPh sb="21" eb="23">
      <t>バアイ</t>
    </rPh>
    <phoneticPr fontId="19"/>
  </si>
  <si>
    <t>取り込まれたファイルのレコードが0件（空ファイル）の場合、［システム機能設計書/共通コンポーネント設計書の記載通りの挙動］となること。</t>
    <rPh sb="17" eb="18">
      <t>ケン</t>
    </rPh>
    <rPh sb="19" eb="20">
      <t>カラ</t>
    </rPh>
    <rPh sb="26" eb="28">
      <t>バアイ</t>
    </rPh>
    <phoneticPr fontId="19"/>
  </si>
  <si>
    <t>取り込まれたファイルがマルチレイアウトの場合、同一レコード種類のレコードが複数件存在する時の処理が［システム機能設計書/共通コンポーネント設計書の記載通りの挙動］であること。</t>
    <rPh sb="20" eb="22">
      <t>バアイ</t>
    </rPh>
    <rPh sb="23" eb="25">
      <t>ドウイツ</t>
    </rPh>
    <rPh sb="29" eb="31">
      <t>シュルイ</t>
    </rPh>
    <rPh sb="37" eb="39">
      <t>フクスウ</t>
    </rPh>
    <rPh sb="39" eb="40">
      <t>ケン</t>
    </rPh>
    <rPh sb="40" eb="42">
      <t>ソンザイ</t>
    </rPh>
    <rPh sb="44" eb="45">
      <t>トキ</t>
    </rPh>
    <rPh sb="46" eb="48">
      <t>ショリ</t>
    </rPh>
    <rPh sb="78" eb="80">
      <t>キョドウ</t>
    </rPh>
    <phoneticPr fontId="19"/>
  </si>
  <si>
    <t>取り込まれたファイルがマルチレイアウトの場合、レコード種類のうちデータレコードにあたる件数が0件の時、［システム機能設計書/共通コンポーネント設計書の記載通りの挙動］であること。</t>
    <rPh sb="20" eb="22">
      <t>バアイ</t>
    </rPh>
    <rPh sb="27" eb="29">
      <t>シュルイ</t>
    </rPh>
    <rPh sb="43" eb="45">
      <t>ケンスウ</t>
    </rPh>
    <rPh sb="49" eb="50">
      <t>ジ</t>
    </rPh>
    <phoneticPr fontId="19"/>
  </si>
  <si>
    <t>取り込まれたファイルがマルチレイアウトの場合、全レコード種類が含まれる時の処理が［システム機能設計書/共通コンポーネント設計書の記載通りの挙動］であること。</t>
    <rPh sb="20" eb="22">
      <t>バアイ</t>
    </rPh>
    <rPh sb="23" eb="24">
      <t>ゼン</t>
    </rPh>
    <rPh sb="28" eb="30">
      <t>シュルイ</t>
    </rPh>
    <rPh sb="31" eb="32">
      <t>フク</t>
    </rPh>
    <rPh sb="35" eb="36">
      <t>トキ</t>
    </rPh>
    <rPh sb="37" eb="39">
      <t>ショリ</t>
    </rPh>
    <phoneticPr fontId="19"/>
  </si>
  <si>
    <t>インターフェース仕様</t>
  </si>
  <si>
    <t>インターフェース仕様が設計と異なるファイルを取り込んだ場合、実行結果が［方式設計書の記載通り］となること。</t>
    <rPh sb="8" eb="10">
      <t>シヨウ</t>
    </rPh>
    <rPh sb="11" eb="13">
      <t>セッケイ</t>
    </rPh>
    <rPh sb="14" eb="15">
      <t>コト</t>
    </rPh>
    <rPh sb="22" eb="23">
      <t>ト</t>
    </rPh>
    <rPh sb="24" eb="25">
      <t>コ</t>
    </rPh>
    <rPh sb="27" eb="29">
      <t>バアイ</t>
    </rPh>
    <rPh sb="30" eb="32">
      <t>ジッコウ</t>
    </rPh>
    <rPh sb="32" eb="34">
      <t>ケッカ</t>
    </rPh>
    <rPh sb="36" eb="38">
      <t>ホウシキ</t>
    </rPh>
    <rPh sb="38" eb="40">
      <t>セッケイ</t>
    </rPh>
    <rPh sb="40" eb="41">
      <t>ショ</t>
    </rPh>
    <rPh sb="42" eb="45">
      <t>キサイドオ</t>
    </rPh>
    <phoneticPr fontId="19"/>
  </si>
  <si>
    <t>エラーが発生した場合、取込対象のファイルの状態が［システム機能設計書/共通コンポーネント設計書の記載通り］であること。</t>
    <rPh sb="4" eb="6">
      <t>ハッセイ</t>
    </rPh>
    <rPh sb="8" eb="10">
      <t>バアイ</t>
    </rPh>
    <rPh sb="11" eb="13">
      <t>トリコミ</t>
    </rPh>
    <rPh sb="13" eb="15">
      <t>タイショウ</t>
    </rPh>
    <rPh sb="21" eb="23">
      <t>ジョウタイ</t>
    </rPh>
    <phoneticPr fontId="19"/>
  </si>
  <si>
    <t>フォーマット定義</t>
    <rPh sb="6" eb="8">
      <t>テイギ</t>
    </rPh>
    <phoneticPr fontId="19"/>
  </si>
  <si>
    <t>レコード構成</t>
    <rPh sb="4" eb="6">
      <t>コウセイ</t>
    </rPh>
    <phoneticPr fontId="19"/>
  </si>
  <si>
    <t>取り込まれたファイルがマルチレイアウトの場合、全レコード種類の構成が［外部インターフェース設計書/サブシステムインターフェース設計書の記載通り］であること。</t>
    <rPh sb="20" eb="22">
      <t>バアイ</t>
    </rPh>
    <rPh sb="23" eb="24">
      <t>ゼン</t>
    </rPh>
    <rPh sb="28" eb="30">
      <t>シュルイ</t>
    </rPh>
    <rPh sb="31" eb="33">
      <t>コウセイ</t>
    </rPh>
    <rPh sb="35" eb="37">
      <t>ガイブ</t>
    </rPh>
    <rPh sb="63" eb="65">
      <t>セッケイ</t>
    </rPh>
    <rPh sb="65" eb="66">
      <t>ショ</t>
    </rPh>
    <rPh sb="67" eb="69">
      <t>キサイ</t>
    </rPh>
    <rPh sb="69" eb="70">
      <t>ドオ</t>
    </rPh>
    <phoneticPr fontId="19"/>
  </si>
  <si>
    <t>ファイルサイズ</t>
  </si>
  <si>
    <t>取り込まれたファイルのサイズをバリデーションする場合、有効なサイズのファイルがエラーとならないこと。</t>
    <rPh sb="24" eb="26">
      <t>バアイ</t>
    </rPh>
    <rPh sb="27" eb="29">
      <t>ユウコウ</t>
    </rPh>
    <phoneticPr fontId="19"/>
  </si>
  <si>
    <t>取り込まれたファイルのサイズバリデーションする場合、無効なサイズのファイルがエラーとなること。</t>
    <rPh sb="23" eb="25">
      <t>バアイ</t>
    </rPh>
    <rPh sb="26" eb="28">
      <t>ムコウ</t>
    </rPh>
    <phoneticPr fontId="19"/>
  </si>
  <si>
    <t>取り込まれたファイルのサイズをバリデーションしない場合、想定以上のサイズのファイル取込結果が［システム機能設計書/共通コンポーネント設計書の記載通り］であること。</t>
    <rPh sb="25" eb="27">
      <t>バアイ</t>
    </rPh>
    <rPh sb="28" eb="30">
      <t>ソウテイ</t>
    </rPh>
    <rPh sb="30" eb="32">
      <t>イジョウ</t>
    </rPh>
    <rPh sb="41" eb="43">
      <t>トリコミ</t>
    </rPh>
    <rPh sb="43" eb="45">
      <t>ケッカ</t>
    </rPh>
    <phoneticPr fontId="19"/>
  </si>
  <si>
    <t>ファイル出力</t>
    <rPh sb="4" eb="6">
      <t>シュツリョク</t>
    </rPh>
    <phoneticPr fontId="2"/>
  </si>
  <si>
    <t>出力したファイルが、指定したディレクトリに格納されること。</t>
    <rPh sb="10" eb="12">
      <t>シテイ</t>
    </rPh>
    <rPh sb="21" eb="23">
      <t>カクノウ</t>
    </rPh>
    <phoneticPr fontId="2"/>
  </si>
  <si>
    <t>※ファイルダウンロードを含む</t>
    <rPh sb="12" eb="13">
      <t>フク</t>
    </rPh>
    <phoneticPr fontId="19"/>
  </si>
  <si>
    <t>出力したファイルが、指定したファイル名で格納されること。</t>
    <rPh sb="10" eb="12">
      <t>シテイ</t>
    </rPh>
    <rPh sb="18" eb="19">
      <t>メイ</t>
    </rPh>
    <rPh sb="20" eb="22">
      <t>カクノウ</t>
    </rPh>
    <phoneticPr fontId="2"/>
  </si>
  <si>
    <t>出力したファイルのアクセス権限が［システム機能設計書/共通コンポーネント設計書の記載通り］であること。</t>
  </si>
  <si>
    <t>出力したファイルの所有権が［システム機能設計書/共通コンポーネント設計書の記載通り］であること。</t>
    <rPh sb="9" eb="11">
      <t>ショユウ</t>
    </rPh>
    <phoneticPr fontId="2"/>
  </si>
  <si>
    <t>ファイル名</t>
    <rPh sb="4" eb="5">
      <t>メイ</t>
    </rPh>
    <phoneticPr fontId="2"/>
  </si>
  <si>
    <t>ファイル保存先を指定するダイアログボックスにデフォルトファイル名が表示されること。</t>
    <rPh sb="4" eb="6">
      <t>ホゾン</t>
    </rPh>
    <rPh sb="6" eb="7">
      <t>サキ</t>
    </rPh>
    <rPh sb="8" eb="10">
      <t>シテイ</t>
    </rPh>
    <rPh sb="33" eb="35">
      <t>ヒョウジ</t>
    </rPh>
    <phoneticPr fontId="19"/>
  </si>
  <si>
    <t>ダウンロード先ディレクトリに同名ファイルが存在する場合、［システム機能設計書/共通コンポーネント設計書の記載通りの挙動］となること。</t>
    <rPh sb="6" eb="7">
      <t>サキ</t>
    </rPh>
    <rPh sb="14" eb="16">
      <t>ドウメイ</t>
    </rPh>
    <rPh sb="21" eb="23">
      <t>ソンザイ</t>
    </rPh>
    <rPh sb="25" eb="27">
      <t>バアイ</t>
    </rPh>
    <phoneticPr fontId="19"/>
  </si>
  <si>
    <t>エラーが発生した場合、出力対象のファイルの状態が［システム機能設計書/共通コンポーネント設計書の記載通り］であること。</t>
    <rPh sb="4" eb="6">
      <t>ハッセイ</t>
    </rPh>
    <rPh sb="8" eb="10">
      <t>バアイ</t>
    </rPh>
    <rPh sb="11" eb="13">
      <t>シュツリョク</t>
    </rPh>
    <rPh sb="13" eb="15">
      <t>タイショウ</t>
    </rPh>
    <rPh sb="21" eb="23">
      <t>ジョウタイ</t>
    </rPh>
    <phoneticPr fontId="19"/>
  </si>
  <si>
    <t>データ出力</t>
    <rPh sb="3" eb="5">
      <t>シュツリョク</t>
    </rPh>
    <phoneticPr fontId="19"/>
  </si>
  <si>
    <t>文字コード</t>
    <rPh sb="0" eb="2">
      <t>モジ</t>
    </rPh>
    <phoneticPr fontId="19"/>
  </si>
  <si>
    <t>出力したファイルの文字コードが［外部インターフェース設計書/サブシステムインターフェース設計書の記載通り］であること。</t>
    <rPh sb="9" eb="11">
      <t>モジ</t>
    </rPh>
    <phoneticPr fontId="19"/>
  </si>
  <si>
    <t>改行コード</t>
    <rPh sb="0" eb="2">
      <t>カイギョウ</t>
    </rPh>
    <phoneticPr fontId="19"/>
  </si>
  <si>
    <t>出力したファイルの改行コードが［外部インターフェース設計書/サブシステムインターフェース設計書の記載通り］であること。</t>
    <rPh sb="9" eb="11">
      <t>カイギョウ</t>
    </rPh>
    <phoneticPr fontId="19"/>
  </si>
  <si>
    <t>区切り文字</t>
    <rPh sb="0" eb="2">
      <t>クギ</t>
    </rPh>
    <rPh sb="3" eb="5">
      <t>モジ</t>
    </rPh>
    <phoneticPr fontId="19"/>
  </si>
  <si>
    <t>出力したファイルの区切り文字が［外部インターフェース設計書/サブシステムインターフェース設計書の記載通り］であること。</t>
    <rPh sb="9" eb="11">
      <t>クギ</t>
    </rPh>
    <rPh sb="12" eb="14">
      <t>モジ</t>
    </rPh>
    <phoneticPr fontId="19"/>
  </si>
  <si>
    <t>出力したファイルがマルチレイアウトの場合、レコード構成が［外部インターフェース設計書/サブシステムインターフェース設計書の記載通り］であること。</t>
    <rPh sb="18" eb="20">
      <t>バアイ</t>
    </rPh>
    <rPh sb="25" eb="27">
      <t>コウセイ</t>
    </rPh>
    <phoneticPr fontId="19"/>
  </si>
  <si>
    <t>ソート順</t>
  </si>
  <si>
    <t>出力したファイルの項目並び順が［外部インターフェース設計書/サブシステムインターフェース設計書/帳票設計書の記載通り］であること。</t>
    <rPh sb="9" eb="11">
      <t>コウモク</t>
    </rPh>
    <rPh sb="11" eb="12">
      <t>ナラ</t>
    </rPh>
    <rPh sb="13" eb="14">
      <t>ジュン</t>
    </rPh>
    <phoneticPr fontId="19"/>
  </si>
  <si>
    <t>レイアウト</t>
  </si>
  <si>
    <t>帳票の場合、出力したレイアウトが［帳票設計書の記載通り］であること。</t>
    <rPh sb="6" eb="8">
      <t>シュツリョク</t>
    </rPh>
    <rPh sb="23" eb="25">
      <t>キサイ</t>
    </rPh>
    <rPh sb="25" eb="26">
      <t>ドオ</t>
    </rPh>
    <phoneticPr fontId="19"/>
  </si>
  <si>
    <t>帳票の場合、値の出力形式が［帳票設計書の記載通り］であること。</t>
    <rPh sb="0" eb="2">
      <t>チョウヒョウ</t>
    </rPh>
    <rPh sb="3" eb="5">
      <t>バアイ</t>
    </rPh>
    <rPh sb="6" eb="7">
      <t>アタイ</t>
    </rPh>
    <rPh sb="8" eb="10">
      <t>シュツリョク</t>
    </rPh>
    <rPh sb="10" eb="12">
      <t>ケイシキ</t>
    </rPh>
    <rPh sb="12" eb="14">
      <t>ヒョウケイシキ</t>
    </rPh>
    <phoneticPr fontId="19"/>
  </si>
  <si>
    <t>帳票の場合、フォントの種類が［帳票設計書の記載通り］であること。</t>
    <rPh sb="11" eb="13">
      <t>シュルイ</t>
    </rPh>
    <rPh sb="15" eb="17">
      <t>チョウヒョウ</t>
    </rPh>
    <rPh sb="17" eb="19">
      <t>セッケイ</t>
    </rPh>
    <rPh sb="19" eb="20">
      <t>ショ</t>
    </rPh>
    <rPh sb="21" eb="23">
      <t>キサイ</t>
    </rPh>
    <rPh sb="23" eb="24">
      <t>ドオ</t>
    </rPh>
    <phoneticPr fontId="2"/>
  </si>
  <si>
    <t>帳票の場合、文字サイズが［帳票設計書の記載通り］であること。</t>
    <rPh sb="6" eb="8">
      <t>モジ</t>
    </rPh>
    <rPh sb="13" eb="15">
      <t>チョウヒョウ</t>
    </rPh>
    <rPh sb="15" eb="17">
      <t>セッケイ</t>
    </rPh>
    <rPh sb="17" eb="18">
      <t>ショ</t>
    </rPh>
    <rPh sb="19" eb="21">
      <t>キサイ</t>
    </rPh>
    <rPh sb="21" eb="22">
      <t>ドオ</t>
    </rPh>
    <phoneticPr fontId="2"/>
  </si>
  <si>
    <t>帳票の場合、文字スタイル（太字斜体など）が［帳票設計書の記載通り］であること。</t>
    <rPh sb="6" eb="8">
      <t>モジ</t>
    </rPh>
    <rPh sb="13" eb="15">
      <t>フトジ</t>
    </rPh>
    <rPh sb="15" eb="17">
      <t>シャタイ</t>
    </rPh>
    <phoneticPr fontId="2"/>
  </si>
  <si>
    <t>帳票の場合、文字色が［帳票設計書の記載通り］であること。</t>
    <rPh sb="6" eb="8">
      <t>モジ</t>
    </rPh>
    <rPh sb="8" eb="9">
      <t>イロ</t>
    </rPh>
    <phoneticPr fontId="19"/>
  </si>
  <si>
    <t>出力内容</t>
    <rPh sb="0" eb="2">
      <t>シュツリョク</t>
    </rPh>
    <rPh sb="2" eb="4">
      <t>ナイヨウ</t>
    </rPh>
    <phoneticPr fontId="2"/>
  </si>
  <si>
    <t>出力したファイルに含まれる項目の値が、取得元と同値であること。</t>
    <rPh sb="9" eb="10">
      <t>フク</t>
    </rPh>
    <rPh sb="13" eb="15">
      <t>コウモク</t>
    </rPh>
    <rPh sb="16" eb="17">
      <t>アタイ</t>
    </rPh>
    <rPh sb="19" eb="21">
      <t>シュトク</t>
    </rPh>
    <rPh sb="21" eb="22">
      <t>モト</t>
    </rPh>
    <rPh sb="23" eb="25">
      <t>ドウチ</t>
    </rPh>
    <phoneticPr fontId="2"/>
  </si>
  <si>
    <t>デフォルト値を出力する項目の場合、デフォルト値が出力されること。</t>
    <rPh sb="7" eb="9">
      <t>シュツリョク</t>
    </rPh>
    <rPh sb="11" eb="13">
      <t>コウモク</t>
    </rPh>
    <rPh sb="14" eb="16">
      <t>バアイ</t>
    </rPh>
    <rPh sb="22" eb="23">
      <t>チ</t>
    </rPh>
    <rPh sb="24" eb="26">
      <t>シュツリョク</t>
    </rPh>
    <phoneticPr fontId="19"/>
  </si>
  <si>
    <t>取得した値を変換する設計となっている場合、出力された値が［システム機能設計書/共通コンポーネント設計書の記載通り］であること。</t>
    <rPh sb="0" eb="2">
      <t>シュトク</t>
    </rPh>
    <rPh sb="18" eb="20">
      <t>バアイ</t>
    </rPh>
    <rPh sb="21" eb="23">
      <t>シュツリョク</t>
    </rPh>
    <rPh sb="26" eb="27">
      <t>アタイ</t>
    </rPh>
    <phoneticPr fontId="19"/>
  </si>
  <si>
    <t>取得した値を編集する処理が分岐する設計となっている場合、出力された値が［システム機能設計書/共通コンポーネント設計書の記載通り］であること。</t>
  </si>
  <si>
    <t>ループ処理によって、取得した値の編集を繰り返す設計となっている場合、出力された値が［システム機能設計書/共通コンポーネント設計書の記載通り］であること。</t>
  </si>
  <si>
    <t>取得した値を使用して計算する設計となっている場合、出力された値が［システム機能設計書/共通コンポーネント設計書の記載通り］であること。</t>
  </si>
  <si>
    <t>取得した値を連結する設計となっている場合、出力された値が［システム機能設計書/共通コンポーネント設計書の記載通り］であること。</t>
    <rPh sb="0" eb="2">
      <t>シュトク</t>
    </rPh>
    <rPh sb="4" eb="5">
      <t>アタイ</t>
    </rPh>
    <rPh sb="6" eb="8">
      <t>レンケツ</t>
    </rPh>
    <rPh sb="10" eb="12">
      <t>セッケイ</t>
    </rPh>
    <rPh sb="18" eb="20">
      <t>バアイ</t>
    </rPh>
    <rPh sb="21" eb="23">
      <t>シュツリョク</t>
    </rPh>
    <rPh sb="26" eb="27">
      <t>アタイ</t>
    </rPh>
    <phoneticPr fontId="19"/>
  </si>
  <si>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2" eb="24">
      <t>シュツリョク</t>
    </rPh>
    <rPh sb="27" eb="28">
      <t>アタイ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</si>
  <si>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rPh sb="24" eb="26">
      <t>シュツリョク</t>
    </rPh>
    <rPh sb="29" eb="30">
      <t>アタイ</t>
    </rPh>
    <phoneticPr fontId="19"/>
  </si>
  <si>
    <t>取得した値に改行、タブ、メタキャラクタが含まれる場合、出力された値がエンコーディング、サニタイジングされること。</t>
    <rPh sb="27" eb="29">
      <t>シュツリョク</t>
    </rPh>
    <phoneticPr fontId="19"/>
  </si>
  <si>
    <t>取得した値をパディングする設計となっている場合、出力された値が［システム機能設計書/共通コンポーネント設計書の記載通り］であること。</t>
    <rPh sb="0" eb="2">
      <t>シュトク</t>
    </rPh>
    <rPh sb="4" eb="5">
      <t>アタイ</t>
    </rPh>
    <rPh sb="13" eb="15">
      <t>セッケイ</t>
    </rPh>
    <rPh sb="21" eb="23">
      <t>バアイ</t>
    </rPh>
    <phoneticPr fontId="19"/>
  </si>
  <si>
    <t>取得した値をパディングする設計となっている場合、出力された値のパディング位置が［システム機能設計書/共通コンポーネント設計書の記載通り］であること。</t>
    <rPh sb="24" eb="26">
      <t>シュツリョク</t>
    </rPh>
    <rPh sb="29" eb="30">
      <t>アタイ</t>
    </rPh>
    <rPh sb="36" eb="38">
      <t>イチ</t>
    </rPh>
    <phoneticPr fontId="19"/>
  </si>
  <si>
    <t>取得した数値が小数点以下を含む場合、出力された小数点以下の数値が［システム機能設計書/共通コンポーネント設計書の記載通り］であること。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シュツリョク</t>
    </rPh>
    <rPh sb="23" eb="26">
      <t>ショウスウテン</t>
    </rPh>
    <rPh sb="26" eb="28">
      <t>イカ</t>
    </rPh>
    <rPh sb="29" eb="31">
      <t>スウチ</t>
    </rPh>
    <phoneticPr fontId="19"/>
  </si>
  <si>
    <t>出力項目の値が最大長の場合、エラーとならないこと。</t>
    <rPh sb="0" eb="2">
      <t>シュツリョク</t>
    </rPh>
    <rPh sb="2" eb="4">
      <t>コウモク</t>
    </rPh>
    <rPh sb="5" eb="6">
      <t>アタイ</t>
    </rPh>
    <rPh sb="7" eb="9">
      <t>サイダイ</t>
    </rPh>
    <rPh sb="9" eb="10">
      <t>チョウ</t>
    </rPh>
    <rPh sb="11" eb="13">
      <t>バアイ</t>
    </rPh>
    <phoneticPr fontId="22"/>
  </si>
  <si>
    <t>出力項目の値が最小長の場合、エラーとならないこと。</t>
    <rPh sb="0" eb="2">
      <t>シュツリョク</t>
    </rPh>
    <rPh sb="2" eb="4">
      <t>コウモク</t>
    </rPh>
    <rPh sb="5" eb="6">
      <t>アタイ</t>
    </rPh>
    <rPh sb="7" eb="9">
      <t>サイショウ</t>
    </rPh>
    <rPh sb="9" eb="10">
      <t>チョウ</t>
    </rPh>
    <rPh sb="11" eb="13">
      <t>バアイ</t>
    </rPh>
    <phoneticPr fontId="22"/>
  </si>
  <si>
    <t>出力項目の値が存在しない場合、［システム機能設計書/共通コンポーネント設計書の記載通りの挙動］となること。</t>
    <rPh sb="0" eb="2">
      <t>シュツリョク</t>
    </rPh>
    <rPh sb="2" eb="4">
      <t>コウモク</t>
    </rPh>
    <rPh sb="5" eb="6">
      <t>アタイ</t>
    </rPh>
    <rPh sb="7" eb="9">
      <t>ソンザイ</t>
    </rPh>
    <rPh sb="12" eb="14">
      <t>バアイ</t>
    </rPh>
    <phoneticPr fontId="22"/>
  </si>
  <si>
    <t>出力するレコードの長さが最大の場合、エラーとならないこと。</t>
    <rPh sb="0" eb="2">
      <t>シュツリョク</t>
    </rPh>
    <rPh sb="9" eb="10">
      <t>ナガ</t>
    </rPh>
    <rPh sb="12" eb="14">
      <t>サイダイ</t>
    </rPh>
    <rPh sb="15" eb="17">
      <t>バアイ</t>
    </rPh>
    <phoneticPr fontId="19"/>
  </si>
  <si>
    <t>出力するレコードの長さが最小の場合、エラーとならないこと。</t>
    <rPh sb="0" eb="2">
      <t>シュツリョク</t>
    </rPh>
    <rPh sb="9" eb="10">
      <t>ナガ</t>
    </rPh>
    <rPh sb="12" eb="14">
      <t>サイショウ</t>
    </rPh>
    <rPh sb="15" eb="17">
      <t>バアイ</t>
    </rPh>
    <phoneticPr fontId="19"/>
  </si>
  <si>
    <t>サロゲートペア文字を許容する設計となっている場合、サロゲートペア文字を含むレコードを出力した結果がエラーとならないこと。</t>
    <rPh sb="42" eb="44">
      <t>シュツリョク</t>
    </rPh>
    <phoneticPr fontId="19"/>
  </si>
  <si>
    <t>帳票に出力する項目の値が最大長の場合、出力内容が見切れないこと。</t>
    <rPh sb="0" eb="2">
      <t>チョウヒョウ</t>
    </rPh>
    <rPh sb="3" eb="5">
      <t>シュツリョク</t>
    </rPh>
    <rPh sb="7" eb="9">
      <t>コウモク</t>
    </rPh>
    <rPh sb="10" eb="11">
      <t>アタイ</t>
    </rPh>
    <rPh sb="12" eb="14">
      <t>サイダイ</t>
    </rPh>
    <rPh sb="14" eb="15">
      <t>チョウ</t>
    </rPh>
    <rPh sb="16" eb="18">
      <t>バアイ</t>
    </rPh>
    <rPh sb="19" eb="21">
      <t>シュツリョク</t>
    </rPh>
    <rPh sb="21" eb="23">
      <t>ナイヨウ</t>
    </rPh>
    <rPh sb="24" eb="25">
      <t>ミ</t>
    </rPh>
    <rPh sb="25" eb="26">
      <t>キ</t>
    </rPh>
    <phoneticPr fontId="22"/>
  </si>
  <si>
    <t>ファイルに期待通りの件数分、レコードが出力されること。</t>
    <rPh sb="5" eb="7">
      <t>キタイ</t>
    </rPh>
    <rPh sb="7" eb="8">
      <t>ドオ</t>
    </rPh>
    <rPh sb="10" eb="12">
      <t>ケンスウ</t>
    </rPh>
    <rPh sb="12" eb="13">
      <t>ブン</t>
    </rPh>
    <rPh sb="19" eb="21">
      <t>シュツリョク</t>
    </rPh>
    <phoneticPr fontId="19"/>
  </si>
  <si>
    <t>レコード件数をファイルに出力する設計となっている場合、出力された値が［システム機能設計書/共通コンポーネント設計書の記載通り］であること。</t>
    <rPh sb="4" eb="6">
      <t>ケンスウ</t>
    </rPh>
    <rPh sb="12" eb="14">
      <t>シュツリョク</t>
    </rPh>
    <rPh sb="16" eb="18">
      <t>セッケイ</t>
    </rPh>
    <rPh sb="24" eb="26">
      <t>バアイ</t>
    </rPh>
    <rPh sb="27" eb="29">
      <t>シュツリョク</t>
    </rPh>
    <rPh sb="32" eb="33">
      <t>アタイ</t>
    </rPh>
    <phoneticPr fontId="19"/>
  </si>
  <si>
    <t>出力するレコード件数が複数件の場合、［システム機能設計書/共通コンポーネント設計書の記載通りの挙動］となること。</t>
    <rPh sb="0" eb="2">
      <t>シュツリョク</t>
    </rPh>
    <rPh sb="8" eb="10">
      <t>ケンスウ</t>
    </rPh>
    <rPh sb="11" eb="13">
      <t>フクスウ</t>
    </rPh>
    <rPh sb="13" eb="14">
      <t>ケン</t>
    </rPh>
    <rPh sb="15" eb="17">
      <t>バアイ</t>
    </rPh>
    <phoneticPr fontId="19"/>
  </si>
  <si>
    <t>1ファイルに出力するレコードの最大件数が決まっている場合、最大件数分のレコードを出力した結果が［システム機能設計書/共通コンポーネント設計書の記載通り］であること。</t>
    <rPh sb="6" eb="8">
      <t>シュツリョク</t>
    </rPh>
    <rPh sb="15" eb="17">
      <t>サイダイ</t>
    </rPh>
    <rPh sb="17" eb="19">
      <t>ケンスウ</t>
    </rPh>
    <rPh sb="20" eb="21">
      <t>キ</t>
    </rPh>
    <rPh sb="26" eb="28">
      <t>バアイ</t>
    </rPh>
    <rPh sb="29" eb="31">
      <t>サイダイ</t>
    </rPh>
    <rPh sb="31" eb="33">
      <t>ケンスウ</t>
    </rPh>
    <rPh sb="33" eb="34">
      <t>ブン</t>
    </rPh>
    <rPh sb="40" eb="42">
      <t>シュツリョク</t>
    </rPh>
    <rPh sb="44" eb="46">
      <t>ケッカ</t>
    </rPh>
    <phoneticPr fontId="19"/>
  </si>
  <si>
    <t>1ファイルに出力するレコードの最大件数が決まっている場合、最大件数＋1件分のレコードを出力した結果が［システム機能設計書/共通コンポーネント設計書の記載通り］であること。</t>
    <rPh sb="29" eb="31">
      <t>サイダイ</t>
    </rPh>
    <rPh sb="31" eb="33">
      <t>ケンスウ</t>
    </rPh>
    <rPh sb="35" eb="36">
      <t>ケン</t>
    </rPh>
    <rPh sb="36" eb="37">
      <t>ブン</t>
    </rPh>
    <rPh sb="43" eb="45">
      <t>シュツリョク</t>
    </rPh>
    <rPh sb="47" eb="49">
      <t>ケッカ</t>
    </rPh>
    <phoneticPr fontId="19"/>
  </si>
  <si>
    <t>出力するレコードが0件（空ファイル）の場合、［システム機能設計書/共通コンポーネント設計書の記載通りの挙動］となること。</t>
    <rPh sb="0" eb="2">
      <t>シュツリョク</t>
    </rPh>
    <rPh sb="10" eb="11">
      <t>ケン</t>
    </rPh>
    <rPh sb="12" eb="13">
      <t>カラ</t>
    </rPh>
    <rPh sb="19" eb="21">
      <t>バアイ</t>
    </rPh>
    <phoneticPr fontId="19"/>
  </si>
  <si>
    <t>出力するファイルがマルチレイアウトの場合、同一レコード種類のレコードが複数件存在する時の処理が［システム機能設計書/共通コンポーネント設計書の記載通り］であること。</t>
    <rPh sb="0" eb="2">
      <t>シュツリョク</t>
    </rPh>
    <rPh sb="18" eb="20">
      <t>バアイ</t>
    </rPh>
    <rPh sb="21" eb="23">
      <t>ドウイツ</t>
    </rPh>
    <rPh sb="27" eb="29">
      <t>シュルイ</t>
    </rPh>
    <rPh sb="35" eb="37">
      <t>フクスウ</t>
    </rPh>
    <rPh sb="37" eb="38">
      <t>ケン</t>
    </rPh>
    <rPh sb="38" eb="40">
      <t>ソンザイ</t>
    </rPh>
    <rPh sb="42" eb="43">
      <t>トキ</t>
    </rPh>
    <rPh sb="44" eb="46">
      <t>ショリ</t>
    </rPh>
    <phoneticPr fontId="19"/>
  </si>
  <si>
    <t>出力するファイルがマルチレイアウトの場合、レコード種類のうちデータレコードにあたる件数が0件の時、［システム機能設計書/共通コンポーネント設計書の記載通りの挙動］であること。</t>
    <rPh sb="0" eb="2">
      <t>シュツリョク</t>
    </rPh>
    <rPh sb="78" eb="80">
      <t>キョドウ</t>
    </rPh>
    <phoneticPr fontId="19"/>
  </si>
  <si>
    <t>出力するファイルがマルチレイアウトで、全レコード種類が含まれる場合、エラーとならないこと。</t>
    <rPh sb="0" eb="2">
      <t>シュツリョク</t>
    </rPh>
    <rPh sb="19" eb="20">
      <t>ゼン</t>
    </rPh>
    <rPh sb="24" eb="26">
      <t>シュルイ</t>
    </rPh>
    <rPh sb="27" eb="28">
      <t>フク</t>
    </rPh>
    <rPh sb="31" eb="33">
      <t>バアイ</t>
    </rPh>
    <phoneticPr fontId="19"/>
  </si>
  <si>
    <t>出力するレコードのソート順が［システム機能設計書/共通コンポーネント設計書/帳票設計書の記載通り］であること。</t>
    <rPh sb="0" eb="2">
      <t>シュツリョク</t>
    </rPh>
    <rPh sb="12" eb="13">
      <t>ジュン</t>
    </rPh>
    <rPh sb="38" eb="40">
      <t>チョウヒョウ</t>
    </rPh>
    <rPh sb="40" eb="42">
      <t>セッケイ</t>
    </rPh>
    <rPh sb="42" eb="43">
      <t>ショ</t>
    </rPh>
    <phoneticPr fontId="19"/>
  </si>
  <si>
    <t>画像</t>
    <rPh sb="0" eb="2">
      <t>ガゾウ</t>
    </rPh>
    <phoneticPr fontId="19"/>
  </si>
  <si>
    <t>出力された画像が［システム機能設計書/共通コンポーネント設計書/帳票設計書の記載通り］であること。</t>
    <rPh sb="0" eb="2">
      <t>シュツリョク</t>
    </rPh>
    <phoneticPr fontId="19"/>
  </si>
  <si>
    <t>ファイル操作</t>
    <rPh sb="4" eb="6">
      <t>ソウサ</t>
    </rPh>
    <phoneticPr fontId="2"/>
  </si>
  <si>
    <t>削除</t>
    <rPh sb="0" eb="2">
      <t>サクジョ</t>
    </rPh>
    <phoneticPr fontId="2"/>
  </si>
  <si>
    <t>ファイルが削除されること。</t>
  </si>
  <si>
    <t>移動・リネーム</t>
    <rPh sb="0" eb="2">
      <t>イドウ</t>
    </rPh>
    <phoneticPr fontId="2"/>
  </si>
  <si>
    <t>ファイルが移動、リネームされること。</t>
  </si>
  <si>
    <t>コピー</t>
  </si>
  <si>
    <t>ファイルがコピーされること。</t>
  </si>
  <si>
    <t>メール処理</t>
    <rPh sb="3" eb="5">
      <t>ショリ</t>
    </rPh>
    <phoneticPr fontId="19"/>
  </si>
  <si>
    <t>送信・転送</t>
    <rPh sb="0" eb="2">
      <t>ソウシン</t>
    </rPh>
    <rPh sb="3" eb="5">
      <t>テンソウ</t>
    </rPh>
    <phoneticPr fontId="19"/>
  </si>
  <si>
    <t>指定した宛先（メールアドレス）への送信、転送が正常終了すること。</t>
    <rPh sb="0" eb="2">
      <t>シテイ</t>
    </rPh>
    <rPh sb="4" eb="6">
      <t>アテサキ</t>
    </rPh>
    <rPh sb="25" eb="27">
      <t>シュウリョウ</t>
    </rPh>
    <phoneticPr fontId="2"/>
  </si>
  <si>
    <t>宛先（メールアドレス）に最大長がセットされた場合、送信、転送が正常終了すること。</t>
    <rPh sb="0" eb="2">
      <t>アテサキ</t>
    </rPh>
    <phoneticPr fontId="2"/>
  </si>
  <si>
    <t>件名に最大長がセットされた場合、送信、転送が正常終了すること。</t>
    <rPh sb="0" eb="2">
      <t>ケンメイ</t>
    </rPh>
    <phoneticPr fontId="2"/>
  </si>
  <si>
    <t>編集</t>
    <rPh sb="0" eb="2">
      <t>ヘンシュウ</t>
    </rPh>
    <phoneticPr fontId="19"/>
  </si>
  <si>
    <t>件名に改行・タブ・メタキャラクタ（ "，&amp;．&lt;，&gt;，',\ ）が含まれていた場合、送信、転送が正常終了すること。</t>
    <rPh sb="0" eb="1">
      <t>ケン</t>
    </rPh>
    <rPh sb="1" eb="2">
      <t>メイ</t>
    </rPh>
    <rPh sb="32" eb="33">
      <t>フク</t>
    </rPh>
    <rPh sb="38" eb="40">
      <t>バアイ</t>
    </rPh>
    <rPh sb="47" eb="49">
      <t>セイジョウ</t>
    </rPh>
    <rPh sb="49" eb="51">
      <t>シュウリョウ</t>
    </rPh>
    <phoneticPr fontId="2"/>
  </si>
  <si>
    <t>本文に改行・タブ・メタキャラクタ（ "，&amp;．&lt;，&gt;，',\ ）が含まれていた場合、送信、転送が正常終了すること。</t>
    <rPh sb="0" eb="2">
      <t>ホンブン</t>
    </rPh>
    <rPh sb="32" eb="33">
      <t>フク</t>
    </rPh>
    <rPh sb="38" eb="40">
      <t>バアイ</t>
    </rPh>
    <rPh sb="47" eb="49">
      <t>セイジョウ</t>
    </rPh>
    <rPh sb="49" eb="51">
      <t>シュウリョウ</t>
    </rPh>
    <phoneticPr fontId="2"/>
  </si>
  <si>
    <t>エラーが発生した場合、メールの送信結果が［システム機能設計書/共通コンポーネント設計書の記載通り］であること。</t>
    <rPh sb="4" eb="6">
      <t>ハッセイ</t>
    </rPh>
    <rPh sb="8" eb="10">
      <t>バアイ</t>
    </rPh>
    <rPh sb="15" eb="17">
      <t>ソウシン</t>
    </rPh>
    <rPh sb="17" eb="19">
      <t>ケッカ</t>
    </rPh>
    <phoneticPr fontId="19"/>
  </si>
  <si>
    <t>メール編集</t>
    <rPh sb="3" eb="5">
      <t>ヘンシュウ</t>
    </rPh>
    <phoneticPr fontId="2"/>
  </si>
  <si>
    <t>ヘッダ</t>
  </si>
  <si>
    <t>設定</t>
    <rPh sb="0" eb="2">
      <t>セッテイ</t>
    </rPh>
    <phoneticPr fontId="19"/>
  </si>
  <si>
    <t>ヘッダの宛先（To）に［メール設計書の記載通りの値］が設定されること。</t>
    <rPh sb="4" eb="6">
      <t>アテサキ</t>
    </rPh>
    <rPh sb="15" eb="17">
      <t>セッケイ</t>
    </rPh>
    <rPh sb="17" eb="18">
      <t>ショ</t>
    </rPh>
    <rPh sb="19" eb="21">
      <t>キサイ</t>
    </rPh>
    <rPh sb="21" eb="22">
      <t>ドオ</t>
    </rPh>
    <rPh sb="24" eb="25">
      <t>アタイ</t>
    </rPh>
    <rPh sb="27" eb="29">
      <t>セッテイ</t>
    </rPh>
    <phoneticPr fontId="2"/>
  </si>
  <si>
    <t>ヘッダの宛先（Cc）に［メール設計書の記載通りの値］が設定されること。</t>
    <rPh sb="4" eb="6">
      <t>アテサキ</t>
    </rPh>
    <rPh sb="27" eb="29">
      <t>セッテイ</t>
    </rPh>
    <phoneticPr fontId="2"/>
  </si>
  <si>
    <t>ヘッダの宛先（Bcc）に［メール設計書の記載通りの値］が設定されること。</t>
    <rPh sb="4" eb="6">
      <t>アテサキ</t>
    </rPh>
    <rPh sb="28" eb="30">
      <t>セッテイ</t>
    </rPh>
    <phoneticPr fontId="2"/>
  </si>
  <si>
    <t>ヘッダの送信元（From）に［メール設計書の記載通りの値］が設定されること。</t>
    <rPh sb="4" eb="7">
      <t>ソウシンモト</t>
    </rPh>
    <rPh sb="30" eb="32">
      <t>セッテイ</t>
    </rPh>
    <phoneticPr fontId="2"/>
  </si>
  <si>
    <t>ヘッダの返信先（Reply-to）に［メール設計書の記載通りの値］が設定されること。</t>
    <rPh sb="4" eb="6">
      <t>ヘンシン</t>
    </rPh>
    <rPh sb="6" eb="7">
      <t>サキ</t>
    </rPh>
    <rPh sb="34" eb="36">
      <t>セッテイ</t>
    </rPh>
    <phoneticPr fontId="2"/>
  </si>
  <si>
    <t>ヘッダの差戻し先（Retuern-path）に［メール設計書の記載通りの値］が設定されること。</t>
    <rPh sb="4" eb="6">
      <t>サシモド</t>
    </rPh>
    <rPh sb="7" eb="8">
      <t>サキ</t>
    </rPh>
    <rPh sb="39" eb="41">
      <t>セッテイ</t>
    </rPh>
    <phoneticPr fontId="2"/>
  </si>
  <si>
    <t>ヘッダのContent-Typeに［メール設計書の記載通りの値］が設定されること。</t>
    <rPh sb="33" eb="35">
      <t>セッテイ</t>
    </rPh>
    <phoneticPr fontId="2"/>
  </si>
  <si>
    <t>エンコーディング</t>
  </si>
  <si>
    <t>ヘッダがエンコードされること。</t>
  </si>
  <si>
    <t>件名</t>
    <rPh sb="0" eb="2">
      <t>ケンメイ</t>
    </rPh>
    <phoneticPr fontId="2"/>
  </si>
  <si>
    <t>件名が固定の文言の場合、件名に設定された文言が［メール設計書の記載通り］であること。</t>
    <rPh sb="0" eb="2">
      <t>ケンメイ</t>
    </rPh>
    <rPh sb="3" eb="5">
      <t>コテイ</t>
    </rPh>
    <rPh sb="6" eb="8">
      <t>モンゴン</t>
    </rPh>
    <rPh sb="9" eb="11">
      <t>バアイ</t>
    </rPh>
    <rPh sb="12" eb="14">
      <t>ケンメイ</t>
    </rPh>
    <rPh sb="15" eb="17">
      <t>セッテイ</t>
    </rPh>
    <rPh sb="20" eb="22">
      <t>モンゴン</t>
    </rPh>
    <phoneticPr fontId="2"/>
  </si>
  <si>
    <t>件名に埋め込み項目を使用する場合、件名に設定された値が［メール設計書の記載通り］であること。</t>
    <rPh sb="0" eb="2">
      <t>ケンメイ</t>
    </rPh>
    <rPh sb="3" eb="4">
      <t>ウ</t>
    </rPh>
    <rPh sb="5" eb="6">
      <t>コ</t>
    </rPh>
    <rPh sb="7" eb="9">
      <t>コウモク</t>
    </rPh>
    <rPh sb="10" eb="12">
      <t>シヨウ</t>
    </rPh>
    <rPh sb="14" eb="16">
      <t>バアイ</t>
    </rPh>
    <rPh sb="17" eb="19">
      <t>ケンメイ</t>
    </rPh>
    <rPh sb="20" eb="22">
      <t>セッテイ</t>
    </rPh>
    <rPh sb="25" eb="26">
      <t>アタイ</t>
    </rPh>
    <phoneticPr fontId="19"/>
  </si>
  <si>
    <t>埋め込み必須項目が未入力の場合、エラーとなること。</t>
    <rPh sb="0" eb="1">
      <t>ウ</t>
    </rPh>
    <rPh sb="2" eb="3">
      <t>コ</t>
    </rPh>
    <rPh sb="4" eb="6">
      <t>ヒッス</t>
    </rPh>
    <rPh sb="6" eb="8">
      <t>コウモク</t>
    </rPh>
    <rPh sb="9" eb="12">
      <t>ミニュウリョク</t>
    </rPh>
    <rPh sb="13" eb="15">
      <t>バアイ</t>
    </rPh>
    <phoneticPr fontId="19"/>
  </si>
  <si>
    <t>埋め込み任意項目が未入力の場合、エラーとならないこと。</t>
    <rPh sb="0" eb="1">
      <t>ウ</t>
    </rPh>
    <rPh sb="2" eb="3">
      <t>コ</t>
    </rPh>
    <rPh sb="4" eb="6">
      <t>ニンイ</t>
    </rPh>
    <rPh sb="6" eb="8">
      <t>コウモク</t>
    </rPh>
    <rPh sb="9" eb="12">
      <t>ミニュウリョク</t>
    </rPh>
    <rPh sb="13" eb="15">
      <t>バアイ</t>
    </rPh>
    <phoneticPr fontId="19"/>
  </si>
  <si>
    <t>取得した値を変換する設計となっている場合、件名に設定された値が［システム機能設計書/共通コンポーネント設計書/メール設計書の記載通り］であること。</t>
    <rPh sb="21" eb="23">
      <t>ケンメイ</t>
    </rPh>
    <rPh sb="24" eb="26">
      <t>セッテイ</t>
    </rPh>
    <rPh sb="29" eb="30">
      <t>アタイ</t>
    </rPh>
    <phoneticPr fontId="19"/>
  </si>
  <si>
    <t>取得した値を編集する処理が分岐する設計となっている場合、件名に設定された値が［システム機能設計書/共通コンポーネント設計書/メール設計書の記載通り］であること。</t>
  </si>
  <si>
    <t>ループ処理によって、取得した値の編集を繰り返す設計となっている場合、件名に設定された値が［システム機能設計書/共通コンポーネント設計書/メール設計書の記載通り］であること。</t>
  </si>
  <si>
    <t>取得した値を使用して計算する設計となっている場合、件名に設定された値が［システム機能設計書/共通コンポーネント設計書/メール設計書の記載通り］であること。</t>
  </si>
  <si>
    <t>取得した値を連結する設計となっている場合、件名に設定された値が［システム機能設計書/共通コンポーネント設計書/メール設計書の記載通り］であること。</t>
  </si>
  <si>
    <t>取得した値を暗号化する設計となっている場合、件名に設定された値が暗号化されること。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</si>
  <si>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取得した値をマスキングする設計となっている場合、件名に設定された値がマスキングされること。</t>
    <rPh sb="0" eb="2">
      <t>シュトク</t>
    </rPh>
    <rPh sb="4" eb="5">
      <t>アタイ</t>
    </rPh>
    <rPh sb="13" eb="15">
      <t>セッケイ</t>
    </rPh>
    <rPh sb="21" eb="23">
      <t>バアイ</t>
    </rPh>
    <phoneticPr fontId="19"/>
  </si>
  <si>
    <t>取得した値に改行、タブ、メタキャラクタが含まれる場合、件名に設定された値がエンコーディング、サニタイジングされること。</t>
    <rPh sb="27" eb="29">
      <t>ケンメイ</t>
    </rPh>
    <rPh sb="30" eb="32">
      <t>セッテイ</t>
    </rPh>
    <phoneticPr fontId="19"/>
  </si>
  <si>
    <t>埋め込み項目の編集仕様が［メール設計書の記載通り］であること。</t>
    <rPh sb="0" eb="1">
      <t>ウ</t>
    </rPh>
    <rPh sb="2" eb="3">
      <t>コ</t>
    </rPh>
    <rPh sb="4" eb="6">
      <t>コウモク</t>
    </rPh>
    <rPh sb="7" eb="9">
      <t>ヘンシュウ</t>
    </rPh>
    <rPh sb="9" eb="11">
      <t>シヨウ</t>
    </rPh>
    <rPh sb="16" eb="18">
      <t>セッケイ</t>
    </rPh>
    <rPh sb="18" eb="19">
      <t>ショ</t>
    </rPh>
    <rPh sb="20" eb="22">
      <t>キサイ</t>
    </rPh>
    <rPh sb="22" eb="23">
      <t>ドオ</t>
    </rPh>
    <phoneticPr fontId="19"/>
  </si>
  <si>
    <t>本文</t>
  </si>
  <si>
    <t>本文が固定の文言の場合、本文に設定された文言が［メール設計書の記載通り］であること。</t>
    <rPh sb="0" eb="2">
      <t>ホンブン</t>
    </rPh>
    <rPh sb="3" eb="5">
      <t>コテイ</t>
    </rPh>
    <rPh sb="6" eb="8">
      <t>モンゴン</t>
    </rPh>
    <rPh sb="9" eb="11">
      <t>バアイ</t>
    </rPh>
    <rPh sb="12" eb="14">
      <t>ホンブン</t>
    </rPh>
    <rPh sb="15" eb="17">
      <t>セッテイ</t>
    </rPh>
    <rPh sb="20" eb="22">
      <t>モンゴン</t>
    </rPh>
    <phoneticPr fontId="2"/>
  </si>
  <si>
    <t>本文に埋め込み項目を使用する場合、本文に設定された値が［メール設計書の記載通り］であること。</t>
    <rPh sb="0" eb="2">
      <t>ホンブン</t>
    </rPh>
    <rPh sb="3" eb="4">
      <t>ウ</t>
    </rPh>
    <rPh sb="5" eb="6">
      <t>コ</t>
    </rPh>
    <rPh sb="7" eb="9">
      <t>コウモク</t>
    </rPh>
    <rPh sb="10" eb="12">
      <t>シヨウ</t>
    </rPh>
    <rPh sb="14" eb="16">
      <t>バアイ</t>
    </rPh>
    <rPh sb="17" eb="19">
      <t>ホンブン</t>
    </rPh>
    <rPh sb="20" eb="22">
      <t>セッテイ</t>
    </rPh>
    <rPh sb="25" eb="26">
      <t>アタイ</t>
    </rPh>
    <phoneticPr fontId="19"/>
  </si>
  <si>
    <t>本文のデザインが［メール設計書の記載通り］であること。</t>
    <rPh sb="0" eb="2">
      <t>ホンブン</t>
    </rPh>
    <rPh sb="12" eb="15">
      <t>セッケイショ</t>
    </rPh>
    <rPh sb="16" eb="18">
      <t>キサイ</t>
    </rPh>
    <rPh sb="18" eb="19">
      <t>ドオ</t>
    </rPh>
    <phoneticPr fontId="19"/>
  </si>
  <si>
    <t>本文にエラーメッセージを出力する場合、本文に出力されたメッセージが［システム機能設計書/共通コンポーネント設計書/メール設計書/メッセージ設計書の記載通り］であること。</t>
    <rPh sb="0" eb="2">
      <t>ホンブン</t>
    </rPh>
    <rPh sb="12" eb="14">
      <t>シュツリョク</t>
    </rPh>
    <rPh sb="16" eb="18">
      <t>バアイ</t>
    </rPh>
    <rPh sb="19" eb="21">
      <t>ホンブン</t>
    </rPh>
    <rPh sb="22" eb="24">
      <t>シュツリョク</t>
    </rPh>
    <phoneticPr fontId="19"/>
  </si>
  <si>
    <t>取得した値を変換する設計となっている場合、本文に設定された値が［システム機能設計書/共通コンポーネント設計書/メール設計書の記載通り］であること。</t>
    <rPh sb="21" eb="23">
      <t>ホンブン</t>
    </rPh>
    <rPh sb="24" eb="26">
      <t>セッテイ</t>
    </rPh>
    <rPh sb="29" eb="30">
      <t>アタイ</t>
    </rPh>
    <phoneticPr fontId="19"/>
  </si>
  <si>
    <t>取得した値を編集する処理が分岐する設計となっている場合、本文に設定された値が［システム機能設計書/共通コンポーネント設計書/メール設計書の記載通り］であること。</t>
    <phoneticPr fontId="2"/>
  </si>
  <si>
    <t>ループ処理によって、取得した値の編集を繰り返す設計となっている場合、本文に設定された値が［システム機能設計書/共通コンポーネント設計書/メール設計書の記載通り］であること。</t>
  </si>
  <si>
    <t>取得した値を使用して計算する設計となっている場合、本文に設定された値が［システム機能設計書/共通コンポーネント設計書/メール設計書の記載通り］であること。</t>
  </si>
  <si>
    <t>取得した値を連結する設計となっている場合、本文に設定された値が［システム機能設計書/共通コンポーネント設計書/メール設計書の記載通り］であること。</t>
  </si>
  <si>
    <t>取得した値を暗号化する設計となっている場合、本文に設定された値が暗号化されること。</t>
    <rPh sb="0" eb="2">
      <t>シュトク</t>
    </rPh>
    <rPh sb="4" eb="5">
      <t>アタイ</t>
    </rPh>
    <rPh sb="6" eb="9">
      <t>アンゴウカ</t>
    </rPh>
    <rPh sb="11" eb="13">
      <t>セッケイ</t>
    </rPh>
    <rPh sb="19" eb="21">
      <t>バアイ</t>
    </rPh>
    <rPh sb="32" eb="35">
      <t>アンゴウカ</t>
    </rPh>
    <phoneticPr fontId="19"/>
  </si>
  <si>
    <t>取得した値をマスキングする設計となっている場合、本文に設定された値がマスキングされること。</t>
    <rPh sb="0" eb="2">
      <t>シュトク</t>
    </rPh>
    <rPh sb="4" eb="5">
      <t>アタイ</t>
    </rPh>
    <rPh sb="13" eb="15">
      <t>セッケイ</t>
    </rPh>
    <rPh sb="21" eb="23">
      <t>バアイ</t>
    </rPh>
    <phoneticPr fontId="19"/>
  </si>
  <si>
    <t>取得した値に改行、タブ、メタキャラクタが含まれる場合、本文に設定された値がエンコーディング、サニタイジングされること。</t>
    <rPh sb="27" eb="29">
      <t>ホンブン</t>
    </rPh>
    <rPh sb="30" eb="32">
      <t>セッテイ</t>
    </rPh>
    <phoneticPr fontId="19"/>
  </si>
  <si>
    <t>データ件数</t>
    <rPh sb="3" eb="5">
      <t>ケンスウ</t>
    </rPh>
    <phoneticPr fontId="19"/>
  </si>
  <si>
    <t>1通のメールに埋め込み項目などを複数件繰り返し出力し、その最大件数が決まっている場合、最大件数分の値を出力した結果が［システム機能設計書/共通コンポーネント設計書の記載通り］であること。</t>
    <rPh sb="7" eb="8">
      <t>ウ</t>
    </rPh>
    <rPh sb="9" eb="10">
      <t>コ</t>
    </rPh>
    <rPh sb="11" eb="13">
      <t>コウモク</t>
    </rPh>
    <rPh sb="16" eb="18">
      <t>フクスウ</t>
    </rPh>
    <rPh sb="18" eb="19">
      <t>ケン</t>
    </rPh>
    <rPh sb="19" eb="20">
      <t>ク</t>
    </rPh>
    <rPh sb="21" eb="22">
      <t>カエ</t>
    </rPh>
    <rPh sb="23" eb="25">
      <t>シュツリョク</t>
    </rPh>
    <rPh sb="29" eb="31">
      <t>サイダイ</t>
    </rPh>
    <rPh sb="31" eb="33">
      <t>ケンスウ</t>
    </rPh>
    <rPh sb="47" eb="48">
      <t>ブン</t>
    </rPh>
    <rPh sb="49" eb="50">
      <t>アタイ</t>
    </rPh>
    <phoneticPr fontId="19"/>
  </si>
  <si>
    <t>1通のメールに埋め込み項目などを複数件繰り返し出力し、その最大件数が決まっている場合、最大件数＋1件分の値を出力した結果が［システム機能設計書/共通コンポーネント設計書の記載通り］であること。</t>
    <rPh sb="49" eb="50">
      <t>ケン</t>
    </rPh>
    <rPh sb="50" eb="51">
      <t>ブン</t>
    </rPh>
    <rPh sb="52" eb="53">
      <t>アタイ</t>
    </rPh>
    <phoneticPr fontId="19"/>
  </si>
  <si>
    <t>1通のメールに埋め込み項目などを複数件繰り返し出力する処理で、出力対象が0件の場合、［システム機能設計書/共通コンポーネント設計書の記載通りの挙動］となること。</t>
    <rPh sb="27" eb="29">
      <t>ショリ</t>
    </rPh>
    <rPh sb="31" eb="33">
      <t>シュツリョク</t>
    </rPh>
    <rPh sb="33" eb="35">
      <t>タイショウ</t>
    </rPh>
    <rPh sb="37" eb="38">
      <t>ケン</t>
    </rPh>
    <rPh sb="39" eb="41">
      <t>バアイ</t>
    </rPh>
    <phoneticPr fontId="2"/>
  </si>
  <si>
    <t>1通のメールに埋め込み項目などを複数件繰り返し出力する設計の場合、ソート順が［システム機能設計書/共通コンポーネント設計書/メール設計書の記載通り］であること。</t>
  </si>
  <si>
    <t>添付ファイル</t>
    <rPh sb="0" eb="2">
      <t>テンプ</t>
    </rPh>
    <phoneticPr fontId="19"/>
  </si>
  <si>
    <t>ファイルを添付する場合、指定したファイルが添付されること。</t>
    <rPh sb="5" eb="7">
      <t>テンプ</t>
    </rPh>
    <rPh sb="9" eb="11">
      <t>バアイ</t>
    </rPh>
    <rPh sb="12" eb="14">
      <t>シテイ</t>
    </rPh>
    <rPh sb="21" eb="23">
      <t>テンプ</t>
    </rPh>
    <phoneticPr fontId="19"/>
  </si>
  <si>
    <t>受信処理</t>
    <rPh sb="0" eb="2">
      <t>ジュシン</t>
    </rPh>
    <rPh sb="2" eb="4">
      <t>ショリ</t>
    </rPh>
    <phoneticPr fontId="19"/>
  </si>
  <si>
    <t>電文が［システム機能設計書/共通コンポーネント設計書の記載通り］受信されること。</t>
    <rPh sb="0" eb="2">
      <t>デンブン</t>
    </rPh>
    <rPh sb="8" eb="10">
      <t>キノウ</t>
    </rPh>
    <rPh sb="10" eb="12">
      <t>セッケイ</t>
    </rPh>
    <rPh sb="12" eb="13">
      <t>ショ</t>
    </rPh>
    <rPh sb="27" eb="29">
      <t>キサイ</t>
    </rPh>
    <rPh sb="29" eb="30">
      <t>ドオ</t>
    </rPh>
    <rPh sb="32" eb="34">
      <t>ジュシン</t>
    </rPh>
    <phoneticPr fontId="19"/>
  </si>
  <si>
    <t>受信した電文の長さが最大長の場合、エラーとならないこと。</t>
    <rPh sb="0" eb="2">
      <t>ジュシン</t>
    </rPh>
    <rPh sb="4" eb="6">
      <t>デンブン</t>
    </rPh>
    <rPh sb="7" eb="8">
      <t>ナガ</t>
    </rPh>
    <rPh sb="10" eb="12">
      <t>サイダイ</t>
    </rPh>
    <rPh sb="12" eb="13">
      <t>チョウ</t>
    </rPh>
    <rPh sb="14" eb="16">
      <t>バアイ</t>
    </rPh>
    <phoneticPr fontId="19"/>
  </si>
  <si>
    <t>受信した電文の長さが最大長+1の場合、エラーとなること。</t>
    <rPh sb="0" eb="2">
      <t>ジュシン</t>
    </rPh>
    <rPh sb="4" eb="6">
      <t>デンブン</t>
    </rPh>
    <rPh sb="7" eb="8">
      <t>ナガ</t>
    </rPh>
    <rPh sb="10" eb="12">
      <t>サイダイ</t>
    </rPh>
    <rPh sb="12" eb="13">
      <t>チョウ</t>
    </rPh>
    <rPh sb="16" eb="18">
      <t>バアイ</t>
    </rPh>
    <phoneticPr fontId="19"/>
  </si>
  <si>
    <t>受信した電文の長さが最小長の場合、エラーとならないこと。</t>
    <rPh sb="10" eb="12">
      <t>サイショウ</t>
    </rPh>
    <rPh sb="12" eb="13">
      <t>チョウ</t>
    </rPh>
    <rPh sb="14" eb="16">
      <t>バアイ</t>
    </rPh>
    <phoneticPr fontId="19"/>
  </si>
  <si>
    <t>受信した電文の長さが最小長-1の場合、エラーとなること。</t>
    <rPh sb="10" eb="12">
      <t>サイショウ</t>
    </rPh>
    <rPh sb="12" eb="13">
      <t>チョウ</t>
    </rPh>
    <rPh sb="16" eb="18">
      <t>バアイ</t>
    </rPh>
    <phoneticPr fontId="19"/>
  </si>
  <si>
    <t>サロゲートペア文字を許容する設計となっている場合、サロゲートペア文字を含む電文を受信した結果がエラーとならないこと。</t>
    <rPh sb="37" eb="39">
      <t>デンブン</t>
    </rPh>
    <rPh sb="40" eb="42">
      <t>ジュシン</t>
    </rPh>
    <rPh sb="44" eb="46">
      <t>ケッカ</t>
    </rPh>
    <phoneticPr fontId="19"/>
  </si>
  <si>
    <t>受信した電文のレコード件数が複数の場合、［システム機能設計書/共通コンポーネント設計書の記載通りの挙動］となること。</t>
    <rPh sb="11" eb="13">
      <t>ケンスウ</t>
    </rPh>
    <rPh sb="14" eb="16">
      <t>フクスウ</t>
    </rPh>
    <rPh sb="17" eb="19">
      <t>バアイ</t>
    </rPh>
    <phoneticPr fontId="19"/>
  </si>
  <si>
    <t>受信した電文のレコードが0件の場合、［システム機能設計書/共通コンポーネント設計書の記載通りの挙動］となること。</t>
    <rPh sb="13" eb="14">
      <t>ケン</t>
    </rPh>
    <rPh sb="15" eb="17">
      <t>バアイ</t>
    </rPh>
    <phoneticPr fontId="19"/>
  </si>
  <si>
    <t>受信した電文がマルチレイアウトの場合、同一レコード種類のレコードが複数件存在する時の処理が［システム機能設計書/共通コンポーネント設計書の記載通り］であること。</t>
    <rPh sb="0" eb="2">
      <t>ジュシン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</si>
  <si>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受信した電文がマルチレイアウトの場合、レコード種類のうちデータレコードにあたる件数が0件の時、［システム機能設計書/共通コンポーネント設計書の記載通りの挙動］であること。</t>
    <rPh sb="0" eb="2">
      <t>ジュシン</t>
    </rPh>
    <rPh sb="4" eb="6">
      <t>デンブン</t>
    </rPh>
    <rPh sb="16" eb="18">
      <t>バアイ</t>
    </rPh>
    <rPh sb="76" eb="78">
      <t>キョドウ</t>
    </rPh>
    <phoneticPr fontId="19"/>
  </si>
  <si>
    <t>受信した電文がマルチレイアウトの場合、全レコード種類が含まれる時の処理が［システム機能設計書/共通コンポーネント設計書の記載通り］であること。</t>
    <rPh sb="0" eb="2">
      <t>ジュシン</t>
    </rPh>
    <rPh sb="4" eb="6">
      <t>デンブン</t>
    </rPh>
    <rPh sb="16" eb="18">
      <t>バアイ</t>
    </rPh>
    <rPh sb="19" eb="20">
      <t>ゼン</t>
    </rPh>
    <rPh sb="24" eb="26">
      <t>シュルイ</t>
    </rPh>
    <rPh sb="27" eb="28">
      <t>フク</t>
    </rPh>
    <rPh sb="31" eb="32">
      <t>トキ</t>
    </rPh>
    <rPh sb="33" eb="35">
      <t>ショリ</t>
    </rPh>
    <phoneticPr fontId="19"/>
  </si>
  <si>
    <t>インターフェース仕様が設計と異なる電文を取り込んだ場合、実行結果が［方式設計書の記載通り］となること。</t>
    <rPh sb="8" eb="10">
      <t>シヨウ</t>
    </rPh>
    <rPh sb="11" eb="13">
      <t>セッケイ</t>
    </rPh>
    <rPh sb="14" eb="15">
      <t>コト</t>
    </rPh>
    <rPh sb="17" eb="19">
      <t>デンブン</t>
    </rPh>
    <rPh sb="20" eb="21">
      <t>ト</t>
    </rPh>
    <rPh sb="22" eb="23">
      <t>コ</t>
    </rPh>
    <rPh sb="25" eb="27">
      <t>バアイ</t>
    </rPh>
    <rPh sb="28" eb="30">
      <t>ジッコウ</t>
    </rPh>
    <rPh sb="30" eb="32">
      <t>ケッカ</t>
    </rPh>
    <rPh sb="34" eb="36">
      <t>ホウシキ</t>
    </rPh>
    <rPh sb="36" eb="38">
      <t>セッケイ</t>
    </rPh>
    <rPh sb="38" eb="39">
      <t>ショ</t>
    </rPh>
    <rPh sb="40" eb="43">
      <t>キサイドオ</t>
    </rPh>
    <phoneticPr fontId="19"/>
  </si>
  <si>
    <t>受信した電文がマルチレイアウトの場合、全レコード種類の構成が［外部インターフェース設計書/サブシステムインターフェース設計書の記載通り］であること。</t>
    <rPh sb="16" eb="18">
      <t>バアイ</t>
    </rPh>
    <rPh sb="19" eb="20">
      <t>ゼン</t>
    </rPh>
    <rPh sb="24" eb="26">
      <t>シュルイ</t>
    </rPh>
    <rPh sb="27" eb="29">
      <t>コウセイ</t>
    </rPh>
    <rPh sb="31" eb="33">
      <t>ガイブ</t>
    </rPh>
    <rPh sb="59" eb="61">
      <t>セッケイ</t>
    </rPh>
    <rPh sb="61" eb="62">
      <t>ショ</t>
    </rPh>
    <rPh sb="63" eb="65">
      <t>キサイ</t>
    </rPh>
    <rPh sb="65" eb="66">
      <t>ドオ</t>
    </rPh>
    <phoneticPr fontId="19"/>
  </si>
  <si>
    <t>送信処理</t>
    <rPh sb="0" eb="2">
      <t>ソウシン</t>
    </rPh>
    <rPh sb="2" eb="4">
      <t>ショリ</t>
    </rPh>
    <phoneticPr fontId="19"/>
  </si>
  <si>
    <t>実行結果</t>
    <rPh sb="0" eb="4">
      <t>ジッコウケッカ</t>
    </rPh>
    <phoneticPr fontId="19"/>
  </si>
  <si>
    <t>実行結果が正常の時、電文が［システム機能設計書/共通コンポーネント設計書の記載通り］送信されること。</t>
    <rPh sb="0" eb="2">
      <t>ジッコウ</t>
    </rPh>
    <rPh sb="2" eb="4">
      <t>ケッカ</t>
    </rPh>
    <rPh sb="5" eb="7">
      <t>セイジョウ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</si>
  <si>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実行結果が異常の時、電文が［システム機能設計書/共通コンポーネント設計書の記載通り］送信されること。</t>
    <rPh sb="0" eb="2">
      <t>ジッコウ</t>
    </rPh>
    <rPh sb="2" eb="4">
      <t>ケッカ</t>
    </rPh>
    <rPh sb="5" eb="7">
      <t>イジョウ</t>
    </rPh>
    <rPh sb="8" eb="9">
      <t>トキ</t>
    </rPh>
    <rPh sb="10" eb="12">
      <t>デンブン</t>
    </rPh>
    <rPh sb="18" eb="20">
      <t>キノウ</t>
    </rPh>
    <rPh sb="20" eb="22">
      <t>セッケイ</t>
    </rPh>
    <rPh sb="22" eb="23">
      <t>ショ</t>
    </rPh>
    <rPh sb="24" eb="26">
      <t>キョウツウ</t>
    </rPh>
    <rPh sb="33" eb="35">
      <t>セッケイ</t>
    </rPh>
    <rPh sb="35" eb="36">
      <t>ショ</t>
    </rPh>
    <rPh sb="37" eb="39">
      <t>キサイ</t>
    </rPh>
    <rPh sb="39" eb="40">
      <t>ドオ</t>
    </rPh>
    <rPh sb="42" eb="44">
      <t>ソウシン</t>
    </rPh>
    <phoneticPr fontId="19"/>
  </si>
  <si>
    <t>電文の送信時にタイムアウトが発生した場合、実行結果が［システム機能設計書/共通コンポーネント設計書の記載通り］であること。</t>
    <rPh sb="0" eb="2">
      <t>デンブン</t>
    </rPh>
    <rPh sb="3" eb="5">
      <t>ソウシン</t>
    </rPh>
    <rPh sb="5" eb="6">
      <t>ジ</t>
    </rPh>
    <rPh sb="14" eb="16">
      <t>ハッセイ</t>
    </rPh>
    <rPh sb="18" eb="20">
      <t>バアイ</t>
    </rPh>
    <rPh sb="31" eb="33">
      <t>キノウ</t>
    </rPh>
    <rPh sb="33" eb="35">
      <t>セッケイ</t>
    </rPh>
    <rPh sb="35" eb="36">
      <t>ショ</t>
    </rPh>
    <rPh sb="37" eb="39">
      <t>キョウツウ</t>
    </rPh>
    <rPh sb="46" eb="48">
      <t>セッケイ</t>
    </rPh>
    <rPh sb="48" eb="49">
      <t>ショ</t>
    </rPh>
    <rPh sb="50" eb="52">
      <t>キサイ</t>
    </rPh>
    <rPh sb="52" eb="53">
      <t>ドオ</t>
    </rPh>
    <phoneticPr fontId="19"/>
  </si>
  <si>
    <t>タイムアウト以外のエラーが発生した場合、実行結果が［システム機能設計書/共通コンポーネント設計書の記載通り］であること。</t>
    <rPh sb="6" eb="8">
      <t>イガイ</t>
    </rPh>
    <rPh sb="13" eb="15">
      <t>ハッセイ</t>
    </rPh>
    <rPh sb="17" eb="19">
      <t>バアイ</t>
    </rPh>
    <rPh sb="20" eb="22">
      <t>ジッコウ</t>
    </rPh>
    <rPh sb="22" eb="24">
      <t>ケッカ</t>
    </rPh>
    <rPh sb="30" eb="32">
      <t>キノウ</t>
    </rPh>
    <rPh sb="32" eb="34">
      <t>セッケイ</t>
    </rPh>
    <rPh sb="34" eb="35">
      <t>ショ</t>
    </rPh>
    <rPh sb="36" eb="38">
      <t>キョウツウ</t>
    </rPh>
    <rPh sb="45" eb="47">
      <t>セッケイ</t>
    </rPh>
    <rPh sb="47" eb="48">
      <t>ショ</t>
    </rPh>
    <rPh sb="49" eb="51">
      <t>キサイ</t>
    </rPh>
    <rPh sb="51" eb="52">
      <t>ドオ</t>
    </rPh>
    <phoneticPr fontId="19"/>
  </si>
  <si>
    <t>電文編集</t>
    <rPh sb="0" eb="2">
      <t>デンブン</t>
    </rPh>
    <rPh sb="2" eb="4">
      <t>ヘンシュウ</t>
    </rPh>
    <phoneticPr fontId="19"/>
  </si>
  <si>
    <t>送信した電文の文字コードが［外部インターフェース設計書/サブシステムインターフェース設計書の記載通り］であること。</t>
    <rPh sb="7" eb="9">
      <t>モジ</t>
    </rPh>
    <phoneticPr fontId="19"/>
  </si>
  <si>
    <t>送信した電文の区切り文字が［外部インターフェース設計書/サブシステムインターフェース設計書の記載通り］であること。</t>
    <rPh sb="7" eb="9">
      <t>クギ</t>
    </rPh>
    <rPh sb="10" eb="12">
      <t>モジ</t>
    </rPh>
    <phoneticPr fontId="19"/>
  </si>
  <si>
    <t>送信した電文がマルチレイアウトの場合、レコード構成が［外部インターフェース設計書/サブシステムインターフェース設計書の記載通り］であること。</t>
    <rPh sb="16" eb="18">
      <t>バアイ</t>
    </rPh>
    <rPh sb="23" eb="25">
      <t>コウセイ</t>
    </rPh>
    <phoneticPr fontId="19"/>
  </si>
  <si>
    <t>送信した電文の項目並び順が［外部インターフェース設計書/サブシステムインターフェース設計書の記載通り］であること。</t>
    <rPh sb="7" eb="9">
      <t>コウモク</t>
    </rPh>
    <rPh sb="9" eb="10">
      <t>ナラ</t>
    </rPh>
    <rPh sb="11" eb="12">
      <t>ジュン</t>
    </rPh>
    <phoneticPr fontId="19"/>
  </si>
  <si>
    <t>送信した電文に含まれる項目の値が、取得元と同値であること。</t>
    <rPh sb="7" eb="8">
      <t>フク</t>
    </rPh>
    <rPh sb="11" eb="13">
      <t>コウモク</t>
    </rPh>
    <rPh sb="14" eb="15">
      <t>アタイ</t>
    </rPh>
    <rPh sb="17" eb="19">
      <t>シュトク</t>
    </rPh>
    <rPh sb="19" eb="20">
      <t>モト</t>
    </rPh>
    <rPh sb="21" eb="23">
      <t>ドウチ</t>
    </rPh>
    <phoneticPr fontId="2"/>
  </si>
  <si>
    <t>デフォルト値を送信する項目の場合、デフォルト値が送信されること。</t>
    <rPh sb="7" eb="9">
      <t>ソウシン</t>
    </rPh>
    <rPh sb="11" eb="13">
      <t>コウモク</t>
    </rPh>
    <rPh sb="14" eb="16">
      <t>バアイ</t>
    </rPh>
    <rPh sb="22" eb="23">
      <t>チ</t>
    </rPh>
    <rPh sb="24" eb="26">
      <t>ソウシン</t>
    </rPh>
    <phoneticPr fontId="19"/>
  </si>
  <si>
    <t>取得した値を変換する設計となっている場合、送信された値が［システム機能設計書/共通コンポーネント設計書の記載通り］であること。</t>
    <rPh sb="0" eb="2">
      <t>シュトク</t>
    </rPh>
    <rPh sb="18" eb="20">
      <t>バアイ</t>
    </rPh>
    <rPh sb="26" eb="27">
      <t>アタイ</t>
    </rPh>
    <phoneticPr fontId="19"/>
  </si>
  <si>
    <t>取得した値を編集する処理が分岐する設計となっている場合、送信された値が［システム機能設計書/共通コンポーネント設計書の記載通り］であること。</t>
  </si>
  <si>
    <t>ループ処理によって、取得した値の編集を繰り返す設計となっている場合、送信された値が［システム機能設計書/共通コンポーネント設計書の記載通り］であること。</t>
  </si>
  <si>
    <t>取得した値を使用して計算する設計となっている場合、送信された値が［システム機能設計書/共通コンポーネント設計書の記載通り］であること。</t>
  </si>
  <si>
    <t>取得した値を連結する設計となっている場合、送信された値が［システム機能設計書/共通コンポーネント設計書の記載通り］であること。</t>
    <rPh sb="0" eb="2">
      <t>シュトク</t>
    </rPh>
    <rPh sb="4" eb="5">
      <t>アタイ</t>
    </rPh>
    <rPh sb="6" eb="8">
      <t>レンケツ</t>
    </rPh>
    <rPh sb="10" eb="12">
      <t>セッケイ</t>
    </rPh>
    <rPh sb="18" eb="20">
      <t>バアイ</t>
    </rPh>
    <rPh sb="26" eb="27">
      <t>アタイ</t>
    </rPh>
    <phoneticPr fontId="19"/>
  </si>
  <si>
    <t>取得した値を暗号化する設計となっている場合、送信された値が暗号化されること。</t>
    <rPh sb="0" eb="2">
      <t>シュトク</t>
    </rPh>
    <rPh sb="4" eb="5">
      <t>アタイ</t>
    </rPh>
    <rPh sb="6" eb="9">
      <t>アンゴウカ</t>
    </rPh>
    <rPh sb="11" eb="13">
      <t>セッケイ</t>
    </rPh>
    <rPh sb="19" eb="21">
      <t>バアイ</t>
    </rPh>
    <rPh sb="27" eb="28">
      <t>アタイ</t>
    </rPh>
    <rPh sb="29" eb="32">
      <t>アンゴウカ</t>
    </rPh>
    <phoneticPr fontId="19"/>
  </si>
  <si>
    <t>取得した値をマスキングする設計となっている場合、送信された値がマスキングされること。</t>
    <rPh sb="0" eb="2">
      <t>シュトク</t>
    </rPh>
    <rPh sb="4" eb="5">
      <t>アタイ</t>
    </rPh>
    <rPh sb="13" eb="15">
      <t>セッケイ</t>
    </rPh>
    <rPh sb="21" eb="23">
      <t>バアイ</t>
    </rPh>
    <rPh sb="29" eb="30">
      <t>アタイ</t>
    </rPh>
    <phoneticPr fontId="19"/>
  </si>
  <si>
    <t>取得した値に改行、タブ、メタキャラクタが含まれる場合、送信された値がエンコーディング、サニタイジングされること。</t>
    <rPh sb="27" eb="29">
      <t>ソウシン</t>
    </rPh>
    <phoneticPr fontId="19"/>
  </si>
  <si>
    <t>取得した値をパディングする設計となっている場合、送信された値が［システム機能設計書/共通コンポーネント設計書の記載通り］であること。</t>
    <rPh sb="0" eb="2">
      <t>シュトク</t>
    </rPh>
    <rPh sb="4" eb="5">
      <t>アタイ</t>
    </rPh>
    <rPh sb="13" eb="15">
      <t>セッケイ</t>
    </rPh>
    <rPh sb="21" eb="23">
      <t>バアイ</t>
    </rPh>
    <rPh sb="24" eb="26">
      <t>ソウシン</t>
    </rPh>
    <phoneticPr fontId="19"/>
  </si>
  <si>
    <t>取得した値をパディングする設計となっている場合、送信された値のパディング位置が［システム機能設計書/共通コンポーネント設計書の記載通り］であること。</t>
    <rPh sb="24" eb="26">
      <t>ソウシン</t>
    </rPh>
    <rPh sb="29" eb="30">
      <t>アタイ</t>
    </rPh>
    <rPh sb="36" eb="38">
      <t>イチ</t>
    </rPh>
    <phoneticPr fontId="19"/>
  </si>
  <si>
    <t>取得した数値が小数点以下を含む場合、送信された小数点以下の数値が［システム機能設計書/共通コンポーネント設計書の記載通り］であること。</t>
    <rPh sb="0" eb="2">
      <t>シュトク</t>
    </rPh>
    <rPh sb="4" eb="6">
      <t>スウチ</t>
    </rPh>
    <rPh sb="7" eb="10">
      <t>ショウスウテン</t>
    </rPh>
    <rPh sb="10" eb="12">
      <t>イカ</t>
    </rPh>
    <rPh sb="13" eb="14">
      <t>フク</t>
    </rPh>
    <rPh sb="15" eb="17">
      <t>バアイ</t>
    </rPh>
    <rPh sb="18" eb="20">
      <t>ソウシン</t>
    </rPh>
    <rPh sb="23" eb="26">
      <t>ショウスウテン</t>
    </rPh>
    <rPh sb="26" eb="28">
      <t>イカ</t>
    </rPh>
    <rPh sb="29" eb="31">
      <t>スウチ</t>
    </rPh>
    <phoneticPr fontId="19"/>
  </si>
  <si>
    <t>送信項目の値が最大長の場合、エラーとならないこと。</t>
    <rPh sb="0" eb="2">
      <t>ソウシン</t>
    </rPh>
    <rPh sb="2" eb="4">
      <t>コウモク</t>
    </rPh>
    <rPh sb="5" eb="6">
      <t>アタイ</t>
    </rPh>
    <rPh sb="7" eb="9">
      <t>サイダイ</t>
    </rPh>
    <rPh sb="9" eb="10">
      <t>チョウ</t>
    </rPh>
    <rPh sb="11" eb="13">
      <t>バアイ</t>
    </rPh>
    <phoneticPr fontId="22"/>
  </si>
  <si>
    <t>送信項目の値が最小長の場合、エラーとならないこと。</t>
    <rPh sb="0" eb="2">
      <t>ソウシン</t>
    </rPh>
    <rPh sb="2" eb="4">
      <t>コウモク</t>
    </rPh>
    <rPh sb="5" eb="6">
      <t>アタイ</t>
    </rPh>
    <rPh sb="7" eb="9">
      <t>サイショウ</t>
    </rPh>
    <rPh sb="9" eb="10">
      <t>チョウ</t>
    </rPh>
    <rPh sb="11" eb="13">
      <t>バアイ</t>
    </rPh>
    <phoneticPr fontId="22"/>
  </si>
  <si>
    <t>送信項目の値が存在しない場合、［システム機能設計書/共通コンポーネント設計書の記載通りの挙動］となること。</t>
    <rPh sb="0" eb="2">
      <t>ソウシン</t>
    </rPh>
    <rPh sb="2" eb="4">
      <t>コウモク</t>
    </rPh>
    <rPh sb="5" eb="6">
      <t>アタイ</t>
    </rPh>
    <rPh sb="7" eb="9">
      <t>ソンザイ</t>
    </rPh>
    <rPh sb="12" eb="14">
      <t>バアイ</t>
    </rPh>
    <phoneticPr fontId="22"/>
  </si>
  <si>
    <t>送信する電文の長さが最大の場合、エラーとならないこと。</t>
    <rPh sb="0" eb="2">
      <t>ソウシン</t>
    </rPh>
    <rPh sb="4" eb="6">
      <t>デンブン</t>
    </rPh>
    <rPh sb="7" eb="8">
      <t>ナガ</t>
    </rPh>
    <rPh sb="10" eb="12">
      <t>サイダイ</t>
    </rPh>
    <rPh sb="13" eb="15">
      <t>バアイ</t>
    </rPh>
    <phoneticPr fontId="19"/>
  </si>
  <si>
    <t>送信する電文の長さが最小の場合、エラーとならないこと。</t>
    <rPh sb="0" eb="2">
      <t>ソウシン</t>
    </rPh>
    <rPh sb="4" eb="6">
      <t>デンブン</t>
    </rPh>
    <rPh sb="7" eb="8">
      <t>ナガ</t>
    </rPh>
    <rPh sb="10" eb="12">
      <t>サイショウ</t>
    </rPh>
    <rPh sb="13" eb="15">
      <t>バアイ</t>
    </rPh>
    <phoneticPr fontId="19"/>
  </si>
  <si>
    <t>サロゲートペア文字を許容する設計となっている場合、サロゲートペア文字を含む電文を送信した結果がエラーとならないこと。</t>
    <rPh sb="37" eb="39">
      <t>デンブン</t>
    </rPh>
    <rPh sb="40" eb="42">
      <t>ソウシン</t>
    </rPh>
    <phoneticPr fontId="19"/>
  </si>
  <si>
    <t>期待通りの件数分、レコードが送信されること。</t>
    <rPh sb="5" eb="7">
      <t>ケンスウ</t>
    </rPh>
    <rPh sb="7" eb="8">
      <t>ブン</t>
    </rPh>
    <phoneticPr fontId="19"/>
  </si>
  <si>
    <t>送信するレコード件数が複数件の場合、［システム機能設計書/共通コンポーネント設計書の記載通りの挙動］となること。</t>
    <rPh sb="0" eb="2">
      <t>ソウシン</t>
    </rPh>
    <rPh sb="8" eb="10">
      <t>ケンスウ</t>
    </rPh>
    <rPh sb="11" eb="13">
      <t>フクスウ</t>
    </rPh>
    <rPh sb="13" eb="14">
      <t>ケン</t>
    </rPh>
    <rPh sb="15" eb="17">
      <t>バアイ</t>
    </rPh>
    <phoneticPr fontId="19"/>
  </si>
  <si>
    <t>1本の電文に出力するレコードの最大件数が決まっている場合、最大件数分のレコードを出力した結果が［システム機能設計書/共通コンポーネント設計書の記載通り］であること。</t>
    <rPh sb="33" eb="34">
      <t>ブン</t>
    </rPh>
    <phoneticPr fontId="19"/>
  </si>
  <si>
    <t>1本の電文に出力するレコードの最大件数が決まっている場合、最大件数+1件分のレコードを出力した結果が［システム機能設計書/共通コンポーネント設計書の記載通り］であること。</t>
    <rPh sb="35" eb="36">
      <t>ケン</t>
    </rPh>
    <rPh sb="36" eb="37">
      <t>ブン</t>
    </rPh>
    <phoneticPr fontId="19"/>
  </si>
  <si>
    <t>送信するレコードが0件の場合、［システム機能設計書/共通コンポーネント設計書の記載通りの挙動］となること。</t>
    <rPh sb="0" eb="2">
      <t>ソウシン</t>
    </rPh>
    <rPh sb="10" eb="11">
      <t>ケン</t>
    </rPh>
    <rPh sb="12" eb="14">
      <t>バアイ</t>
    </rPh>
    <phoneticPr fontId="19"/>
  </si>
  <si>
    <t>送信する電文がマルチレイアウトの場合、同一レコード種類のレコードが複数件存在する時の処理が［システム機能設計書/共通コンポーネント設計書の記載通り］であること。</t>
    <rPh sb="0" eb="2">
      <t>ソウシン</t>
    </rPh>
    <rPh sb="4" eb="6">
      <t>デンブン</t>
    </rPh>
    <rPh sb="16" eb="18">
      <t>バアイ</t>
    </rPh>
    <rPh sb="19" eb="21">
      <t>ドウイツ</t>
    </rPh>
    <rPh sb="25" eb="27">
      <t>シュルイ</t>
    </rPh>
    <rPh sb="33" eb="35">
      <t>フクスウ</t>
    </rPh>
    <rPh sb="35" eb="36">
      <t>ケン</t>
    </rPh>
    <rPh sb="36" eb="38">
      <t>ソンザイ</t>
    </rPh>
    <rPh sb="40" eb="41">
      <t>トキ</t>
    </rPh>
    <rPh sb="42" eb="44">
      <t>ショリ</t>
    </rPh>
    <phoneticPr fontId="19"/>
  </si>
  <si>
    <t>送信する電文がマルチレイアウトの場合、レコード種類のうちデータレコードにあたる件数が0件の時、［システム機能設計書/共通コンポーネント設計書の記載通りの挙動］であること。</t>
    <rPh sb="0" eb="2">
      <t>ソウシン</t>
    </rPh>
    <rPh sb="4" eb="6">
      <t>デンブン</t>
    </rPh>
    <rPh sb="45" eb="46">
      <t>トキ</t>
    </rPh>
    <rPh sb="76" eb="78">
      <t>キョドウ</t>
    </rPh>
    <phoneticPr fontId="19"/>
  </si>
  <si>
    <t>送信する電文がマルチレイアウトで、全レコード種類が含まれる場合、エラーとならないこと。</t>
    <rPh sb="0" eb="2">
      <t>ソウシン</t>
    </rPh>
    <rPh sb="4" eb="6">
      <t>デンブン</t>
    </rPh>
    <rPh sb="17" eb="18">
      <t>ゼン</t>
    </rPh>
    <rPh sb="22" eb="24">
      <t>シュルイ</t>
    </rPh>
    <rPh sb="25" eb="26">
      <t>フク</t>
    </rPh>
    <rPh sb="29" eb="31">
      <t>バアイ</t>
    </rPh>
    <phoneticPr fontId="19"/>
  </si>
  <si>
    <t>送信するレコードのソート順が［システム機能設計書/共通コンポーネント設計書の記載通り］であること。</t>
    <rPh sb="0" eb="2">
      <t>ソウシン</t>
    </rPh>
    <rPh sb="12" eb="13">
      <t>ジュン</t>
    </rPh>
    <phoneticPr fontId="19"/>
  </si>
  <si>
    <t>ログ出力</t>
    <rPh sb="2" eb="4">
      <t>シュツリョク</t>
    </rPh>
    <phoneticPr fontId="19"/>
  </si>
  <si>
    <t>ファイル操作</t>
    <rPh sb="4" eb="6">
      <t>ソウサ</t>
    </rPh>
    <phoneticPr fontId="19"/>
  </si>
  <si>
    <t>ログファイルの格納先が［方式設計書の記載通り］であること。</t>
    <rPh sb="7" eb="9">
      <t>カクノウ</t>
    </rPh>
    <rPh sb="9" eb="10">
      <t>サキ</t>
    </rPh>
    <rPh sb="12" eb="17">
      <t>ホウシキセッケイショ</t>
    </rPh>
    <rPh sb="18" eb="20">
      <t>キサイ</t>
    </rPh>
    <rPh sb="20" eb="21">
      <t>トオ</t>
    </rPh>
    <phoneticPr fontId="2"/>
  </si>
  <si>
    <t>ログファイルのファイル名が［方式設計書の記載通り］であること。</t>
    <rPh sb="11" eb="12">
      <t>メイ</t>
    </rPh>
    <rPh sb="14" eb="19">
      <t>ホウシキセッケイショ</t>
    </rPh>
    <rPh sb="20" eb="23">
      <t>キサイドオ</t>
    </rPh>
    <phoneticPr fontId="2"/>
  </si>
  <si>
    <t>ログファイルのアクセス権限が［方式設計書の記載通り］であること。</t>
    <rPh sb="11" eb="13">
      <t>ケンゲン</t>
    </rPh>
    <phoneticPr fontId="2"/>
  </si>
  <si>
    <t>ログファイルの所有権が［方式設計書の記載通り］であること。</t>
    <rPh sb="7" eb="10">
      <t>ショユウケン</t>
    </rPh>
    <phoneticPr fontId="2"/>
  </si>
  <si>
    <t>ログ編集</t>
    <rPh sb="2" eb="4">
      <t>ヘンシュウ</t>
    </rPh>
    <phoneticPr fontId="19"/>
  </si>
  <si>
    <t>ログファイルの文字コードが［方式設計書の記載通り］であること。</t>
    <rPh sb="14" eb="16">
      <t>ホウシキ</t>
    </rPh>
    <rPh sb="16" eb="19">
      <t>セッケイショ</t>
    </rPh>
    <rPh sb="20" eb="22">
      <t>キサイ</t>
    </rPh>
    <rPh sb="22" eb="23">
      <t>ドオ</t>
    </rPh>
    <phoneticPr fontId="19"/>
  </si>
  <si>
    <t>ログファイルの改行コードが［方式設計書の記載通り］であること。</t>
    <rPh sb="7" eb="9">
      <t>カイギョウ</t>
    </rPh>
    <phoneticPr fontId="19"/>
  </si>
  <si>
    <t>ログファイルの区切り文字が［方式設計書の記載通り］であること。</t>
    <rPh sb="7" eb="9">
      <t>クギ</t>
    </rPh>
    <rPh sb="10" eb="12">
      <t>モジ</t>
    </rPh>
    <phoneticPr fontId="19"/>
  </si>
  <si>
    <t>ログファイルの項目並び順が［方式設計書の記載通り］であること。</t>
    <rPh sb="7" eb="9">
      <t>コウモク</t>
    </rPh>
    <rPh sb="9" eb="10">
      <t>ナラ</t>
    </rPh>
    <rPh sb="11" eb="12">
      <t>ジュン</t>
    </rPh>
    <phoneticPr fontId="19"/>
  </si>
  <si>
    <t>出力内容</t>
    <rPh sb="0" eb="2">
      <t>シュツリョク</t>
    </rPh>
    <rPh sb="2" eb="4">
      <t>ナイヨウ</t>
    </rPh>
    <phoneticPr fontId="19"/>
  </si>
  <si>
    <t>編集仕様</t>
    <rPh sb="0" eb="2">
      <t>ヘンシュウ</t>
    </rPh>
    <rPh sb="2" eb="4">
      <t>シヨウ</t>
    </rPh>
    <phoneticPr fontId="2"/>
  </si>
  <si>
    <t>出力された正常時のログの内容が［メッセージ設計書の記載通り］であること。</t>
    <rPh sb="0" eb="2">
      <t>シュツリョク</t>
    </rPh>
    <rPh sb="5" eb="7">
      <t>セイジョウ</t>
    </rPh>
    <rPh sb="7" eb="8">
      <t>ジ</t>
    </rPh>
    <rPh sb="12" eb="14">
      <t>ナイヨウ</t>
    </rPh>
    <rPh sb="25" eb="27">
      <t>キサイ</t>
    </rPh>
    <rPh sb="27" eb="28">
      <t>ドオ</t>
    </rPh>
    <phoneticPr fontId="19"/>
  </si>
  <si>
    <t>出力された異常時のログ（エラーログ）の内容が［メッセージ設計書の記載通り］であること。</t>
    <rPh sb="0" eb="2">
      <t>シュツリョク</t>
    </rPh>
    <rPh sb="5" eb="7">
      <t>イジョウ</t>
    </rPh>
    <rPh sb="7" eb="8">
      <t>ジ</t>
    </rPh>
    <rPh sb="19" eb="21">
      <t>ナイヨウ</t>
    </rPh>
    <rPh sb="28" eb="30">
      <t>セッケイ</t>
    </rPh>
    <rPh sb="30" eb="31">
      <t>ショ</t>
    </rPh>
    <rPh sb="32" eb="34">
      <t>キサイ</t>
    </rPh>
    <rPh sb="34" eb="35">
      <t>ドオ</t>
    </rPh>
    <phoneticPr fontId="19"/>
  </si>
  <si>
    <t>取得した値を変換する設計となっている場合、出力された値が［システム機能設計書/共通コンポーネント設計書の記載通り］であること。</t>
    <rPh sb="21" eb="23">
      <t>シュツリョク</t>
    </rPh>
    <rPh sb="26" eb="27">
      <t>アタイ</t>
    </rPh>
    <phoneticPr fontId="19"/>
  </si>
  <si>
    <t>取得した値を連結する設計となっている場合、出力された値が［システム機能設計書/共通コンポーネント設計書の記載通り］であること。</t>
  </si>
  <si>
    <t>取得した値を暗号化する設計となっている場合、出力された値が暗号化されること。</t>
    <rPh sb="0" eb="2">
      <t>シュトク</t>
    </rPh>
    <rPh sb="4" eb="5">
      <t>アタイ</t>
    </rPh>
    <rPh sb="6" eb="9">
      <t>アンゴウカ</t>
    </rPh>
    <rPh sb="11" eb="13">
      <t>セッケイ</t>
    </rPh>
    <rPh sb="19" eb="21">
      <t>バアイ</t>
    </rPh>
    <rPh sb="29" eb="32">
      <t>アンゴウカ</t>
    </rPh>
    <phoneticPr fontId="19"/>
  </si>
  <si>
    <t>取得した値をマスキングする設計となっている場合、出力された値がマスキングされること。</t>
    <rPh sb="0" eb="2">
      <t>シュトク</t>
    </rPh>
    <rPh sb="4" eb="5">
      <t>アタイ</t>
    </rPh>
    <rPh sb="13" eb="15">
      <t>セッケイ</t>
    </rPh>
    <rPh sb="21" eb="23">
      <t>バアイ</t>
    </rPh>
    <phoneticPr fontId="19"/>
  </si>
  <si>
    <t>バリデーション</t>
    <phoneticPr fontId="19"/>
  </si>
  <si>
    <t>数値項目に有効範囲の下限値が入力された場合、エラーとならないこと。</t>
    <rPh sb="0" eb="2">
      <t>スウチ</t>
    </rPh>
    <rPh sb="2" eb="4">
      <t>コウモク</t>
    </rPh>
    <rPh sb="5" eb="7">
      <t>ユウコウ</t>
    </rPh>
    <rPh sb="7" eb="9">
      <t>ハンイ</t>
    </rPh>
    <rPh sb="10" eb="12">
      <t>カゲン</t>
    </rPh>
    <rPh sb="12" eb="13">
      <t>チ</t>
    </rPh>
    <rPh sb="14" eb="16">
      <t>ニュウリョク</t>
    </rPh>
    <rPh sb="19" eb="21">
      <t>バアイ</t>
    </rPh>
    <phoneticPr fontId="19"/>
  </si>
  <si>
    <t>メールアドレス</t>
    <phoneticPr fontId="21"/>
  </si>
  <si>
    <t>アプリケーション固有のバリデーションがある場合、バリデーションの結果が［システム機能設計書の記載通り］であること。</t>
    <rPh sb="8" eb="10">
      <t>コユウ</t>
    </rPh>
    <rPh sb="32" eb="34">
      <t>ケッカ</t>
    </rPh>
    <rPh sb="40" eb="42">
      <t>キノウ</t>
    </rPh>
    <rPh sb="42" eb="44">
      <t>セッケイ</t>
    </rPh>
    <rPh sb="44" eb="45">
      <t>ショ</t>
    </rPh>
    <rPh sb="46" eb="48">
      <t>キサイ</t>
    </rPh>
    <rPh sb="48" eb="49">
      <t>ドオ</t>
    </rPh>
    <phoneticPr fontId="19"/>
  </si>
  <si>
    <t>-</t>
    <phoneticPr fontId="19"/>
  </si>
  <si>
    <t>特定の条件により必須・任意が変わる項目について、該当項目が任意となっている状態で、値が未入力の場合、エラーとならないこと。</t>
    <phoneticPr fontId="19"/>
  </si>
  <si>
    <t>有効なレコードが存在する場合、エラーとならないこと。</t>
    <phoneticPr fontId="19"/>
  </si>
  <si>
    <t>有効なレコードが存在しない場合、エラーとなること。</t>
    <phoneticPr fontId="19"/>
  </si>
  <si>
    <t>エスケープ</t>
    <phoneticPr fontId="2"/>
  </si>
  <si>
    <t>全項目に値が指定された場合、レコードが登録されること。</t>
    <phoneticPr fontId="2"/>
  </si>
  <si>
    <t>更新対象の項目すべてに値が指定された場合、レコードが更新されること。</t>
    <phoneticPr fontId="19"/>
  </si>
  <si>
    <t>必須項目に値が指定されていない場合、レコードが登録されないこと。</t>
    <phoneticPr fontId="2"/>
  </si>
  <si>
    <t>更新対象の必須項目に値が指定されていない場合、レコードが更新されないこと。</t>
    <phoneticPr fontId="19"/>
  </si>
  <si>
    <t>エラー</t>
    <phoneticPr fontId="19"/>
  </si>
  <si>
    <t>ロールバック</t>
    <phoneticPr fontId="19"/>
  </si>
  <si>
    <t>コミット</t>
    <phoneticPr fontId="19"/>
  </si>
  <si>
    <t>※ファイルアップロードを含む</t>
    <phoneticPr fontId="19"/>
  </si>
  <si>
    <t>インターフェース仕様</t>
    <phoneticPr fontId="19"/>
  </si>
  <si>
    <t>ファイルサイズ</t>
    <phoneticPr fontId="19"/>
  </si>
  <si>
    <t>ソート順</t>
    <phoneticPr fontId="19"/>
  </si>
  <si>
    <t>レイアウト</t>
    <phoneticPr fontId="19"/>
  </si>
  <si>
    <t>ループ処理によって、取得した値の編集を繰り返す設計となっている場合、出力された値が［システム機能設計書/共通コンポーネント設計書の記載通り］であること。</t>
    <phoneticPr fontId="19"/>
  </si>
  <si>
    <t>取得した値を使用して計算する設計となっている場合、出力された値が［システム機能設計書/共通コンポーネント設計書の記載通り］であること。</t>
    <phoneticPr fontId="19"/>
  </si>
  <si>
    <t>コピー</t>
    <phoneticPr fontId="2"/>
  </si>
  <si>
    <t>ヘッダ</t>
    <phoneticPr fontId="2"/>
  </si>
  <si>
    <t>ヘッダがエンコードされること。</t>
    <phoneticPr fontId="2"/>
  </si>
  <si>
    <t>ループ処理によって、取得した値の編集を繰り返す設計となっている場合、件名に設定された値が［システム機能設計書/共通コンポーネント設計書/メール設計書の記載通り］であること。</t>
    <phoneticPr fontId="19"/>
  </si>
  <si>
    <t>本文</t>
    <phoneticPr fontId="19"/>
  </si>
  <si>
    <t>取得した値を編集する処理が分岐する設計となっている場合、本文に設定された値が［システム機能設計書/共通コンポーネント設計書/メール設計書の記載通り］であること。</t>
  </si>
  <si>
    <t>ループ処理によって、取得した値の編集を繰り返す設計となっている場合、本文に設定された値が［システム機能設計書/共通コンポーネント設計書/メール設計書の記載通り］であること。</t>
    <phoneticPr fontId="19"/>
  </si>
  <si>
    <t>1通のメールに埋め込み項目などを複数件繰り返し出力する設計の場合、ソート順が［システム機能設計書/共通コンポーネント設計書/メール設計書の記載通り］であること。</t>
    <phoneticPr fontId="19"/>
  </si>
  <si>
    <t>ループ処理によって、取得した値の編集を繰り返す設計となっている場合、送信された値が［システム機能設計書/共通コンポーネント設計書の記載通り］であること。</t>
    <phoneticPr fontId="19"/>
  </si>
  <si>
    <t>取得した値を編集する処理が分岐する設計となっている場合、出力された値が［システム機能設計書/共通コンポーネント設計書の記載通り］であること。</t>
    <phoneticPr fontId="19"/>
  </si>
  <si>
    <t>取得した値を連結する設計となっている場合、出力された値が［システム機能設計書/共通コンポーネント設計書の記載通り］であること。</t>
    <phoneticPr fontId="19"/>
  </si>
  <si>
    <t>テストデータシート名</t>
    <phoneticPr fontId="2"/>
  </si>
  <si>
    <t>該当処理が無いため対象外</t>
    <rPh sb="0" eb="2">
      <t>ガイトウ</t>
    </rPh>
    <rPh sb="2" eb="4">
      <t>ショリ</t>
    </rPh>
    <rPh sb="5" eb="6">
      <t>ナ</t>
    </rPh>
    <rPh sb="9" eb="12">
      <t>タイショウガイ</t>
    </rPh>
    <phoneticPr fontId="2"/>
  </si>
  <si>
    <t>システム機能設計書</t>
    <rPh sb="4" eb="8">
      <t>キノウセッケイ</t>
    </rPh>
    <rPh sb="8" eb="9">
      <t>ショ</t>
    </rPh>
    <phoneticPr fontId="2"/>
  </si>
  <si>
    <t>任意項目が無いため対象外</t>
    <rPh sb="0" eb="4">
      <t>ニンイコウモク</t>
    </rPh>
    <rPh sb="5" eb="6">
      <t>ナ</t>
    </rPh>
    <rPh sb="9" eb="12">
      <t>タイショウガイ</t>
    </rPh>
    <phoneticPr fontId="2"/>
  </si>
  <si>
    <t>1</t>
  </si>
  <si>
    <t>該当仕様が無いため対象外</t>
    <rPh sb="0" eb="2">
      <t>ガイトウ</t>
    </rPh>
    <rPh sb="2" eb="4">
      <t>シヨウ</t>
    </rPh>
    <rPh sb="5" eb="6">
      <t>ナ</t>
    </rPh>
    <rPh sb="9" eb="12">
      <t>タイショウガイ</t>
    </rPh>
    <phoneticPr fontId="2"/>
  </si>
  <si>
    <t>サロゲートペア文字は許容しないため対象外</t>
    <rPh sb="7" eb="9">
      <t>モジ</t>
    </rPh>
    <rPh sb="10" eb="12">
      <t>キョヨウ</t>
    </rPh>
    <rPh sb="17" eb="20">
      <t>タイショウガイ</t>
    </rPh>
    <phoneticPr fontId="2"/>
  </si>
  <si>
    <t>クラス単体テストでは対象外</t>
    <rPh sb="3" eb="5">
      <t>タンタイ</t>
    </rPh>
    <rPh sb="10" eb="13">
      <t>タイショウガイ</t>
    </rPh>
    <phoneticPr fontId="2"/>
  </si>
  <si>
    <t>更新処理が無いため対象外</t>
    <rPh sb="0" eb="4">
      <t>コウシンショリ</t>
    </rPh>
    <rPh sb="5" eb="6">
      <t>ナ</t>
    </rPh>
    <rPh sb="9" eb="12">
      <t>タイショウガイ</t>
    </rPh>
    <phoneticPr fontId="2"/>
  </si>
  <si>
    <t>削除処理が無いため対象外</t>
    <rPh sb="0" eb="2">
      <t>サクジョ</t>
    </rPh>
    <rPh sb="2" eb="4">
      <t>ショリ</t>
    </rPh>
    <rPh sb="5" eb="6">
      <t>ナ</t>
    </rPh>
    <rPh sb="9" eb="12">
      <t>タイショウガイ</t>
    </rPh>
    <phoneticPr fontId="2"/>
  </si>
  <si>
    <t>ファイル出力処理が無いため対象外</t>
    <rPh sb="4" eb="6">
      <t>シュツリョク</t>
    </rPh>
    <rPh sb="6" eb="8">
      <t>ショリ</t>
    </rPh>
    <rPh sb="9" eb="10">
      <t>ナ</t>
    </rPh>
    <rPh sb="13" eb="16">
      <t>タイショウガイ</t>
    </rPh>
    <phoneticPr fontId="2"/>
  </si>
  <si>
    <t>ファイル操作処理が無いため対象外</t>
    <rPh sb="4" eb="6">
      <t>ソウサ</t>
    </rPh>
    <rPh sb="6" eb="8">
      <t>ショリ</t>
    </rPh>
    <rPh sb="9" eb="10">
      <t>ナ</t>
    </rPh>
    <rPh sb="13" eb="16">
      <t>タイショウガイ</t>
    </rPh>
    <phoneticPr fontId="2"/>
  </si>
  <si>
    <t>メール処理が無いため対象外</t>
    <rPh sb="3" eb="5">
      <t>ショリ</t>
    </rPh>
    <rPh sb="6" eb="7">
      <t>ナ</t>
    </rPh>
    <rPh sb="10" eb="13">
      <t>タイショウガイ</t>
    </rPh>
    <phoneticPr fontId="2"/>
  </si>
  <si>
    <t>電文処理が無いため対象外</t>
    <rPh sb="0" eb="2">
      <t>デンブン</t>
    </rPh>
    <rPh sb="2" eb="4">
      <t>ショリ</t>
    </rPh>
    <rPh sb="5" eb="6">
      <t>ナ</t>
    </rPh>
    <rPh sb="9" eb="12">
      <t>タイショウガイ</t>
    </rPh>
    <phoneticPr fontId="2"/>
  </si>
  <si>
    <t>ログ出力仕様が無いため対象外</t>
    <rPh sb="2" eb="4">
      <t>シュツリョク</t>
    </rPh>
    <rPh sb="4" eb="6">
      <t>シヨウ</t>
    </rPh>
    <rPh sb="7" eb="8">
      <t>ナ</t>
    </rPh>
    <rPh sb="11" eb="14">
      <t>タイショウガイ</t>
    </rPh>
    <phoneticPr fontId="2"/>
  </si>
  <si>
    <t>リクエスト単体テストでは対象外</t>
    <rPh sb="5" eb="7">
      <t>タンタイ</t>
    </rPh>
    <rPh sb="12" eb="15">
      <t>タイショウガイ</t>
    </rPh>
    <phoneticPr fontId="2"/>
  </si>
  <si>
    <t>システム機能設計書</t>
  </si>
  <si>
    <t>ファイル取込処理が無いため対象外</t>
    <rPh sb="4" eb="6">
      <t>トリコミ</t>
    </rPh>
    <rPh sb="6" eb="8">
      <t>ショリ</t>
    </rPh>
    <rPh sb="9" eb="10">
      <t>ナ</t>
    </rPh>
    <rPh sb="13" eb="16">
      <t>タイショウガイ</t>
    </rPh>
    <phoneticPr fontId="2"/>
  </si>
  <si>
    <t>testUpdateCompanyContact</t>
  </si>
  <si>
    <t>画面表示</t>
    <rPh sb="0" eb="2">
      <t>ガメン</t>
    </rPh>
    <rPh sb="2" eb="4">
      <t>ヒョウジ</t>
    </rPh>
    <phoneticPr fontId="2"/>
  </si>
  <si>
    <t>表示結果</t>
    <rPh sb="0" eb="2">
      <t>ヒョウジ</t>
    </rPh>
    <rPh sb="2" eb="4">
      <t>ケッカ</t>
    </rPh>
    <phoneticPr fontId="2"/>
  </si>
  <si>
    <t>画面レイアウト</t>
    <rPh sb="0" eb="2">
      <t>ガメン</t>
    </rPh>
    <phoneticPr fontId="19"/>
  </si>
  <si>
    <t>画面の幅が［UI標準の記載通り］であること。</t>
    <rPh sb="0" eb="2">
      <t>ガメン</t>
    </rPh>
    <rPh sb="3" eb="4">
      <t>ハバ</t>
    </rPh>
    <rPh sb="8" eb="10">
      <t>ヒョウジュン</t>
    </rPh>
    <rPh sb="11" eb="13">
      <t>キサイ</t>
    </rPh>
    <rPh sb="13" eb="14">
      <t>ドオ</t>
    </rPh>
    <phoneticPr fontId="2"/>
  </si>
  <si>
    <t>サイズ固定とはしないので対象外</t>
    <phoneticPr fontId="2"/>
  </si>
  <si>
    <t>画面の高さが［UI標準の記載通り］であること。</t>
    <rPh sb="0" eb="2">
      <t>ガメン</t>
    </rPh>
    <rPh sb="3" eb="4">
      <t>タカ</t>
    </rPh>
    <rPh sb="9" eb="11">
      <t>ヒョウジュン</t>
    </rPh>
    <rPh sb="12" eb="14">
      <t>キサイ</t>
    </rPh>
    <rPh sb="14" eb="15">
      <t>ドオ</t>
    </rPh>
    <phoneticPr fontId="2"/>
  </si>
  <si>
    <t>画面のタイトルが［UI標準の記載通り］であること。</t>
    <rPh sb="0" eb="2">
      <t>ガメン</t>
    </rPh>
    <rPh sb="11" eb="13">
      <t>ヒョウジュン</t>
    </rPh>
    <rPh sb="14" eb="16">
      <t>キサイ</t>
    </rPh>
    <rPh sb="16" eb="17">
      <t>ドオ</t>
    </rPh>
    <phoneticPr fontId="2"/>
  </si>
  <si>
    <t>画面のヘッダーが［UI標準の記載通り］であること。</t>
    <rPh sb="0" eb="2">
      <t>ガメン</t>
    </rPh>
    <rPh sb="11" eb="13">
      <t>ヒョウジュン</t>
    </rPh>
    <rPh sb="14" eb="16">
      <t>キサイ</t>
    </rPh>
    <rPh sb="16" eb="17">
      <t>ドオ</t>
    </rPh>
    <phoneticPr fontId="2"/>
  </si>
  <si>
    <t>画面のフッターが［UI標準の記載通り］であること。</t>
    <rPh sb="0" eb="2">
      <t>ガメン</t>
    </rPh>
    <rPh sb="11" eb="13">
      <t>ヒョウジュン</t>
    </rPh>
    <rPh sb="14" eb="16">
      <t>キサイ</t>
    </rPh>
    <rPh sb="16" eb="17">
      <t>ドオ</t>
    </rPh>
    <phoneticPr fontId="2"/>
  </si>
  <si>
    <t>画面のメニューが［UI標準の記載通り］であること。</t>
    <phoneticPr fontId="2"/>
  </si>
  <si>
    <t>画面の縦スクロールが［UI標準の記載通り］であること。</t>
    <rPh sb="0" eb="2">
      <t>ガメン</t>
    </rPh>
    <rPh sb="3" eb="4">
      <t>タテ</t>
    </rPh>
    <rPh sb="13" eb="15">
      <t>ヒョウジュン</t>
    </rPh>
    <rPh sb="16" eb="18">
      <t>キサイ</t>
    </rPh>
    <rPh sb="18" eb="19">
      <t>ドオ</t>
    </rPh>
    <phoneticPr fontId="2"/>
  </si>
  <si>
    <t>画面の横スクロールが［UI標準の記載通り］であること。</t>
    <rPh sb="0" eb="2">
      <t>ガメン</t>
    </rPh>
    <rPh sb="3" eb="4">
      <t>ヨコ</t>
    </rPh>
    <rPh sb="13" eb="15">
      <t>ヒョウジュン</t>
    </rPh>
    <rPh sb="16" eb="18">
      <t>キサイ</t>
    </rPh>
    <rPh sb="18" eb="19">
      <t>ドオ</t>
    </rPh>
    <phoneticPr fontId="2"/>
  </si>
  <si>
    <t>フォントが［UI標準の記載通り］であること。</t>
    <rPh sb="8" eb="10">
      <t>ヒョウジュン</t>
    </rPh>
    <rPh sb="11" eb="13">
      <t>キサイ</t>
    </rPh>
    <rPh sb="13" eb="14">
      <t>ドオ</t>
    </rPh>
    <phoneticPr fontId="2"/>
  </si>
  <si>
    <t>文字スタイル（太字斜体など）が［UI標準の記載通り］であること。</t>
    <rPh sb="0" eb="2">
      <t>モジ</t>
    </rPh>
    <rPh sb="7" eb="9">
      <t>フトジ</t>
    </rPh>
    <rPh sb="9" eb="11">
      <t>シャタイ</t>
    </rPh>
    <rPh sb="18" eb="20">
      <t>ヒョウジュン</t>
    </rPh>
    <rPh sb="21" eb="23">
      <t>キサイ</t>
    </rPh>
    <rPh sb="23" eb="24">
      <t>ドオ</t>
    </rPh>
    <phoneticPr fontId="2"/>
  </si>
  <si>
    <t>文字サイズが［UI標準の記載通り］であること。</t>
    <rPh sb="0" eb="2">
      <t>モジ</t>
    </rPh>
    <rPh sb="9" eb="11">
      <t>ヒョウジュン</t>
    </rPh>
    <rPh sb="12" eb="14">
      <t>キサイ</t>
    </rPh>
    <rPh sb="14" eb="15">
      <t>ドオ</t>
    </rPh>
    <phoneticPr fontId="2"/>
  </si>
  <si>
    <t>文字色が［UI標準の記載通り］であること。</t>
    <rPh sb="0" eb="2">
      <t>モジ</t>
    </rPh>
    <rPh sb="2" eb="3">
      <t>イロ</t>
    </rPh>
    <rPh sb="7" eb="9">
      <t>ヒョウジュン</t>
    </rPh>
    <rPh sb="10" eb="12">
      <t>キサイ</t>
    </rPh>
    <rPh sb="12" eb="13">
      <t>ドオ</t>
    </rPh>
    <phoneticPr fontId="2"/>
  </si>
  <si>
    <t>背景色が［UI標準の記載通り］であること。</t>
    <rPh sb="0" eb="2">
      <t>ハイケイ</t>
    </rPh>
    <rPh sb="2" eb="3">
      <t>イロ</t>
    </rPh>
    <rPh sb="7" eb="9">
      <t>ヒョウジュン</t>
    </rPh>
    <rPh sb="10" eb="12">
      <t>キサイ</t>
    </rPh>
    <rPh sb="12" eb="13">
      <t>ドオ</t>
    </rPh>
    <phoneticPr fontId="2"/>
  </si>
  <si>
    <t>表示項目の名称が［システム機能設計書の記載通り］であること。</t>
    <rPh sb="0" eb="2">
      <t>ヒョウジ</t>
    </rPh>
    <rPh sb="2" eb="4">
      <t>コウモク</t>
    </rPh>
    <rPh sb="5" eb="7">
      <t>メイショウ</t>
    </rPh>
    <rPh sb="13" eb="15">
      <t>キノウ</t>
    </rPh>
    <rPh sb="15" eb="17">
      <t>セッケイ</t>
    </rPh>
    <rPh sb="17" eb="18">
      <t>ショ</t>
    </rPh>
    <rPh sb="19" eb="21">
      <t>キサイ</t>
    </rPh>
    <rPh sb="21" eb="22">
      <t>ドオ</t>
    </rPh>
    <phoneticPr fontId="2"/>
  </si>
  <si>
    <t>固定表示文言が［システム機能設計書の記載通り］であること。</t>
    <rPh sb="0" eb="2">
      <t>コテイ</t>
    </rPh>
    <rPh sb="2" eb="4">
      <t>ヒョウジ</t>
    </rPh>
    <rPh sb="4" eb="6">
      <t>モンゴン</t>
    </rPh>
    <rPh sb="12" eb="14">
      <t>キノウ</t>
    </rPh>
    <rPh sb="14" eb="16">
      <t>セッケイ</t>
    </rPh>
    <rPh sb="16" eb="17">
      <t>ショ</t>
    </rPh>
    <rPh sb="18" eb="20">
      <t>キサイ</t>
    </rPh>
    <rPh sb="20" eb="21">
      <t>ドオ</t>
    </rPh>
    <phoneticPr fontId="2"/>
  </si>
  <si>
    <t>表示メッセージが［システム機能設計書の記載通り］であること。</t>
    <rPh sb="0" eb="2">
      <t>ヒョウジ</t>
    </rPh>
    <rPh sb="13" eb="15">
      <t>キノウ</t>
    </rPh>
    <rPh sb="15" eb="17">
      <t>セッケイ</t>
    </rPh>
    <rPh sb="17" eb="18">
      <t>ショ</t>
    </rPh>
    <rPh sb="19" eb="21">
      <t>キサイ</t>
    </rPh>
    <rPh sb="21" eb="22">
      <t>ドオ</t>
    </rPh>
    <phoneticPr fontId="2"/>
  </si>
  <si>
    <t>各UI部品の表示位置が［システム機能設計書の記載通り］であること。</t>
    <rPh sb="0" eb="1">
      <t>カク</t>
    </rPh>
    <rPh sb="3" eb="5">
      <t>ブヒン</t>
    </rPh>
    <rPh sb="6" eb="8">
      <t>ヒョウジ</t>
    </rPh>
    <rPh sb="8" eb="10">
      <t>イチ</t>
    </rPh>
    <rPh sb="16" eb="18">
      <t>キノウ</t>
    </rPh>
    <rPh sb="18" eb="20">
      <t>セッケイ</t>
    </rPh>
    <rPh sb="20" eb="21">
      <t>ショ</t>
    </rPh>
    <rPh sb="22" eb="24">
      <t>キサイ</t>
    </rPh>
    <rPh sb="24" eb="25">
      <t>ドオ</t>
    </rPh>
    <phoneticPr fontId="2"/>
  </si>
  <si>
    <t>各UI部品の表示サイズ（幅、高さ、行数）が［システム機能設計書の記載通り］であること。</t>
    <rPh sb="0" eb="1">
      <t>カク</t>
    </rPh>
    <rPh sb="3" eb="5">
      <t>ブヒン</t>
    </rPh>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2"/>
  </si>
  <si>
    <t>必須/任意の表示が［システム機能設計書の記載通り］であること。</t>
    <rPh sb="0" eb="2">
      <t>ヒッス</t>
    </rPh>
    <rPh sb="3" eb="5">
      <t>ニンイ</t>
    </rPh>
    <rPh sb="6" eb="8">
      <t>ヒョウジ</t>
    </rPh>
    <rPh sb="14" eb="16">
      <t>キノウ</t>
    </rPh>
    <rPh sb="16" eb="18">
      <t>セッケイ</t>
    </rPh>
    <rPh sb="18" eb="19">
      <t>ショ</t>
    </rPh>
    <rPh sb="20" eb="22">
      <t>キサイ</t>
    </rPh>
    <rPh sb="22" eb="23">
      <t>ドオ</t>
    </rPh>
    <phoneticPr fontId="2"/>
  </si>
  <si>
    <t>画像の表示が［システム機能設計書の記載通り］であること。</t>
    <rPh sb="0" eb="2">
      <t>ガゾウ</t>
    </rPh>
    <rPh sb="3" eb="5">
      <t>ヒョウジ</t>
    </rPh>
    <rPh sb="11" eb="13">
      <t>キノウ</t>
    </rPh>
    <rPh sb="13" eb="15">
      <t>セッケイ</t>
    </rPh>
    <rPh sb="15" eb="16">
      <t>ショ</t>
    </rPh>
    <rPh sb="17" eb="19">
      <t>キサイ</t>
    </rPh>
    <rPh sb="19" eb="20">
      <t>ドオ</t>
    </rPh>
    <phoneticPr fontId="2"/>
  </si>
  <si>
    <t>バナー広告の表示が［システム機能設計書の記載通り］であること。</t>
    <rPh sb="3" eb="5">
      <t>コウコク</t>
    </rPh>
    <rPh sb="6" eb="8">
      <t>ヒョウジ</t>
    </rPh>
    <rPh sb="14" eb="16">
      <t>キノウ</t>
    </rPh>
    <rPh sb="16" eb="18">
      <t>セッケイ</t>
    </rPh>
    <rPh sb="18" eb="19">
      <t>ショ</t>
    </rPh>
    <rPh sb="20" eb="22">
      <t>キサイ</t>
    </rPh>
    <rPh sb="22" eb="23">
      <t>ドオ</t>
    </rPh>
    <phoneticPr fontId="2"/>
  </si>
  <si>
    <t>活性/非活性</t>
    <rPh sb="0" eb="2">
      <t>カッセイ</t>
    </rPh>
    <rPh sb="3" eb="4">
      <t>ヒ</t>
    </rPh>
    <rPh sb="4" eb="6">
      <t>カッセイ</t>
    </rPh>
    <phoneticPr fontId="19"/>
  </si>
  <si>
    <t>活性となる状態の場合、該当UI部品が活性となっていること。</t>
    <rPh sb="0" eb="2">
      <t>カッセイ</t>
    </rPh>
    <rPh sb="5" eb="7">
      <t>ジョウタイ</t>
    </rPh>
    <rPh sb="8" eb="10">
      <t>バアイ</t>
    </rPh>
    <rPh sb="11" eb="13">
      <t>ガイトウ</t>
    </rPh>
    <rPh sb="15" eb="17">
      <t>ブヒン</t>
    </rPh>
    <rPh sb="18" eb="20">
      <t>カッセイ</t>
    </rPh>
    <phoneticPr fontId="19"/>
  </si>
  <si>
    <t>非活性となる状態の場合、該当UI部品が非活性となっていること。</t>
    <rPh sb="0" eb="1">
      <t>ヒ</t>
    </rPh>
    <rPh sb="1" eb="3">
      <t>カッセイ</t>
    </rPh>
    <rPh sb="6" eb="8">
      <t>ジョウタイ</t>
    </rPh>
    <rPh sb="9" eb="11">
      <t>バアイ</t>
    </rPh>
    <rPh sb="12" eb="14">
      <t>ガイトウ</t>
    </rPh>
    <rPh sb="19" eb="20">
      <t>ヒ</t>
    </rPh>
    <rPh sb="20" eb="22">
      <t>カッセイ</t>
    </rPh>
    <phoneticPr fontId="19"/>
  </si>
  <si>
    <t>表示/非表示</t>
    <rPh sb="0" eb="2">
      <t>ヒョウジ</t>
    </rPh>
    <rPh sb="3" eb="6">
      <t>ヒヒョウジ</t>
    </rPh>
    <phoneticPr fontId="19"/>
  </si>
  <si>
    <t>表示の状態の場合、該当項目、文言が表示されること。</t>
    <rPh sb="0" eb="2">
      <t>ヒョウジ</t>
    </rPh>
    <rPh sb="3" eb="5">
      <t>ジョウタイ</t>
    </rPh>
    <rPh sb="6" eb="8">
      <t>バアイ</t>
    </rPh>
    <rPh sb="9" eb="11">
      <t>ガイトウ</t>
    </rPh>
    <rPh sb="11" eb="13">
      <t>コウモク</t>
    </rPh>
    <rPh sb="14" eb="16">
      <t>モンゴン</t>
    </rPh>
    <rPh sb="17" eb="19">
      <t>ヒョウジ</t>
    </rPh>
    <phoneticPr fontId="19"/>
  </si>
  <si>
    <t>非表示の状態の場合、該当項目、文言が表示されないこと。</t>
    <rPh sb="0" eb="1">
      <t>ヒ</t>
    </rPh>
    <rPh sb="1" eb="3">
      <t>ヒョウジ</t>
    </rPh>
    <rPh sb="4" eb="6">
      <t>ジョウタイ</t>
    </rPh>
    <rPh sb="7" eb="9">
      <t>バアイ</t>
    </rPh>
    <rPh sb="10" eb="12">
      <t>ガイトウ</t>
    </rPh>
    <rPh sb="12" eb="14">
      <t>コウモク</t>
    </rPh>
    <rPh sb="15" eb="17">
      <t>モンゴン</t>
    </rPh>
    <rPh sb="18" eb="20">
      <t>ヒョウジ</t>
    </rPh>
    <phoneticPr fontId="19"/>
  </si>
  <si>
    <t>ランダム表示</t>
    <rPh sb="4" eb="6">
      <t>ヒョウジ</t>
    </rPh>
    <phoneticPr fontId="19"/>
  </si>
  <si>
    <t>該当項目について、ランダム表示処理ができること。</t>
    <rPh sb="0" eb="2">
      <t>ガイトウ</t>
    </rPh>
    <rPh sb="2" eb="4">
      <t>コウモク</t>
    </rPh>
    <rPh sb="13" eb="15">
      <t>ヒョウジ</t>
    </rPh>
    <rPh sb="15" eb="17">
      <t>ショリ</t>
    </rPh>
    <phoneticPr fontId="19"/>
  </si>
  <si>
    <t>エラーの場合、そのエラーに対応した画面レイアウトが表示されること。</t>
    <rPh sb="4" eb="6">
      <t>バアイ</t>
    </rPh>
    <rPh sb="13" eb="15">
      <t>タイオウ</t>
    </rPh>
    <rPh sb="17" eb="19">
      <t>ガメン</t>
    </rPh>
    <rPh sb="25" eb="27">
      <t>ヒョウジ</t>
    </rPh>
    <phoneticPr fontId="21"/>
  </si>
  <si>
    <t>エラーの場合、そのエラーに対応したエラーメッセージが表示されること。</t>
    <rPh sb="4" eb="6">
      <t>バアイ</t>
    </rPh>
    <rPh sb="13" eb="15">
      <t>タイオウ</t>
    </rPh>
    <rPh sb="26" eb="28">
      <t>ヒョウジ</t>
    </rPh>
    <phoneticPr fontId="19"/>
  </si>
  <si>
    <t>複数の単項目バリデーションを実施し、その結果をまとめて表示する画面に対し、エラーが複数件発生した場合、対象のエラーがすべて送出されること。</t>
    <rPh sb="27" eb="29">
      <t>ヒョウジ</t>
    </rPh>
    <rPh sb="31" eb="33">
      <t>ガメン</t>
    </rPh>
    <phoneticPr fontId="19"/>
  </si>
  <si>
    <t>複数の単項目バリデーションを実施し、その結果をまとめて表示する画面に対し、エラーが複数件発生した場合、エラーメッセージのソート順が［システム機能設計書の記載通り］であること。</t>
    <rPh sb="63" eb="64">
      <t>ジュン</t>
    </rPh>
    <phoneticPr fontId="19"/>
  </si>
  <si>
    <t>複数の相関バリデーションを実施し、その結果をまとめて表示する画面に対し、エラーが複数件発生した場合、対象のエラーがすべて送出されること。</t>
    <rPh sb="3" eb="5">
      <t>ソウカン</t>
    </rPh>
    <rPh sb="26" eb="28">
      <t>ヒョウジ</t>
    </rPh>
    <rPh sb="30" eb="32">
      <t>ガメン</t>
    </rPh>
    <phoneticPr fontId="19"/>
  </si>
  <si>
    <t>複数の相関バリデーションを実施し、その結果をまとめて表示する画面に対し、エラーが複数件発生した場合、エラーメッセージのソート順が［システム機能設計書の記載通り］であること。</t>
    <rPh sb="3" eb="5">
      <t>ソウカン</t>
    </rPh>
    <rPh sb="62" eb="63">
      <t>ジュン</t>
    </rPh>
    <phoneticPr fontId="19"/>
  </si>
  <si>
    <t>DBとの相関バリデーションを複数実施し、その結果をまとめて表示する画面に対し、エラーが複数件発生した場合、対象のエラーがすべて送出されること。</t>
    <rPh sb="29" eb="31">
      <t>ヒョウジ</t>
    </rPh>
    <rPh sb="33" eb="35">
      <t>ガメン</t>
    </rPh>
    <phoneticPr fontId="19"/>
  </si>
  <si>
    <t>DBとの相関バリデーションを複数実施し、その結果をまとめて表示する画面に対し、エラーが複数件発生した場合、エラーメッセージのソート順が［システム機能設計書の記載通り］であること。</t>
    <rPh sb="65" eb="66">
      <t>ジュン</t>
    </rPh>
    <phoneticPr fontId="19"/>
  </si>
  <si>
    <t>タイムアウトした場合、［システム機能設計書/UI標準の記載通りの挙動］となること。</t>
    <rPh sb="8" eb="10">
      <t>バアイ</t>
    </rPh>
    <phoneticPr fontId="19"/>
  </si>
  <si>
    <t>スタイルシート</t>
    <phoneticPr fontId="2"/>
  </si>
  <si>
    <t>スタイルシートが［システム機能設計書/UI標準の記載通りの挙動］となること。</t>
    <rPh sb="13" eb="15">
      <t>キノウ</t>
    </rPh>
    <rPh sb="15" eb="17">
      <t>セッケイ</t>
    </rPh>
    <rPh sb="17" eb="18">
      <t>ショ</t>
    </rPh>
    <rPh sb="21" eb="23">
      <t>ヒョウジュン</t>
    </rPh>
    <rPh sb="24" eb="26">
      <t>キサイ</t>
    </rPh>
    <rPh sb="26" eb="27">
      <t>ドオ</t>
    </rPh>
    <rPh sb="29" eb="31">
      <t>キョドウ</t>
    </rPh>
    <phoneticPr fontId="2"/>
  </si>
  <si>
    <t>JavaScriptエラー</t>
    <phoneticPr fontId="19"/>
  </si>
  <si>
    <t>JavaScriptエラーが発生しないこと。</t>
    <rPh sb="14" eb="16">
      <t>ハッセイ</t>
    </rPh>
    <phoneticPr fontId="19"/>
  </si>
  <si>
    <t>UI部品</t>
    <rPh sb="2" eb="4">
      <t>ブヒン</t>
    </rPh>
    <phoneticPr fontId="19"/>
  </si>
  <si>
    <t>使用しているUI部品の種類が、［システム機能設計書の記載通り］であること。</t>
    <rPh sb="0" eb="2">
      <t>シヨウ</t>
    </rPh>
    <rPh sb="8" eb="10">
      <t>ブヒン</t>
    </rPh>
    <rPh sb="11" eb="13">
      <t>シュルイ</t>
    </rPh>
    <phoneticPr fontId="19"/>
  </si>
  <si>
    <t>データ</t>
    <phoneticPr fontId="19"/>
  </si>
  <si>
    <t>UI部品で表示するデフォルト値が［システム機能設計書の記載通り］であること。</t>
    <rPh sb="2" eb="4">
      <t>ブヒン</t>
    </rPh>
    <rPh sb="5" eb="7">
      <t>ヒョウジ</t>
    </rPh>
    <rPh sb="14" eb="15">
      <t>チ</t>
    </rPh>
    <phoneticPr fontId="19"/>
  </si>
  <si>
    <t>UI部品で表示するデータの取得元が［システム機能設計書の記載通り］であること。</t>
    <rPh sb="2" eb="4">
      <t>ブヒン</t>
    </rPh>
    <rPh sb="5" eb="7">
      <t>ヒョウジ</t>
    </rPh>
    <rPh sb="13" eb="15">
      <t>シュトク</t>
    </rPh>
    <rPh sb="15" eb="16">
      <t>モト</t>
    </rPh>
    <phoneticPr fontId="19"/>
  </si>
  <si>
    <t>UI部品で表示するデータの編集仕様が［システム機能設計書の記載通り］であること。</t>
    <rPh sb="2" eb="4">
      <t>ブヒン</t>
    </rPh>
    <rPh sb="5" eb="7">
      <t>ヒョウジ</t>
    </rPh>
    <rPh sb="13" eb="15">
      <t>ヘンシュウ</t>
    </rPh>
    <rPh sb="15" eb="17">
      <t>シヨウ</t>
    </rPh>
    <phoneticPr fontId="19"/>
  </si>
  <si>
    <t>UI部品で表示するデータのソート順が［システム機能設計書の記載通り］であること。</t>
    <rPh sb="2" eb="4">
      <t>ブヒン</t>
    </rPh>
    <rPh sb="5" eb="7">
      <t>ヒョウジ</t>
    </rPh>
    <rPh sb="16" eb="17">
      <t>ジュン</t>
    </rPh>
    <phoneticPr fontId="19"/>
  </si>
  <si>
    <t>一覧</t>
    <rPh sb="0" eb="2">
      <t>イチラン</t>
    </rPh>
    <phoneticPr fontId="2"/>
  </si>
  <si>
    <t>一覧の表示可能件数が上限以内であること。</t>
    <rPh sb="0" eb="2">
      <t>イチラン</t>
    </rPh>
    <rPh sb="5" eb="7">
      <t>カノウ</t>
    </rPh>
    <rPh sb="10" eb="12">
      <t>ジョウゲン</t>
    </rPh>
    <phoneticPr fontId="2"/>
  </si>
  <si>
    <t>一覧の表示件数が上限を超えた場合、ページングされること。</t>
    <rPh sb="0" eb="2">
      <t>イチラン</t>
    </rPh>
    <rPh sb="3" eb="5">
      <t>ヒョウジ</t>
    </rPh>
    <rPh sb="5" eb="7">
      <t>ケンスウ</t>
    </rPh>
    <rPh sb="8" eb="10">
      <t>ジョウゲン</t>
    </rPh>
    <rPh sb="11" eb="12">
      <t>コ</t>
    </rPh>
    <rPh sb="14" eb="16">
      <t>バアイ</t>
    </rPh>
    <phoneticPr fontId="19"/>
  </si>
  <si>
    <t>一覧に表示されるデータのソート順が［システム機能設計書の記載通り］であること。</t>
    <rPh sb="0" eb="2">
      <t>イチラン</t>
    </rPh>
    <rPh sb="3" eb="5">
      <t>ヒョウジ</t>
    </rPh>
    <rPh sb="15" eb="16">
      <t>ジュン</t>
    </rPh>
    <phoneticPr fontId="19"/>
  </si>
  <si>
    <t>画面表示データ</t>
    <rPh sb="0" eb="2">
      <t>ガメン</t>
    </rPh>
    <rPh sb="2" eb="4">
      <t>ヒョウジ</t>
    </rPh>
    <phoneticPr fontId="2"/>
  </si>
  <si>
    <t>画面に表示されるデータの取得元が［システム機能設計書の記載通り］であること。</t>
    <rPh sb="0" eb="2">
      <t>ガメン</t>
    </rPh>
    <rPh sb="3" eb="5">
      <t>ヒョウジ</t>
    </rPh>
    <rPh sb="12" eb="14">
      <t>シュトク</t>
    </rPh>
    <rPh sb="14" eb="15">
      <t>モト</t>
    </rPh>
    <phoneticPr fontId="19"/>
  </si>
  <si>
    <t>画面に表示されるデータが最大長の場合、エラーとならないこと。</t>
    <rPh sb="0" eb="2">
      <t>ガメン</t>
    </rPh>
    <rPh sb="3" eb="5">
      <t>ヒョウジ</t>
    </rPh>
    <rPh sb="12" eb="14">
      <t>サイダイ</t>
    </rPh>
    <rPh sb="14" eb="15">
      <t>チョウ</t>
    </rPh>
    <rPh sb="16" eb="18">
      <t>バアイ</t>
    </rPh>
    <phoneticPr fontId="19"/>
  </si>
  <si>
    <t>画面に表示されるデータが最大長の場合、レイアウト崩れがないこと。</t>
    <rPh sb="0" eb="2">
      <t>ガメン</t>
    </rPh>
    <rPh sb="3" eb="5">
      <t>ヒョウジ</t>
    </rPh>
    <rPh sb="12" eb="14">
      <t>サイダイ</t>
    </rPh>
    <rPh sb="14" eb="15">
      <t>チョウ</t>
    </rPh>
    <rPh sb="16" eb="18">
      <t>バアイ</t>
    </rPh>
    <rPh sb="24" eb="25">
      <t>クズ</t>
    </rPh>
    <phoneticPr fontId="19"/>
  </si>
  <si>
    <t>画面に表示されるデータが最小長の場合、エラーとならないこと。</t>
    <rPh sb="0" eb="2">
      <t>ガメン</t>
    </rPh>
    <rPh sb="3" eb="5">
      <t>ヒョウジ</t>
    </rPh>
    <rPh sb="12" eb="14">
      <t>サイショウ</t>
    </rPh>
    <rPh sb="14" eb="15">
      <t>チョウ</t>
    </rPh>
    <rPh sb="16" eb="18">
      <t>バアイ</t>
    </rPh>
    <phoneticPr fontId="19"/>
  </si>
  <si>
    <t>画面に表示されるデータが取得できない場合、［システム機能設計書の記載通りの挙動］となること。</t>
    <rPh sb="0" eb="2">
      <t>ガメン</t>
    </rPh>
    <rPh sb="3" eb="5">
      <t>ヒョウジ</t>
    </rPh>
    <rPh sb="12" eb="14">
      <t>シュトク</t>
    </rPh>
    <rPh sb="18" eb="20">
      <t>バアイ</t>
    </rPh>
    <rPh sb="26" eb="31">
      <t>キノウセッケイショ</t>
    </rPh>
    <rPh sb="32" eb="35">
      <t>キサイドオ</t>
    </rPh>
    <rPh sb="37" eb="39">
      <t>キョドウ</t>
    </rPh>
    <phoneticPr fontId="19"/>
  </si>
  <si>
    <t>サロゲートペア文字を許容する設計となっている場合、サロゲートペア文字を含む値を表示した結果がエラーとならないこと。</t>
    <rPh sb="39" eb="41">
      <t>ヒョウジ</t>
    </rPh>
    <phoneticPr fontId="19"/>
  </si>
  <si>
    <t>画面に表示されるデータの件数が最大件数の場合、エラーとならないこと。</t>
    <rPh sb="0" eb="2">
      <t>ガメン</t>
    </rPh>
    <rPh sb="3" eb="5">
      <t>ヒョウジ</t>
    </rPh>
    <rPh sb="12" eb="14">
      <t>ケンスウ</t>
    </rPh>
    <rPh sb="15" eb="17">
      <t>サイダイ</t>
    </rPh>
    <rPh sb="17" eb="19">
      <t>ケンスウ</t>
    </rPh>
    <rPh sb="20" eb="22">
      <t>バアイ</t>
    </rPh>
    <phoneticPr fontId="19"/>
  </si>
  <si>
    <t>画面に表示されるデータの件数が最大件数+1の場合、［システム機能設計書の記載通りの挙動］となること。</t>
    <rPh sb="0" eb="2">
      <t>ガメン</t>
    </rPh>
    <rPh sb="3" eb="5">
      <t>ヒョウジ</t>
    </rPh>
    <rPh sb="12" eb="14">
      <t>ケンスウ</t>
    </rPh>
    <rPh sb="15" eb="17">
      <t>サイダイ</t>
    </rPh>
    <rPh sb="17" eb="19">
      <t>ケンスウ</t>
    </rPh>
    <rPh sb="22" eb="24">
      <t>バアイ</t>
    </rPh>
    <phoneticPr fontId="19"/>
  </si>
  <si>
    <t>画面に表示されるデータの件数が最小件数の場合、エラーとならないこと。</t>
    <rPh sb="0" eb="2">
      <t>ガメン</t>
    </rPh>
    <rPh sb="3" eb="5">
      <t>ヒョウジ</t>
    </rPh>
    <rPh sb="12" eb="14">
      <t>ケンスウ</t>
    </rPh>
    <rPh sb="15" eb="17">
      <t>サイショウ</t>
    </rPh>
    <rPh sb="17" eb="19">
      <t>ケンスウ</t>
    </rPh>
    <rPh sb="20" eb="22">
      <t>バアイ</t>
    </rPh>
    <phoneticPr fontId="19"/>
  </si>
  <si>
    <t>画面に表示されるデータの件数が最小件数-1の場合、［システム機能設計書の記載通りの挙動］となること。</t>
    <rPh sb="0" eb="2">
      <t>ガメン</t>
    </rPh>
    <rPh sb="3" eb="5">
      <t>ヒョウジ</t>
    </rPh>
    <rPh sb="12" eb="14">
      <t>ケンスウ</t>
    </rPh>
    <rPh sb="15" eb="17">
      <t>サイショウ</t>
    </rPh>
    <rPh sb="17" eb="19">
      <t>ケンスウ</t>
    </rPh>
    <rPh sb="22" eb="24">
      <t>バアイ</t>
    </rPh>
    <phoneticPr fontId="19"/>
  </si>
  <si>
    <t>画面に表示されるデータの件数が0件の場合、［システム機能設計書の記載通りの挙動］となること。</t>
    <rPh sb="0" eb="2">
      <t>ガメン</t>
    </rPh>
    <rPh sb="3" eb="5">
      <t>ヒョウジ</t>
    </rPh>
    <rPh sb="12" eb="14">
      <t>ケンスウ</t>
    </rPh>
    <rPh sb="16" eb="17">
      <t>ケン</t>
    </rPh>
    <rPh sb="18" eb="20">
      <t>バアイ</t>
    </rPh>
    <phoneticPr fontId="19"/>
  </si>
  <si>
    <t>画面に表示されるデータの編集仕様が［システム機能設計書の記載通り］であること。</t>
    <rPh sb="12" eb="14">
      <t>ヘンシュウ</t>
    </rPh>
    <rPh sb="14" eb="16">
      <t>シヨウ</t>
    </rPh>
    <rPh sb="22" eb="24">
      <t>キノウ</t>
    </rPh>
    <rPh sb="24" eb="26">
      <t>セッケイ</t>
    </rPh>
    <rPh sb="26" eb="27">
      <t>ショ</t>
    </rPh>
    <rPh sb="28" eb="30">
      <t>キサイ</t>
    </rPh>
    <rPh sb="30" eb="31">
      <t>ドオ</t>
    </rPh>
    <phoneticPr fontId="19"/>
  </si>
  <si>
    <t>画面に表示されるデータのソート順が［システム機能設計書の記載通り］であること。</t>
    <rPh sb="15" eb="16">
      <t>ジュン</t>
    </rPh>
    <rPh sb="22" eb="24">
      <t>キノウ</t>
    </rPh>
    <rPh sb="24" eb="26">
      <t>セッケイ</t>
    </rPh>
    <rPh sb="26" eb="27">
      <t>ショ</t>
    </rPh>
    <rPh sb="28" eb="30">
      <t>キサイ</t>
    </rPh>
    <rPh sb="30" eb="31">
      <t>ドオ</t>
    </rPh>
    <phoneticPr fontId="19"/>
  </si>
  <si>
    <t>画面に表示されるデータに改行が含まれる場合、［システム機能設計書の記載通りの挙動］となること。</t>
    <rPh sb="0" eb="2">
      <t>ガメン</t>
    </rPh>
    <rPh sb="3" eb="5">
      <t>ヒョウジ</t>
    </rPh>
    <rPh sb="12" eb="14">
      <t>カイギョウ</t>
    </rPh>
    <rPh sb="15" eb="16">
      <t>フク</t>
    </rPh>
    <rPh sb="19" eb="21">
      <t>バアイ</t>
    </rPh>
    <phoneticPr fontId="19"/>
  </si>
  <si>
    <t>取得した値を変換する設計となっている場合、表示された値が［システム機能設計書の記載通り］であること。</t>
    <rPh sb="21" eb="23">
      <t>ヒョウジ</t>
    </rPh>
    <phoneticPr fontId="19"/>
  </si>
  <si>
    <t>取得した値を編集する処理が分岐する設計となっている場合、表示された値が［システム機能設計書の記載通り］であること。</t>
    <rPh sb="6" eb="8">
      <t>ヘンシュウ</t>
    </rPh>
    <rPh sb="10" eb="12">
      <t>ショリ</t>
    </rPh>
    <rPh sb="13" eb="15">
      <t>ブンキ</t>
    </rPh>
    <rPh sb="17" eb="19">
      <t>セッケイ</t>
    </rPh>
    <rPh sb="25" eb="27">
      <t>バアイ</t>
    </rPh>
    <phoneticPr fontId="19"/>
  </si>
  <si>
    <t>ループ処理によって、取得した値の編集を繰り返す設計となっている場合、表示された値が［システム機能設計書の記載通り］であること。</t>
    <phoneticPr fontId="19"/>
  </si>
  <si>
    <t>取得した値を使用して計算する設計となっている場合、表示された値が［システム機能設計書の記載通り］であること。</t>
    <rPh sb="0" eb="2">
      <t>シュトク</t>
    </rPh>
    <rPh sb="4" eb="5">
      <t>アタイ</t>
    </rPh>
    <rPh sb="6" eb="8">
      <t>シヨウ</t>
    </rPh>
    <rPh sb="10" eb="12">
      <t>ケイサン</t>
    </rPh>
    <rPh sb="14" eb="16">
      <t>セッケイ</t>
    </rPh>
    <rPh sb="22" eb="24">
      <t>バアイ</t>
    </rPh>
    <phoneticPr fontId="19"/>
  </si>
  <si>
    <t>取得した値を連結する設計となっている場合、表示された値が［システム機能設計書の記載通り］であること。</t>
    <rPh sb="0" eb="2">
      <t>シュトク</t>
    </rPh>
    <rPh sb="4" eb="5">
      <t>アタイ</t>
    </rPh>
    <rPh sb="6" eb="8">
      <t>レンケツ</t>
    </rPh>
    <rPh sb="10" eb="12">
      <t>セッケイ</t>
    </rPh>
    <rPh sb="18" eb="20">
      <t>バアイ</t>
    </rPh>
    <phoneticPr fontId="19"/>
  </si>
  <si>
    <t>取得した値を暗号化する設計となっている場合、表示された値が暗号化されること。</t>
    <rPh sb="0" eb="2">
      <t>シュトク</t>
    </rPh>
    <rPh sb="4" eb="5">
      <t>アタイ</t>
    </rPh>
    <rPh sb="6" eb="9">
      <t>アンゴウカ</t>
    </rPh>
    <rPh sb="11" eb="13">
      <t>セッケイ</t>
    </rPh>
    <rPh sb="19" eb="21">
      <t>バアイ</t>
    </rPh>
    <rPh sb="22" eb="24">
      <t>ヒョウジ</t>
    </rPh>
    <rPh sb="27" eb="28">
      <t>アタイ</t>
    </rPh>
    <rPh sb="29" eb="32">
      <t>アンゴウカ</t>
    </rPh>
    <phoneticPr fontId="19"/>
  </si>
  <si>
    <t>取得した値をマスキングする設計となっている場合、表示された値がマスキングされること。</t>
    <rPh sb="0" eb="2">
      <t>シュトク</t>
    </rPh>
    <rPh sb="4" eb="5">
      <t>アタイ</t>
    </rPh>
    <rPh sb="13" eb="15">
      <t>セッケイ</t>
    </rPh>
    <rPh sb="21" eb="23">
      <t>バアイ</t>
    </rPh>
    <rPh sb="24" eb="26">
      <t>ヒョウジ</t>
    </rPh>
    <rPh sb="29" eb="30">
      <t>アタイ</t>
    </rPh>
    <phoneticPr fontId="19"/>
  </si>
  <si>
    <t>画面操作</t>
  </si>
  <si>
    <t>イベント実行結果</t>
    <rPh sb="4" eb="6">
      <t>ジッコウ</t>
    </rPh>
    <rPh sb="6" eb="8">
      <t>ケッカ</t>
    </rPh>
    <phoneticPr fontId="19"/>
  </si>
  <si>
    <t>入力済みの項目をクリアする処理がある場合、対象項目がクリアされること。</t>
    <phoneticPr fontId="2"/>
  </si>
  <si>
    <t>表示されたデータをソートする処理がある場合、ソート順が［UI標準/システム機能設計書の記載通り］であること。</t>
    <phoneticPr fontId="2"/>
  </si>
  <si>
    <t>ブラウザのウィンドウサイズについて、変更可否が［UI標準の記載通り］であること。</t>
    <phoneticPr fontId="2"/>
  </si>
  <si>
    <t>ブラウザのウィンドウサイズを変更して、レイアウト崩れがないこと。</t>
    <phoneticPr fontId="2"/>
  </si>
  <si>
    <t>フォーカスの移動（Tabキー押下による入力フィールドの移動）が、［UI標準の記載通り］であること。</t>
    <phoneticPr fontId="2"/>
  </si>
  <si>
    <t>Tabキーによるフォーカスの移動はブラウザ標準の挙動に任せるため対象外</t>
    <rPh sb="14" eb="16">
      <t>イドウ</t>
    </rPh>
    <rPh sb="21" eb="23">
      <t>ヒョウジュン</t>
    </rPh>
    <rPh sb="24" eb="26">
      <t>キョドウ</t>
    </rPh>
    <rPh sb="27" eb="28">
      <t>マカ</t>
    </rPh>
    <rPh sb="32" eb="35">
      <t>タイショウガイ</t>
    </rPh>
    <phoneticPr fontId="2"/>
  </si>
  <si>
    <t>UI部品</t>
    <phoneticPr fontId="2"/>
  </si>
  <si>
    <t>ボタンは、二度押し防止の制御がされていること。</t>
  </si>
  <si>
    <t>ラジオボタンで選択可能なデータは1つであること。</t>
  </si>
  <si>
    <t>テキスト入力が可能なUI部品は、デフォルトで指定された入力方式（ひらがな入力など）が［UI標準の記載通り］であること。</t>
  </si>
  <si>
    <t>IME制御は行わないので対象外</t>
    <phoneticPr fontId="2"/>
  </si>
  <si>
    <t>テキスト入力が可能なUI部品に最大長を入力した場合、レイアウト崩れがないこと。</t>
  </si>
  <si>
    <t>ページングされた一覧がページ切り替えできること。</t>
  </si>
  <si>
    <t>遷移結果</t>
  </si>
  <si>
    <t>画面遷移</t>
    <rPh sb="0" eb="2">
      <t>ガメン</t>
    </rPh>
    <rPh sb="2" eb="4">
      <t>センイ</t>
    </rPh>
    <phoneticPr fontId="19"/>
  </si>
  <si>
    <t>正常処理時の遷移先URLが［画面遷移図の記載通り］であること。</t>
    <phoneticPr fontId="2"/>
  </si>
  <si>
    <t>異常処理時の遷移先URLが［画面遷移図の記載通り］であること。</t>
  </si>
  <si>
    <t>遷移先の画面が同ウィンドウで開かれること。</t>
  </si>
  <si>
    <t>遷移先の画面が別ウィンドウで開かれること。</t>
  </si>
  <si>
    <t>ブラウザの「戻る」ボタン押下時の遷移が［画面遷移図の記載通り］であること。</t>
  </si>
  <si>
    <t>ブラウザの戻るは動作保証しない方針なので対象外</t>
    <rPh sb="5" eb="6">
      <t>モド</t>
    </rPh>
    <rPh sb="8" eb="10">
      <t>ドウサ</t>
    </rPh>
    <rPh sb="10" eb="12">
      <t>ホショウ</t>
    </rPh>
    <rPh sb="15" eb="17">
      <t>ホウシン</t>
    </rPh>
    <rPh sb="20" eb="23">
      <t>タイショウガイ</t>
    </rPh>
    <phoneticPr fontId="2"/>
  </si>
  <si>
    <t>異常処理後の正常処理など、処理の連続実行を行った場合の遷移が［画面遷移図の記載通り］であること。</t>
  </si>
  <si>
    <t>URL直接アクセス</t>
  </si>
  <si>
    <t>URLを直接指定しアクセスした場合の遷移が［画面遷移図の記載通り］であること。</t>
  </si>
  <si>
    <t>HTTPステータス</t>
  </si>
  <si>
    <t>画面遷移の結果に応じたHTTPステータスコードとなること。</t>
  </si>
  <si>
    <t>ブラウザキャッシュ</t>
  </si>
  <si>
    <t>ブラウザのキャッシュ保持が［UI標準の記載通り］であること。</t>
    <phoneticPr fontId="2"/>
  </si>
  <si>
    <t>データベースアクセス</t>
    <phoneticPr fontId="21"/>
  </si>
  <si>
    <t>DB操作</t>
    <rPh sb="2" eb="4">
      <t>ソウサ</t>
    </rPh>
    <phoneticPr fontId="21"/>
  </si>
  <si>
    <t>二重サブミット防止</t>
    <rPh sb="0" eb="2">
      <t>ニジュウ</t>
    </rPh>
    <rPh sb="7" eb="9">
      <t>ボウシ</t>
    </rPh>
    <phoneticPr fontId="21"/>
  </si>
  <si>
    <t>DB更新後、一度前画面に戻り、再びDB更新のある画面へ遷移した場合、再度DBが更新されないこと。</t>
    <rPh sb="2" eb="4">
      <t>コウシン</t>
    </rPh>
    <rPh sb="4" eb="5">
      <t>ゴ</t>
    </rPh>
    <rPh sb="6" eb="8">
      <t>イチド</t>
    </rPh>
    <rPh sb="8" eb="9">
      <t>ゼン</t>
    </rPh>
    <rPh sb="9" eb="11">
      <t>ガメン</t>
    </rPh>
    <rPh sb="12" eb="13">
      <t>モド</t>
    </rPh>
    <rPh sb="15" eb="16">
      <t>フタタ</t>
    </rPh>
    <rPh sb="19" eb="21">
      <t>コウシン</t>
    </rPh>
    <rPh sb="24" eb="26">
      <t>ガメン</t>
    </rPh>
    <rPh sb="27" eb="29">
      <t>センイ</t>
    </rPh>
    <rPh sb="31" eb="33">
      <t>バアイ</t>
    </rPh>
    <rPh sb="34" eb="36">
      <t>サイド</t>
    </rPh>
    <rPh sb="39" eb="41">
      <t>コウシン</t>
    </rPh>
    <phoneticPr fontId="21"/>
  </si>
  <si>
    <t>DB更新後、同画面の更新を行った場合、再度DBが更新されないこと。</t>
    <rPh sb="2" eb="4">
      <t>コウシン</t>
    </rPh>
    <rPh sb="4" eb="5">
      <t>ゴ</t>
    </rPh>
    <rPh sb="6" eb="7">
      <t>ドウ</t>
    </rPh>
    <rPh sb="7" eb="9">
      <t>ガメン</t>
    </rPh>
    <rPh sb="10" eb="12">
      <t>コウシン</t>
    </rPh>
    <rPh sb="13" eb="14">
      <t>オコナ</t>
    </rPh>
    <rPh sb="16" eb="18">
      <t>バアイ</t>
    </rPh>
    <rPh sb="19" eb="21">
      <t>サイド</t>
    </rPh>
    <rPh sb="24" eb="26">
      <t>コウシン</t>
    </rPh>
    <phoneticPr fontId="21"/>
  </si>
  <si>
    <t>画面のメニューが［UI標準の記載通り］であること。</t>
  </si>
  <si>
    <t>エラーが発生しない。</t>
    <rPh sb="4" eb="6">
      <t>ハッセイ</t>
    </rPh>
    <phoneticPr fontId="2"/>
  </si>
  <si>
    <t>レイアウトが崩れない。</t>
    <phoneticPr fontId="2"/>
  </si>
  <si>
    <t>画面遷移図</t>
    <rPh sb="0" eb="5">
      <t>ガメンセンイズ</t>
    </rPh>
    <phoneticPr fontId="2"/>
  </si>
  <si>
    <t>画面項目定義</t>
    <rPh sb="0" eb="2">
      <t>ガメン</t>
    </rPh>
    <rPh sb="2" eb="4">
      <t>コウモク</t>
    </rPh>
    <rPh sb="4" eb="6">
      <t>テイギ</t>
    </rPh>
    <phoneticPr fontId="2"/>
  </si>
  <si>
    <t>testNormalEnd</t>
    <phoneticPr fontId="2"/>
  </si>
  <si>
    <t>testValidationError</t>
    <phoneticPr fontId="2"/>
  </si>
  <si>
    <t>UI標準</t>
    <rPh sb="2" eb="4">
      <t>ヒョウジュン</t>
    </rPh>
    <phoneticPr fontId="4"/>
  </si>
  <si>
    <t>画面領域設計</t>
    <rPh sb="0" eb="6">
      <t>ガメンリョウイキセッケイ</t>
    </rPh>
    <phoneticPr fontId="4"/>
  </si>
  <si>
    <t>画面の基本設計指針</t>
    <rPh sb="0" eb="2">
      <t>ガメン</t>
    </rPh>
    <rPh sb="3" eb="5">
      <t>キホン</t>
    </rPh>
    <rPh sb="5" eb="7">
      <t>セッケイ</t>
    </rPh>
    <rPh sb="7" eb="9">
      <t>シシン</t>
    </rPh>
    <phoneticPr fontId="4"/>
  </si>
  <si>
    <t>フォント</t>
  </si>
  <si>
    <t>デザイン設計(色・フォント)</t>
  </si>
  <si>
    <t>企業コードの表示名称が「システム機能設計書」通りであること。</t>
    <phoneticPr fontId="2"/>
  </si>
  <si>
    <t>企業漢字名称の表示名称が「システム機能設計書」通りであること。</t>
    <phoneticPr fontId="2"/>
  </si>
  <si>
    <t>企業カナ名称の表示名称が「システム機能設計書」通りであること。</t>
    <phoneticPr fontId="2"/>
  </si>
  <si>
    <t>業種分類の表示名称が「システム機能設計書」通りであること。</t>
    <phoneticPr fontId="2"/>
  </si>
  <si>
    <t>郵便番号の表示名称が「システム機能設計書」通りであること。</t>
    <phoneticPr fontId="2"/>
  </si>
  <si>
    <t>企業漢字住所の表示名称が「システム機能設計書」通りであること。</t>
    <phoneticPr fontId="2"/>
  </si>
  <si>
    <t>企業カナ住所の表示名称が「システム機能設計書」通りであること。</t>
    <phoneticPr fontId="2"/>
  </si>
  <si>
    <t>利用開始日の表示名称が「システム機能設計書」通りであること。</t>
    <rPh sb="0" eb="2">
      <t>リヨウ</t>
    </rPh>
    <rPh sb="2" eb="5">
      <t>カイシビ</t>
    </rPh>
    <phoneticPr fontId="2"/>
  </si>
  <si>
    <t>利用終了日の表示名称が「システム機能設計書」通りであること。</t>
    <rPh sb="0" eb="2">
      <t>リヨウ</t>
    </rPh>
    <rPh sb="2" eb="5">
      <t>シュウリョウビ</t>
    </rPh>
    <phoneticPr fontId="2"/>
  </si>
  <si>
    <t>備考の表示名称が「システム機能設計書」通りであること。</t>
    <rPh sb="0" eb="2">
      <t>ビコウ</t>
    </rPh>
    <phoneticPr fontId="2"/>
  </si>
  <si>
    <t>企業コードの表示位置が［システム機能設計書の記載通り］であること。</t>
    <rPh sb="0" eb="2">
      <t>キギョウ</t>
    </rPh>
    <rPh sb="6" eb="8">
      <t>ヒョウジ</t>
    </rPh>
    <rPh sb="8" eb="10">
      <t>イチ</t>
    </rPh>
    <rPh sb="16" eb="18">
      <t>キノウ</t>
    </rPh>
    <rPh sb="18" eb="20">
      <t>セッケイ</t>
    </rPh>
    <rPh sb="20" eb="21">
      <t>ショ</t>
    </rPh>
    <rPh sb="22" eb="24">
      <t>キサイ</t>
    </rPh>
    <rPh sb="24" eb="25">
      <t>ドオ</t>
    </rPh>
    <phoneticPr fontId="2"/>
  </si>
  <si>
    <t>企業漢字名称の表示位置が「システム機能設計書」通りであること。</t>
  </si>
  <si>
    <t>企業カナ名称の表示位置が「システム機能設計書」通りであること。</t>
  </si>
  <si>
    <t>業種分類の表示位置が「システム機能設計書」通りであること。</t>
  </si>
  <si>
    <t>郵便番号の表示位置が「システム機能設計書」通りであること。</t>
  </si>
  <si>
    <t>企業漢字住所の表示位置が「システム機能設計書」通りであること。</t>
  </si>
  <si>
    <t>企業カナ住所の表示位置が「システム機能設計書」通りであること。</t>
  </si>
  <si>
    <t>利用開始日の表示位置が「システム機能設計書」通りであること。</t>
    <rPh sb="0" eb="2">
      <t>リヨウ</t>
    </rPh>
    <rPh sb="2" eb="5">
      <t>カイシビ</t>
    </rPh>
    <phoneticPr fontId="2"/>
  </si>
  <si>
    <t>利用終了日の表示位置が「システム機能設計書」通りであること。</t>
    <rPh sb="0" eb="2">
      <t>リヨウ</t>
    </rPh>
    <rPh sb="2" eb="5">
      <t>シュウリョウビ</t>
    </rPh>
    <phoneticPr fontId="2"/>
  </si>
  <si>
    <t>備考の表示位置が「システム機能設計書」通りであること。</t>
    <rPh sb="0" eb="2">
      <t>ビコウ</t>
    </rPh>
    <phoneticPr fontId="2"/>
  </si>
  <si>
    <t>企業コードの表示サイズ（幅、高さ、行数）が［システム機能設計書の記載通り］であること。</t>
    <rPh sb="6" eb="8">
      <t>ヒョウジ</t>
    </rPh>
    <rPh sb="12" eb="13">
      <t>ハバ</t>
    </rPh>
    <rPh sb="14" eb="15">
      <t>タカ</t>
    </rPh>
    <rPh sb="17" eb="19">
      <t>ギョウスウ</t>
    </rPh>
    <rPh sb="26" eb="28">
      <t>キノウ</t>
    </rPh>
    <rPh sb="28" eb="30">
      <t>セッケイ</t>
    </rPh>
    <rPh sb="30" eb="31">
      <t>ショ</t>
    </rPh>
    <rPh sb="32" eb="34">
      <t>キサイ</t>
    </rPh>
    <rPh sb="34" eb="35">
      <t>ドオ</t>
    </rPh>
    <phoneticPr fontId="2"/>
  </si>
  <si>
    <t>企業漢字名称の表示サイズ（幅、高さ、行数）が「システム機能設計書」通りであること。</t>
  </si>
  <si>
    <t>企業カナ名称の表示サイズ（幅、高さ、行数）が「システム機能設計書」通りであること。</t>
  </si>
  <si>
    <t>業種分類の表示サイズ（幅、高さ、行数）が「システム機能設計書」通りであること。</t>
  </si>
  <si>
    <t>郵便番号の表示サイズ（幅、高さ、行数）が「システム機能設計書」通りであること。</t>
  </si>
  <si>
    <t>企業漢字住所の表示サイズ（幅、高さ、行数）が「システム機能設計書」通りであること。</t>
  </si>
  <si>
    <t>企業カナ住所の表示サイズ（幅、高さ、行数）が「システム機能設計書」通りであること。</t>
  </si>
  <si>
    <t>利用開始日の表示サイズ（幅、高さ、行数）が「システム機能設計書」通りであること。</t>
    <rPh sb="0" eb="2">
      <t>リヨウ</t>
    </rPh>
    <rPh sb="2" eb="5">
      <t>カイシビ</t>
    </rPh>
    <phoneticPr fontId="2"/>
  </si>
  <si>
    <t>利用終了日の表示サイズ（幅、高さ、行数）が「システム機能設計書」通りであること。</t>
    <rPh sb="0" eb="2">
      <t>リヨウ</t>
    </rPh>
    <rPh sb="2" eb="5">
      <t>シュウリョウビ</t>
    </rPh>
    <phoneticPr fontId="2"/>
  </si>
  <si>
    <t>備考の表示サイズ（幅、高さ、行数）が「システム機能設計書」通りであること。</t>
    <rPh sb="0" eb="2">
      <t>ビコウ</t>
    </rPh>
    <phoneticPr fontId="2"/>
  </si>
  <si>
    <t>企業コードの必須/任意の表示が［システム機能設計書の記載通り］であること。</t>
    <rPh sb="0" eb="2">
      <t>キギョウ</t>
    </rPh>
    <rPh sb="6" eb="8">
      <t>ヒッス</t>
    </rPh>
    <rPh sb="9" eb="11">
      <t>ニンイ</t>
    </rPh>
    <rPh sb="12" eb="14">
      <t>ヒョウジ</t>
    </rPh>
    <rPh sb="20" eb="22">
      <t>キノウ</t>
    </rPh>
    <rPh sb="22" eb="24">
      <t>セッケイ</t>
    </rPh>
    <rPh sb="24" eb="25">
      <t>ショ</t>
    </rPh>
    <rPh sb="26" eb="28">
      <t>キサイ</t>
    </rPh>
    <rPh sb="28" eb="29">
      <t>ドオ</t>
    </rPh>
    <phoneticPr fontId="2"/>
  </si>
  <si>
    <t>企業漢字名称の必須/任意の表示が「システム機能設計書」通りであること。</t>
  </si>
  <si>
    <t>企業カナ名称の必須/任意の表示が「システム機能設計書」通りであること。</t>
  </si>
  <si>
    <t>業種分類の必須/任意の表示が「システム機能設計書」通りであること。</t>
  </si>
  <si>
    <t>郵便番号の必須/任意の表示が「システム機能設計書」通りであること。</t>
  </si>
  <si>
    <t>企業漢字住所の必須/任意の表示が「システム機能設計書」通りであること。</t>
  </si>
  <si>
    <t>企業カナ住所の必須/任意の表示が「システム機能設計書」通りであること。</t>
  </si>
  <si>
    <t>利用開始日の必須/任意の表示が「システム機能設計書」通りであること。</t>
    <rPh sb="0" eb="2">
      <t>リヨウ</t>
    </rPh>
    <rPh sb="2" eb="5">
      <t>カイシビ</t>
    </rPh>
    <phoneticPr fontId="2"/>
  </si>
  <si>
    <t>利用終了日の必須/任意の表示が「システム機能設計書」通りであること。</t>
    <rPh sb="0" eb="2">
      <t>リヨウ</t>
    </rPh>
    <rPh sb="2" eb="5">
      <t>シュウリョウビ</t>
    </rPh>
    <phoneticPr fontId="2"/>
  </si>
  <si>
    <t>備考の必須/任意の表示が「システム機能設計書」通りであること。</t>
    <rPh sb="0" eb="2">
      <t>ビコウ</t>
    </rPh>
    <phoneticPr fontId="2"/>
  </si>
  <si>
    <t>クラス単体で確認済のため対象外</t>
    <rPh sb="3" eb="5">
      <t>タンタイ</t>
    </rPh>
    <rPh sb="6" eb="8">
      <t>カクニン</t>
    </rPh>
    <rPh sb="8" eb="9">
      <t>ズ</t>
    </rPh>
    <rPh sb="12" eb="15">
      <t>タイショウガイ</t>
    </rPh>
    <phoneticPr fontId="2"/>
  </si>
  <si>
    <t>(a)システム機能設計書
(b)UI標準
(c)メッセージ設計書</t>
    <rPh sb="7" eb="9">
      <t>キノウ</t>
    </rPh>
    <rPh sb="9" eb="12">
      <t>セッケイショ</t>
    </rPh>
    <rPh sb="18" eb="20">
      <t>ヒョウジュン</t>
    </rPh>
    <rPh sb="29" eb="32">
      <t>セッケイショ</t>
    </rPh>
    <phoneticPr fontId="4"/>
  </si>
  <si>
    <t>(a)画面レイアウト、画面項目定義
(b)画面領域設計、メッセージエリア
(c)メッセージ設計（日本語）</t>
    <rPh sb="3" eb="5">
      <t>ガメン</t>
    </rPh>
    <rPh sb="11" eb="13">
      <t>ガメン</t>
    </rPh>
    <rPh sb="13" eb="15">
      <t>コウモク</t>
    </rPh>
    <rPh sb="15" eb="17">
      <t>テイギ</t>
    </rPh>
    <rPh sb="21" eb="27">
      <t>ガメンリョウイキセッケイ</t>
    </rPh>
    <rPh sb="45" eb="47">
      <t>セッケイ</t>
    </rPh>
    <rPh sb="48" eb="51">
      <t>ニホンゴ</t>
    </rPh>
    <phoneticPr fontId="2"/>
  </si>
  <si>
    <t>画面レイアウト、画面項目定義</t>
    <rPh sb="0" eb="2">
      <t>ガメン</t>
    </rPh>
    <rPh sb="8" eb="10">
      <t>ガメン</t>
    </rPh>
    <rPh sb="10" eb="12">
      <t>コウモク</t>
    </rPh>
    <rPh sb="12" eb="14">
      <t>テイギ</t>
    </rPh>
    <phoneticPr fontId="4"/>
  </si>
  <si>
    <t>エラー時の画面遷移</t>
  </si>
  <si>
    <t>ログイン画面に遷移する</t>
    <rPh sb="4" eb="6">
      <t>ガメン</t>
    </rPh>
    <rPh sb="7" eb="9">
      <t>センイ</t>
    </rPh>
    <phoneticPr fontId="4"/>
  </si>
  <si>
    <t>使用技術</t>
    <rPh sb="0" eb="2">
      <t>シヨウ</t>
    </rPh>
    <rPh sb="2" eb="4">
      <t>ギジュツ</t>
    </rPh>
    <phoneticPr fontId="4"/>
  </si>
  <si>
    <t>JavaScriptエラーが発生しないこと。</t>
  </si>
  <si>
    <t>(a)システム機能設計書
(b)UI標準(画面)別冊</t>
    <rPh sb="18" eb="20">
      <t>ヒョウジュン</t>
    </rPh>
    <rPh sb="21" eb="23">
      <t>ガメン</t>
    </rPh>
    <rPh sb="24" eb="26">
      <t>ベッサツ</t>
    </rPh>
    <phoneticPr fontId="4"/>
  </si>
  <si>
    <t>(a)画面項目定義
(b)画面部品パターン</t>
    <rPh sb="13" eb="15">
      <t>ガメン</t>
    </rPh>
    <rPh sb="15" eb="17">
      <t>ブヒン</t>
    </rPh>
    <phoneticPr fontId="4"/>
  </si>
  <si>
    <t>企業漢字名称の部品形式が「システム機能設計書」通りであること。</t>
  </si>
  <si>
    <t>企業カナ名称の部品形式が「システム機能設計書」通りであること。</t>
  </si>
  <si>
    <t>業種分類の部品形式が「システム機能設計書」通りであること。</t>
  </si>
  <si>
    <t>郵便番号の部品形式が「システム機能設計書」通りであること。</t>
  </si>
  <si>
    <t>企業漢字住所の部品形式が「システム機能設計書」通りであること。</t>
  </si>
  <si>
    <t>企業カナ住所の部品形式が「システム機能設計書」通りであること。</t>
  </si>
  <si>
    <t>利用開始日の部品形式が「システム機能設計書」通りであること。</t>
    <rPh sb="0" eb="2">
      <t>リヨウ</t>
    </rPh>
    <rPh sb="2" eb="5">
      <t>カイシビ</t>
    </rPh>
    <phoneticPr fontId="2"/>
  </si>
  <si>
    <t>利用終了日の部品形式が「システム機能設計書」通りであること。</t>
    <rPh sb="0" eb="2">
      <t>リヨウ</t>
    </rPh>
    <rPh sb="2" eb="5">
      <t>シュウリョウビ</t>
    </rPh>
    <phoneticPr fontId="2"/>
  </si>
  <si>
    <t>備考の部品形式が「システム機能設計書」通りであること。</t>
    <rPh sb="0" eb="2">
      <t>ビコウ</t>
    </rPh>
    <phoneticPr fontId="2"/>
  </si>
  <si>
    <t>画面項目定義、画面イベント詳細</t>
    <rPh sb="7" eb="9">
      <t>ガメン</t>
    </rPh>
    <rPh sb="13" eb="15">
      <t>ショウサイ</t>
    </rPh>
    <phoneticPr fontId="4"/>
  </si>
  <si>
    <t>業種分類のプルダウンのデータ取得元が「システム機能設計書」通りである。</t>
    <rPh sb="0" eb="2">
      <t>ギョウシュ</t>
    </rPh>
    <rPh sb="2" eb="4">
      <t>ブンルイ</t>
    </rPh>
    <rPh sb="14" eb="17">
      <t>シュトクモト</t>
    </rPh>
    <rPh sb="29" eb="30">
      <t>ドオ</t>
    </rPh>
    <phoneticPr fontId="4"/>
  </si>
  <si>
    <t>企業コードの取得元が［システム機能設計書]通りであること。</t>
    <rPh sb="0" eb="2">
      <t>キギョウ</t>
    </rPh>
    <phoneticPr fontId="2"/>
  </si>
  <si>
    <t>企業漢字名称の取得元が「システム機能設計書」通りであること。</t>
  </si>
  <si>
    <t>企業カナ名称の取得元が「システム機能設計書」通りであること。</t>
  </si>
  <si>
    <t>業種分類の取得元が「システム機能設計書」通りであること。</t>
  </si>
  <si>
    <t>郵便番号の取得元が「システム機能設計書」通りであること。</t>
  </si>
  <si>
    <t>企業漢字住所の取得元が「システム機能設計書」通りであること。</t>
  </si>
  <si>
    <t>企業カナ住所の取得元が「システム機能設計書」通りであること。</t>
  </si>
  <si>
    <t>利用開始日の取得元が「システム機能設計書」通りであること。</t>
    <rPh sb="0" eb="2">
      <t>リヨウ</t>
    </rPh>
    <rPh sb="2" eb="5">
      <t>カイシビ</t>
    </rPh>
    <phoneticPr fontId="2"/>
  </si>
  <si>
    <t>利用終了日の取得元が「システム機能設計書」通りであること。</t>
    <rPh sb="0" eb="2">
      <t>リヨウ</t>
    </rPh>
    <rPh sb="2" eb="5">
      <t>シュウリョウビ</t>
    </rPh>
    <phoneticPr fontId="2"/>
  </si>
  <si>
    <t>備考の取得元が「システム機能設計書」通りであること。</t>
    <rPh sb="0" eb="2">
      <t>ビコウ</t>
    </rPh>
    <phoneticPr fontId="2"/>
  </si>
  <si>
    <t>業種分類の表示形式が「システム機能設計書」通りであること。</t>
    <rPh sb="5" eb="9">
      <t>ヒョウジケイシキ</t>
    </rPh>
    <phoneticPr fontId="2"/>
  </si>
  <si>
    <t>112-1-Xで確認する</t>
    <rPh sb="8" eb="10">
      <t>カクニン</t>
    </rPh>
    <phoneticPr fontId="2"/>
  </si>
  <si>
    <t>企業情報管理(11AA)</t>
  </si>
  <si>
    <t>企業情報更新確認画面に遷移する。</t>
    <rPh sb="8" eb="10">
      <t>ガメン</t>
    </rPh>
    <rPh sb="11" eb="13">
      <t>センイ</t>
    </rPh>
    <phoneticPr fontId="2"/>
  </si>
  <si>
    <t>画面遷移標準</t>
  </si>
  <si>
    <t>(a)画面遷移図
(b)リクエスト一覧</t>
    <rPh sb="3" eb="8">
      <t>ガメンセンイズ</t>
    </rPh>
    <rPh sb="17" eb="19">
      <t>イチラン</t>
    </rPh>
    <phoneticPr fontId="5"/>
  </si>
  <si>
    <t>企業情報管理(11AA)</t>
    <phoneticPr fontId="2"/>
  </si>
  <si>
    <t>(a)企業情報管理(11AA)
(b)URL一覧</t>
    <rPh sb="22" eb="24">
      <t>イチラン</t>
    </rPh>
    <phoneticPr fontId="5"/>
  </si>
  <si>
    <t>企業情報更新画面が表示される。</t>
    <rPh sb="0" eb="2">
      <t>キギョウ</t>
    </rPh>
    <rPh sb="2" eb="4">
      <t>ジョウホウ</t>
    </rPh>
    <rPh sb="4" eb="6">
      <t>コウシン</t>
    </rPh>
    <rPh sb="6" eb="8">
      <t>ガメン</t>
    </rPh>
    <phoneticPr fontId="2"/>
  </si>
  <si>
    <t>画面イベント一覧</t>
  </si>
  <si>
    <t>8</t>
    <phoneticPr fontId="2"/>
  </si>
  <si>
    <t>入力精査エラーになることを確認するため対象外</t>
    <rPh sb="0" eb="2">
      <t>ニュウリョク</t>
    </rPh>
    <rPh sb="2" eb="4">
      <t>セイサ</t>
    </rPh>
    <rPh sb="13" eb="15">
      <t>カクニン</t>
    </rPh>
    <rPh sb="19" eb="22">
      <t>タイショウガイ</t>
    </rPh>
    <phoneticPr fontId="2"/>
  </si>
  <si>
    <t>(a)システム機能設計書
(b)ドメイン定義書</t>
    <rPh sb="7" eb="9">
      <t>キノウ</t>
    </rPh>
    <rPh sb="9" eb="12">
      <t>セッケイショ</t>
    </rPh>
    <rPh sb="20" eb="22">
      <t>テイギ</t>
    </rPh>
    <rPh sb="22" eb="23">
      <t>ショ</t>
    </rPh>
    <phoneticPr fontId="2"/>
  </si>
  <si>
    <t>(a)画面項目定義
(b)ドメイン定義</t>
    <rPh sb="3" eb="5">
      <t>ガメン</t>
    </rPh>
    <rPh sb="5" eb="7">
      <t>コウモク</t>
    </rPh>
    <rPh sb="7" eb="9">
      <t>テイギ</t>
    </rPh>
    <rPh sb="17" eb="19">
      <t>テイギ</t>
    </rPh>
    <phoneticPr fontId="2"/>
  </si>
  <si>
    <t>(a)画面遷移図
(b)システム機能設計書</t>
    <rPh sb="3" eb="8">
      <t>ガメンセンイズ</t>
    </rPh>
    <rPh sb="16" eb="18">
      <t>キノウ</t>
    </rPh>
    <rPh sb="18" eb="21">
      <t>セッケイショ</t>
    </rPh>
    <phoneticPr fontId="5"/>
  </si>
  <si>
    <t>(a)企業情報管理(11AA)
(b)画面イベント一覧</t>
    <rPh sb="19" eb="21">
      <t>ガメン</t>
    </rPh>
    <rPh sb="25" eb="27">
      <t>イチラン</t>
    </rPh>
    <phoneticPr fontId="5"/>
  </si>
  <si>
    <t>0件では画面が表示されないため対象外</t>
    <rPh sb="1" eb="2">
      <t>ケン</t>
    </rPh>
    <rPh sb="4" eb="6">
      <t>ガメン</t>
    </rPh>
    <rPh sb="7" eb="9">
      <t>ヒョウジ</t>
    </rPh>
    <rPh sb="15" eb="18">
      <t>タイショウガイ</t>
    </rPh>
    <phoneticPr fontId="2"/>
  </si>
  <si>
    <t>レスポンスヘッダに Cache-Control: no-stroe が設定されていること。</t>
    <rPh sb="35" eb="37">
      <t>セッテイ</t>
    </rPh>
    <phoneticPr fontId="2"/>
  </si>
  <si>
    <t>ブラウザキャッシュの方針</t>
    <phoneticPr fontId="2"/>
  </si>
  <si>
    <t>画面項目定義、画面イベント詳細</t>
    <rPh sb="0" eb="2">
      <t>ガメン</t>
    </rPh>
    <rPh sb="2" eb="4">
      <t>コウモク</t>
    </rPh>
    <rPh sb="4" eb="6">
      <t>テイギ</t>
    </rPh>
    <rPh sb="7" eb="9">
      <t>ガメン</t>
    </rPh>
    <rPh sb="13" eb="15">
      <t>ショウサイ</t>
    </rPh>
    <phoneticPr fontId="2"/>
  </si>
  <si>
    <t>画面イベント詳細</t>
    <rPh sb="0" eb="2">
      <t>ガメン</t>
    </rPh>
    <rPh sb="6" eb="8">
      <t>ショウサイ</t>
    </rPh>
    <phoneticPr fontId="4"/>
  </si>
  <si>
    <t>入力精査エラーになることを確認するため対象外</t>
    <rPh sb="0" eb="1">
      <t>ニュウ</t>
    </rPh>
    <rPh sb="1" eb="2">
      <t>リョク</t>
    </rPh>
    <rPh sb="2" eb="4">
      <t>セイサ</t>
    </rPh>
    <rPh sb="13" eb="15">
      <t>カクニン</t>
    </rPh>
    <rPh sb="19" eb="22">
      <t>タイショウガイ</t>
    </rPh>
    <phoneticPr fontId="2"/>
  </si>
  <si>
    <t>企業テーブル、企業連絡担当者テーブルが更新されない。</t>
    <rPh sb="0" eb="2">
      <t>キギョウ</t>
    </rPh>
    <rPh sb="7" eb="9">
      <t>キギョウ</t>
    </rPh>
    <rPh sb="9" eb="11">
      <t>レンラク</t>
    </rPh>
    <rPh sb="11" eb="14">
      <t>タントウシャ</t>
    </rPh>
    <rPh sb="19" eb="21">
      <t>コウシン</t>
    </rPh>
    <phoneticPr fontId="2"/>
  </si>
  <si>
    <t>機能名：サンプル機能</t>
    <rPh sb="0" eb="3">
      <t>キノウメイ</t>
    </rPh>
    <rPh sb="8" eb="10">
      <t>キノウ</t>
    </rPh>
    <phoneticPr fontId="2"/>
  </si>
  <si>
    <t>取引名：サンプル取引</t>
    <rPh sb="0" eb="3">
      <t>トリヒキメイ</t>
    </rPh>
    <rPh sb="8" eb="10">
      <t>トリヒキ</t>
    </rPh>
    <phoneticPr fontId="2"/>
  </si>
  <si>
    <t>(a)画面遷移図
(b)システム機能設計書</t>
    <phoneticPr fontId="4"/>
  </si>
  <si>
    <t>(a)企業情報管理(11AA)
(b)画面イベント一覧</t>
    <rPh sb="3" eb="5">
      <t>キギョウ</t>
    </rPh>
    <rPh sb="5" eb="7">
      <t>ジョウホウ</t>
    </rPh>
    <rPh sb="7" eb="9">
      <t>カンリ</t>
    </rPh>
    <phoneticPr fontId="4"/>
  </si>
  <si>
    <t>・クラス単体テスト
・リクエスト単体テスト
・取引単体テスト</t>
    <rPh sb="4" eb="6">
      <t>タンタイ</t>
    </rPh>
    <rPh sb="16" eb="18">
      <t>タンタイ</t>
    </rPh>
    <rPh sb="23" eb="25">
      <t>トリヒキ</t>
    </rPh>
    <rPh sb="25" eb="27">
      <t>タンタイ</t>
    </rPh>
    <phoneticPr fontId="2"/>
  </si>
  <si>
    <t>・テスト観点カタログをベースにしたテスト内容に変更
・取引単体テストのテスト内容を変更</t>
    <rPh sb="4" eb="6">
      <t>カンテン</t>
    </rPh>
    <rPh sb="20" eb="22">
      <t>ナイヨウ</t>
    </rPh>
    <rPh sb="23" eb="25">
      <t>ヘンコウ</t>
    </rPh>
    <rPh sb="27" eb="29">
      <t>トリヒキ</t>
    </rPh>
    <rPh sb="29" eb="31">
      <t>タンタイ</t>
    </rPh>
    <rPh sb="38" eb="40">
      <t>ナイヨウ</t>
    </rPh>
    <rPh sb="41" eb="43">
      <t>ヘンコウ</t>
    </rPh>
    <phoneticPr fontId="2"/>
  </si>
  <si>
    <t>テストターゲット名：XxxAction</t>
    <rPh sb="8" eb="9">
      <t>メイ</t>
    </rPh>
    <phoneticPr fontId="2"/>
  </si>
  <si>
    <t>Formのクラス単体テストで確認するため対象外</t>
    <rPh sb="8" eb="10">
      <t>タンタイ</t>
    </rPh>
    <rPh sb="14" eb="16">
      <t>カクニン</t>
    </rPh>
    <rPh sb="20" eb="23">
      <t>タイショウガイ</t>
    </rPh>
    <phoneticPr fontId="2"/>
  </si>
  <si>
    <t>企業テーブル、企業連絡担当者テーブルが更新される。</t>
    <rPh sb="0" eb="2">
      <t>キギョウ</t>
    </rPh>
    <rPh sb="7" eb="9">
      <t>キギョウ</t>
    </rPh>
    <rPh sb="9" eb="11">
      <t>レンラク</t>
    </rPh>
    <rPh sb="11" eb="14">
      <t>タントウシャ</t>
    </rPh>
    <rPh sb="19" eb="21">
      <t>コウシン</t>
    </rPh>
    <phoneticPr fontId="2"/>
  </si>
  <si>
    <t>無効な企業コードを指定した場合、企業テーブル、企業連絡担当者テーブルが更新されない。</t>
    <rPh sb="0" eb="2">
      <t>ムコウ</t>
    </rPh>
    <rPh sb="3" eb="5">
      <t>キギョウ</t>
    </rPh>
    <rPh sb="9" eb="11">
      <t>シテイ</t>
    </rPh>
    <rPh sb="13" eb="15">
      <t>バアイ</t>
    </rPh>
    <rPh sb="16" eb="18">
      <t>キギョウ</t>
    </rPh>
    <rPh sb="23" eb="25">
      <t>キギョウ</t>
    </rPh>
    <rPh sb="25" eb="27">
      <t>レンラク</t>
    </rPh>
    <rPh sb="27" eb="30">
      <t>タントウシャ</t>
    </rPh>
    <rPh sb="35" eb="37">
      <t>コウシン</t>
    </rPh>
    <phoneticPr fontId="2"/>
  </si>
  <si>
    <t>有効な企業コードを指定した場合、企業コードに紐づく企業テーブル、企業連絡担当者テーブルが更新される。</t>
    <rPh sb="0" eb="2">
      <t>ユウコウ</t>
    </rPh>
    <rPh sb="3" eb="5">
      <t>キギョウ</t>
    </rPh>
    <rPh sb="9" eb="11">
      <t>シテイ</t>
    </rPh>
    <rPh sb="13" eb="15">
      <t>バアイ</t>
    </rPh>
    <rPh sb="16" eb="18">
      <t>キギョウ</t>
    </rPh>
    <rPh sb="22" eb="23">
      <t>ヒモ</t>
    </rPh>
    <rPh sb="25" eb="27">
      <t>キギョウ</t>
    </rPh>
    <rPh sb="32" eb="34">
      <t>キギョウ</t>
    </rPh>
    <rPh sb="34" eb="36">
      <t>レンラク</t>
    </rPh>
    <rPh sb="36" eb="39">
      <t>タントウシャ</t>
    </rPh>
    <rPh sb="44" eb="46">
      <t>コウシン</t>
    </rPh>
    <phoneticPr fontId="2"/>
  </si>
  <si>
    <t>企業データテーブルの企業漢字名称が更新される。</t>
    <rPh sb="0" eb="2">
      <t>キギョウ</t>
    </rPh>
    <rPh sb="10" eb="12">
      <t>キギョウ</t>
    </rPh>
    <rPh sb="12" eb="14">
      <t>カンジ</t>
    </rPh>
    <rPh sb="14" eb="16">
      <t>メイショウ</t>
    </rPh>
    <rPh sb="17" eb="19">
      <t>コウシン</t>
    </rPh>
    <phoneticPr fontId="2"/>
  </si>
  <si>
    <t>企業データテーブルの企業カナ名称が更新される。</t>
    <rPh sb="0" eb="2">
      <t>キギョウ</t>
    </rPh>
    <rPh sb="10" eb="12">
      <t>キギョウ</t>
    </rPh>
    <rPh sb="14" eb="16">
      <t>メイショウ</t>
    </rPh>
    <rPh sb="17" eb="19">
      <t>コウシン</t>
    </rPh>
    <phoneticPr fontId="2"/>
  </si>
  <si>
    <t>企業データテーブルの業務分類が更新される。</t>
    <rPh sb="0" eb="2">
      <t>キギョウ</t>
    </rPh>
    <rPh sb="10" eb="12">
      <t>ギョウム</t>
    </rPh>
    <rPh sb="12" eb="14">
      <t>ブンルイ</t>
    </rPh>
    <rPh sb="15" eb="17">
      <t>コウシン</t>
    </rPh>
    <phoneticPr fontId="2"/>
  </si>
  <si>
    <t>企業データテーブルの郵便番号が更新される。</t>
    <rPh sb="0" eb="2">
      <t>キギョウ</t>
    </rPh>
    <rPh sb="10" eb="14">
      <t>ユウビンバンゴウ</t>
    </rPh>
    <rPh sb="15" eb="17">
      <t>コウシン</t>
    </rPh>
    <phoneticPr fontId="2"/>
  </si>
  <si>
    <t>企業データテーブルの企業漢字住所が更新される。</t>
    <rPh sb="0" eb="2">
      <t>キギョウ</t>
    </rPh>
    <rPh sb="10" eb="12">
      <t>キギョウ</t>
    </rPh>
    <rPh sb="12" eb="14">
      <t>カンジ</t>
    </rPh>
    <rPh sb="14" eb="16">
      <t>ジュウショ</t>
    </rPh>
    <rPh sb="17" eb="19">
      <t>コウシン</t>
    </rPh>
    <phoneticPr fontId="2"/>
  </si>
  <si>
    <t>企業データテーブルの企業カナ住所が更新される。</t>
    <rPh sb="0" eb="2">
      <t>キギョウ</t>
    </rPh>
    <rPh sb="10" eb="12">
      <t>キギョウ</t>
    </rPh>
    <rPh sb="14" eb="15">
      <t>ジョ</t>
    </rPh>
    <rPh sb="16" eb="18">
      <t>コウシン</t>
    </rPh>
    <phoneticPr fontId="2"/>
  </si>
  <si>
    <t>企業データテーブルの利用開始日が更新される。</t>
    <rPh sb="0" eb="2">
      <t>キギョウ</t>
    </rPh>
    <rPh sb="10" eb="12">
      <t>リヨウ</t>
    </rPh>
    <rPh sb="12" eb="15">
      <t>カイシビ</t>
    </rPh>
    <rPh sb="16" eb="18">
      <t>コウシン</t>
    </rPh>
    <phoneticPr fontId="2"/>
  </si>
  <si>
    <t>企業データテーブルの利用終了日が更新される。</t>
    <rPh sb="0" eb="2">
      <t>キギョウ</t>
    </rPh>
    <rPh sb="10" eb="12">
      <t>リヨウ</t>
    </rPh>
    <rPh sb="12" eb="15">
      <t>シュウリョウビ</t>
    </rPh>
    <rPh sb="16" eb="18">
      <t>コウシン</t>
    </rPh>
    <phoneticPr fontId="2"/>
  </si>
  <si>
    <t>企業データテーブルの備考が更新される。</t>
    <rPh sb="0" eb="2">
      <t>キギョウ</t>
    </rPh>
    <rPh sb="10" eb="12">
      <t>ビコウ</t>
    </rPh>
    <rPh sb="13" eb="15">
      <t>コウシン</t>
    </rPh>
    <phoneticPr fontId="2"/>
  </si>
  <si>
    <t>画面イベント詳細、画面項目定義</t>
    <rPh sb="0" eb="2">
      <t>ガメン</t>
    </rPh>
    <rPh sb="6" eb="8">
      <t>ショウサイ</t>
    </rPh>
    <rPh sb="9" eb="11">
      <t>ガメン</t>
    </rPh>
    <rPh sb="11" eb="13">
      <t>コウモク</t>
    </rPh>
    <rPh sb="13" eb="15">
      <t>テイギ</t>
    </rPh>
    <phoneticPr fontId="4"/>
  </si>
  <si>
    <t>企業連絡担当者情報テーブルに、入力した連番の企業連絡担当者情報が登録される</t>
    <rPh sb="0" eb="2">
      <t>キギョウ</t>
    </rPh>
    <rPh sb="15" eb="17">
      <t>ニュリョク</t>
    </rPh>
    <rPh sb="19" eb="21">
      <t>レンバン</t>
    </rPh>
    <rPh sb="32" eb="34">
      <t>トウロク</t>
    </rPh>
    <phoneticPr fontId="2"/>
  </si>
  <si>
    <t>企業連絡担当者情報がMAX件数分登録されていない状態で、登録されていない連番の企業連絡担当者情報を入力した場合、企業連絡担当者情報が登録される。</t>
    <rPh sb="13" eb="15">
      <t>ケンスウ</t>
    </rPh>
    <rPh sb="15" eb="16">
      <t>ブン</t>
    </rPh>
    <rPh sb="24" eb="26">
      <t>ジョウタイ</t>
    </rPh>
    <rPh sb="28" eb="30">
      <t>トウロク</t>
    </rPh>
    <rPh sb="36" eb="38">
      <t>レンバン</t>
    </rPh>
    <rPh sb="39" eb="41">
      <t>キギョウ</t>
    </rPh>
    <rPh sb="41" eb="43">
      <t>レンラク</t>
    </rPh>
    <rPh sb="43" eb="46">
      <t>タントウシャ</t>
    </rPh>
    <rPh sb="46" eb="48">
      <t>ジョウホウ</t>
    </rPh>
    <rPh sb="49" eb="51">
      <t>ニュウリョク</t>
    </rPh>
    <rPh sb="53" eb="55">
      <t>バアイ</t>
    </rPh>
    <rPh sb="56" eb="58">
      <t>キギョウ</t>
    </rPh>
    <rPh sb="58" eb="60">
      <t>レンラク</t>
    </rPh>
    <rPh sb="60" eb="63">
      <t>タントウシャ</t>
    </rPh>
    <rPh sb="63" eb="65">
      <t>ジョウホウ</t>
    </rPh>
    <rPh sb="66" eb="68">
      <t>トウロク</t>
    </rPh>
    <phoneticPr fontId="2"/>
  </si>
  <si>
    <t>全ての項目に値を入力した場合、企業情報が更新される。</t>
    <rPh sb="0" eb="1">
      <t>スベ</t>
    </rPh>
    <rPh sb="3" eb="5">
      <t>コウモク</t>
    </rPh>
    <rPh sb="6" eb="7">
      <t>アタイ</t>
    </rPh>
    <rPh sb="8" eb="10">
      <t>ニュウリョク</t>
    </rPh>
    <rPh sb="12" eb="14">
      <t>バアイ</t>
    </rPh>
    <rPh sb="15" eb="17">
      <t>キギョウ</t>
    </rPh>
    <rPh sb="17" eb="19">
      <t>ジョウホウ</t>
    </rPh>
    <phoneticPr fontId="2"/>
  </si>
  <si>
    <t>企業漢字名称に入力した値で更新される。</t>
    <rPh sb="0" eb="2">
      <t>キギョウ</t>
    </rPh>
    <rPh sb="2" eb="4">
      <t>カンジ</t>
    </rPh>
    <rPh sb="4" eb="6">
      <t>メイショウ</t>
    </rPh>
    <rPh sb="11" eb="12">
      <t>アタイ</t>
    </rPh>
    <rPh sb="13" eb="15">
      <t>コウシン</t>
    </rPh>
    <phoneticPr fontId="2"/>
  </si>
  <si>
    <t>企業カナ名称に入力した値で更新される。</t>
    <rPh sb="0" eb="2">
      <t>キギョウ</t>
    </rPh>
    <rPh sb="4" eb="6">
      <t>メイショウ</t>
    </rPh>
    <rPh sb="11" eb="12">
      <t>アタイ</t>
    </rPh>
    <rPh sb="13" eb="15">
      <t>コウシン</t>
    </rPh>
    <phoneticPr fontId="2"/>
  </si>
  <si>
    <t>業種分類に入力した値で更新される。</t>
    <rPh sb="0" eb="2">
      <t>ギョウシュ</t>
    </rPh>
    <rPh sb="2" eb="4">
      <t>ブンルイ</t>
    </rPh>
    <rPh sb="9" eb="10">
      <t>アタイ</t>
    </rPh>
    <rPh sb="11" eb="13">
      <t>コウシン</t>
    </rPh>
    <phoneticPr fontId="2"/>
  </si>
  <si>
    <t>郵便番号に入力した値で更新される。</t>
    <rPh sb="0" eb="4">
      <t>ユウビンバンゴウ</t>
    </rPh>
    <rPh sb="9" eb="10">
      <t>アタイ</t>
    </rPh>
    <rPh sb="11" eb="13">
      <t>コウシン</t>
    </rPh>
    <phoneticPr fontId="2"/>
  </si>
  <si>
    <t>企業漢字住所に入力した値で更新される。</t>
    <rPh sb="11" eb="12">
      <t>アタイ</t>
    </rPh>
    <rPh sb="13" eb="15">
      <t>コウシン</t>
    </rPh>
    <phoneticPr fontId="2"/>
  </si>
  <si>
    <t>企業カナ住所に入力した値で更新される。</t>
    <rPh sb="0" eb="2">
      <t>キギョウ</t>
    </rPh>
    <rPh sb="4" eb="6">
      <t>ジュウショ</t>
    </rPh>
    <rPh sb="11" eb="12">
      <t>アタイ</t>
    </rPh>
    <rPh sb="13" eb="15">
      <t>コウシン</t>
    </rPh>
    <phoneticPr fontId="2"/>
  </si>
  <si>
    <t>利用開始日に入力した値で更新される。</t>
    <rPh sb="0" eb="2">
      <t>リヨウ</t>
    </rPh>
    <rPh sb="2" eb="5">
      <t>カイシビ</t>
    </rPh>
    <rPh sb="10" eb="11">
      <t>アタイ</t>
    </rPh>
    <rPh sb="12" eb="14">
      <t>コウシン</t>
    </rPh>
    <phoneticPr fontId="2"/>
  </si>
  <si>
    <t>利用終了日に入力した値で更新される。</t>
    <rPh sb="0" eb="2">
      <t>リヨウ</t>
    </rPh>
    <rPh sb="2" eb="5">
      <t>シュウリョウビ</t>
    </rPh>
    <rPh sb="10" eb="11">
      <t>アタイ</t>
    </rPh>
    <rPh sb="12" eb="14">
      <t>コウシン</t>
    </rPh>
    <phoneticPr fontId="2"/>
  </si>
  <si>
    <t>備考に入力した値で更新される。</t>
    <rPh sb="0" eb="2">
      <t>ビコウ</t>
    </rPh>
    <rPh sb="7" eb="8">
      <t>アタイ</t>
    </rPh>
    <rPh sb="9" eb="11">
      <t>コウシン</t>
    </rPh>
    <phoneticPr fontId="2"/>
  </si>
  <si>
    <t>企業漢字名称に入力した最大長の値で更新される。</t>
    <rPh sb="0" eb="2">
      <t>キギョウ</t>
    </rPh>
    <rPh sb="2" eb="4">
      <t>カンジ</t>
    </rPh>
    <rPh sb="4" eb="6">
      <t>メイショウ</t>
    </rPh>
    <rPh sb="11" eb="14">
      <t>サイダイチョウ</t>
    </rPh>
    <rPh sb="15" eb="16">
      <t>アタイ</t>
    </rPh>
    <rPh sb="17" eb="19">
      <t>コウシン</t>
    </rPh>
    <phoneticPr fontId="2"/>
  </si>
  <si>
    <t>業種分類に入力した最大長の値で更新される。</t>
    <rPh sb="0" eb="2">
      <t>ギョウシュ</t>
    </rPh>
    <rPh sb="2" eb="4">
      <t>ブンルイ</t>
    </rPh>
    <rPh sb="15" eb="17">
      <t>コウシン</t>
    </rPh>
    <phoneticPr fontId="2"/>
  </si>
  <si>
    <t>企業カナ名称に入力した最大長の値で更新される。</t>
    <rPh sb="0" eb="2">
      <t>キギョウ</t>
    </rPh>
    <rPh sb="4" eb="6">
      <t>メイショウ</t>
    </rPh>
    <rPh sb="17" eb="19">
      <t>コウシン</t>
    </rPh>
    <phoneticPr fontId="2"/>
  </si>
  <si>
    <t>郵便番号に入力した最大長の値で更新される。</t>
    <rPh sb="0" eb="4">
      <t>ユウビンバンゴウ</t>
    </rPh>
    <rPh sb="15" eb="17">
      <t>コウシン</t>
    </rPh>
    <phoneticPr fontId="2"/>
  </si>
  <si>
    <t>企業漢字住所に入力した最大長の値で更新される。</t>
    <rPh sb="17" eb="19">
      <t>コウシン</t>
    </rPh>
    <phoneticPr fontId="2"/>
  </si>
  <si>
    <t>企業カナ住所に入力した最大長の値で更新される。</t>
    <rPh sb="0" eb="2">
      <t>キギョウ</t>
    </rPh>
    <rPh sb="4" eb="6">
      <t>ジュウショ</t>
    </rPh>
    <rPh sb="17" eb="19">
      <t>コウシン</t>
    </rPh>
    <phoneticPr fontId="2"/>
  </si>
  <si>
    <t>利用開始日に入力した最大長の値で更新される。</t>
    <rPh sb="0" eb="2">
      <t>リヨウ</t>
    </rPh>
    <rPh sb="2" eb="5">
      <t>カイシビ</t>
    </rPh>
    <rPh sb="16" eb="18">
      <t>コウシン</t>
    </rPh>
    <phoneticPr fontId="2"/>
  </si>
  <si>
    <t>利用終了日に入力した最大長の値で更新される。</t>
    <rPh sb="0" eb="2">
      <t>リヨウ</t>
    </rPh>
    <rPh sb="2" eb="5">
      <t>シュウリョウビ</t>
    </rPh>
    <rPh sb="16" eb="18">
      <t>コウシン</t>
    </rPh>
    <phoneticPr fontId="2"/>
  </si>
  <si>
    <t>備考に入力した最大長の値で更新される。</t>
    <rPh sb="0" eb="2">
      <t>ビコウ</t>
    </rPh>
    <rPh sb="13" eb="15">
      <t>コウシン</t>
    </rPh>
    <phoneticPr fontId="2"/>
  </si>
  <si>
    <t>企業連絡担当者情報がMAX件数分登録されていない状態で、登録されていない連番の企業連絡担当者情報を複数件入力した場合、企業連絡担当者情報が登録される。</t>
    <rPh sb="13" eb="15">
      <t>ケンスウ</t>
    </rPh>
    <rPh sb="15" eb="16">
      <t>ブン</t>
    </rPh>
    <rPh sb="24" eb="26">
      <t>ジョウタイ</t>
    </rPh>
    <rPh sb="28" eb="30">
      <t>トウロク</t>
    </rPh>
    <rPh sb="36" eb="38">
      <t>レンバン</t>
    </rPh>
    <rPh sb="39" eb="41">
      <t>キギョウ</t>
    </rPh>
    <rPh sb="41" eb="43">
      <t>レンラク</t>
    </rPh>
    <rPh sb="43" eb="46">
      <t>タントウシャ</t>
    </rPh>
    <rPh sb="46" eb="48">
      <t>ジョウホウ</t>
    </rPh>
    <rPh sb="49" eb="52">
      <t>フクスウケン</t>
    </rPh>
    <rPh sb="52" eb="54">
      <t>ニュウリョク</t>
    </rPh>
    <rPh sb="56" eb="58">
      <t>バアイ</t>
    </rPh>
    <rPh sb="59" eb="61">
      <t>キギョウ</t>
    </rPh>
    <rPh sb="61" eb="63">
      <t>レンラク</t>
    </rPh>
    <rPh sb="63" eb="66">
      <t>タントウシャ</t>
    </rPh>
    <rPh sb="66" eb="68">
      <t>ジョウホウ</t>
    </rPh>
    <rPh sb="69" eb="71">
      <t>トウロク</t>
    </rPh>
    <phoneticPr fontId="2"/>
  </si>
  <si>
    <t>企業連絡担当者情報の1件目を変更した場合、企業連絡担当者情報が更新される。</t>
    <rPh sb="11" eb="12">
      <t>ケン</t>
    </rPh>
    <rPh sb="12" eb="13">
      <t>メ</t>
    </rPh>
    <rPh sb="14" eb="16">
      <t>ヘンコウ</t>
    </rPh>
    <rPh sb="18" eb="20">
      <t>バアイ</t>
    </rPh>
    <rPh sb="21" eb="23">
      <t>キギョウ</t>
    </rPh>
    <rPh sb="23" eb="25">
      <t>レンラク</t>
    </rPh>
    <rPh sb="25" eb="28">
      <t>タントウシャ</t>
    </rPh>
    <rPh sb="28" eb="30">
      <t>ジョウホウ</t>
    </rPh>
    <rPh sb="31" eb="33">
      <t>コウシン</t>
    </rPh>
    <phoneticPr fontId="2"/>
  </si>
  <si>
    <t>企業連絡担当者情報テーブルの対象連番の企業連絡担当者情報が更新される。</t>
    <rPh sb="14" eb="16">
      <t>タイショウ</t>
    </rPh>
    <rPh sb="16" eb="18">
      <t>レンバン</t>
    </rPh>
    <rPh sb="29" eb="31">
      <t>コウシン</t>
    </rPh>
    <phoneticPr fontId="2"/>
  </si>
  <si>
    <t>企業連絡担当者情報が複数件登録されている状態で、2件目以降を変更した場合、企業連絡担当者情報が更新される。</t>
    <rPh sb="10" eb="13">
      <t>フクスウケン</t>
    </rPh>
    <rPh sb="13" eb="15">
      <t>トウロク</t>
    </rPh>
    <rPh sb="20" eb="22">
      <t>ジョウタイ</t>
    </rPh>
    <rPh sb="25" eb="26">
      <t>ケン</t>
    </rPh>
    <rPh sb="26" eb="27">
      <t>メ</t>
    </rPh>
    <rPh sb="27" eb="29">
      <t>イコウ</t>
    </rPh>
    <rPh sb="30" eb="32">
      <t>ヘンコウ</t>
    </rPh>
    <rPh sb="34" eb="36">
      <t>バアイ</t>
    </rPh>
    <rPh sb="37" eb="39">
      <t>キギョウ</t>
    </rPh>
    <rPh sb="39" eb="41">
      <t>レンラク</t>
    </rPh>
    <rPh sb="41" eb="44">
      <t>タントウシャ</t>
    </rPh>
    <rPh sb="44" eb="46">
      <t>ジョウホウ</t>
    </rPh>
    <rPh sb="47" eb="49">
      <t>コウシン</t>
    </rPh>
    <phoneticPr fontId="2"/>
  </si>
  <si>
    <t>企業連絡担当者情報が複数件登録されている状態で、登録済みの全ての企業連絡担当者情報を全て変更した場合、企業連絡担当者情報が更新される。</t>
    <rPh sb="10" eb="13">
      <t>フクスウケン</t>
    </rPh>
    <rPh sb="13" eb="15">
      <t>トウロク</t>
    </rPh>
    <rPh sb="20" eb="22">
      <t>ジョウタイ</t>
    </rPh>
    <rPh sb="24" eb="27">
      <t>トウロクズ</t>
    </rPh>
    <rPh sb="29" eb="30">
      <t>スベ</t>
    </rPh>
    <rPh sb="32" eb="34">
      <t>キギョウ</t>
    </rPh>
    <rPh sb="34" eb="36">
      <t>レンラク</t>
    </rPh>
    <rPh sb="36" eb="39">
      <t>タントウシャ</t>
    </rPh>
    <rPh sb="39" eb="41">
      <t>ジョウホウ</t>
    </rPh>
    <rPh sb="42" eb="43">
      <t>スベ</t>
    </rPh>
    <rPh sb="44" eb="46">
      <t>ヘンコウ</t>
    </rPh>
    <rPh sb="48" eb="50">
      <t>バアイ</t>
    </rPh>
    <rPh sb="51" eb="53">
      <t>キギョウ</t>
    </rPh>
    <rPh sb="53" eb="55">
      <t>レンラク</t>
    </rPh>
    <rPh sb="55" eb="58">
      <t>タントウシャ</t>
    </rPh>
    <rPh sb="58" eb="60">
      <t>ジョウホウ</t>
    </rPh>
    <rPh sb="61" eb="63">
      <t>コウシン</t>
    </rPh>
    <phoneticPr fontId="2"/>
  </si>
  <si>
    <t>企業連絡担当者情報が複数件登録されている状態で、2件目以降の企業連絡担当者情報をブランクに変更した場合、企業連絡担当者情報が削除される。</t>
    <rPh sb="10" eb="13">
      <t>フクスウケン</t>
    </rPh>
    <rPh sb="13" eb="15">
      <t>トウロク</t>
    </rPh>
    <rPh sb="20" eb="22">
      <t>ジョウタイ</t>
    </rPh>
    <rPh sb="25" eb="26">
      <t>ケン</t>
    </rPh>
    <rPh sb="26" eb="27">
      <t>メ</t>
    </rPh>
    <rPh sb="27" eb="29">
      <t>イコウ</t>
    </rPh>
    <rPh sb="30" eb="32">
      <t>キギョウ</t>
    </rPh>
    <rPh sb="32" eb="34">
      <t>レンラク</t>
    </rPh>
    <rPh sb="34" eb="37">
      <t>タントウシャ</t>
    </rPh>
    <rPh sb="37" eb="39">
      <t>ジョウホウ</t>
    </rPh>
    <rPh sb="45" eb="47">
      <t>ヘンコウ</t>
    </rPh>
    <rPh sb="49" eb="51">
      <t>バアイ</t>
    </rPh>
    <rPh sb="52" eb="54">
      <t>キギョウ</t>
    </rPh>
    <rPh sb="54" eb="56">
      <t>レンラク</t>
    </rPh>
    <rPh sb="56" eb="59">
      <t>タントウシャ</t>
    </rPh>
    <rPh sb="59" eb="61">
      <t>ジョウホウ</t>
    </rPh>
    <rPh sb="62" eb="64">
      <t>サクジョ</t>
    </rPh>
    <phoneticPr fontId="2"/>
  </si>
  <si>
    <t>企業連絡担当者情報テーブルから、対象連番の企業連絡担当者情報が削除される。</t>
    <rPh sb="16" eb="18">
      <t>タイショウ</t>
    </rPh>
    <rPh sb="18" eb="20">
      <t>レンバン</t>
    </rPh>
    <rPh sb="31" eb="33">
      <t>サクジョ</t>
    </rPh>
    <phoneticPr fontId="2"/>
  </si>
  <si>
    <t>企業連絡担当者情報が3件以上登録されている状態で、2件目以降の全ての企業連絡担当者情報をブランクに変更した場合、企業連絡担当者情報が削除される。</t>
    <rPh sb="11" eb="12">
      <t>ケン</t>
    </rPh>
    <rPh sb="12" eb="14">
      <t>イジョウ</t>
    </rPh>
    <rPh sb="14" eb="16">
      <t>トウロク</t>
    </rPh>
    <rPh sb="21" eb="23">
      <t>ジョウタイ</t>
    </rPh>
    <rPh sb="26" eb="27">
      <t>ケン</t>
    </rPh>
    <rPh sb="27" eb="28">
      <t>メ</t>
    </rPh>
    <rPh sb="28" eb="30">
      <t>イコウ</t>
    </rPh>
    <rPh sb="31" eb="32">
      <t>スベ</t>
    </rPh>
    <rPh sb="34" eb="36">
      <t>キギョウ</t>
    </rPh>
    <rPh sb="36" eb="38">
      <t>レンラク</t>
    </rPh>
    <rPh sb="38" eb="41">
      <t>タントウシャ</t>
    </rPh>
    <rPh sb="41" eb="43">
      <t>ジョウホウ</t>
    </rPh>
    <rPh sb="49" eb="51">
      <t>ヘンコウ</t>
    </rPh>
    <rPh sb="53" eb="55">
      <t>バアイ</t>
    </rPh>
    <rPh sb="56" eb="58">
      <t>キギョウ</t>
    </rPh>
    <rPh sb="58" eb="60">
      <t>レンラク</t>
    </rPh>
    <rPh sb="60" eb="63">
      <t>タントウシャ</t>
    </rPh>
    <rPh sb="63" eb="65">
      <t>ジョウホウ</t>
    </rPh>
    <rPh sb="66" eb="68">
      <t>サクジョ</t>
    </rPh>
    <phoneticPr fontId="2"/>
  </si>
  <si>
    <t>ウィンドウ全体の縦スクロール以外が発生しない。</t>
    <phoneticPr fontId="2"/>
  </si>
  <si>
    <t>横スクロールが発生しない。</t>
    <phoneticPr fontId="2"/>
  </si>
  <si>
    <t>ブラウザのウインドウサイズがフルXGA仕様(1024px×768px)で、ウインドウ全体の縦スクロール以外が発生しない。</t>
    <rPh sb="41" eb="43">
      <t>ゼンタイ</t>
    </rPh>
    <rPh sb="44" eb="45">
      <t>タテ</t>
    </rPh>
    <rPh sb="50" eb="52">
      <t>イガイ</t>
    </rPh>
    <rPh sb="53" eb="55">
      <t>ハッセイ</t>
    </rPh>
    <phoneticPr fontId="2"/>
  </si>
  <si>
    <t>ブラウザのウインドウサイズをフルXGA仕様(1024px×768px)で、横スクロールが発生しない。</t>
    <rPh sb="37" eb="38">
      <t>ヨコ</t>
    </rPh>
    <rPh sb="44" eb="46">
      <t>ハッセイ</t>
    </rPh>
    <phoneticPr fontId="2"/>
  </si>
  <si>
    <t>企業漢字名称が未入力の場合、必須入力エラーメッセージが表示される。</t>
    <rPh sb="0" eb="2">
      <t>キギョウ</t>
    </rPh>
    <rPh sb="2" eb="4">
      <t>カンジ</t>
    </rPh>
    <rPh sb="4" eb="6">
      <t>メイショウ</t>
    </rPh>
    <rPh sb="8" eb="10">
      <t>ニュウリョク</t>
    </rPh>
    <rPh sb="11" eb="13">
      <t>バアイ</t>
    </rPh>
    <rPh sb="14" eb="16">
      <t>ヒッス</t>
    </rPh>
    <rPh sb="16" eb="18">
      <t>ニュウリョク</t>
    </rPh>
    <rPh sb="27" eb="29">
      <t>ヒョウジ</t>
    </rPh>
    <phoneticPr fontId="2"/>
  </si>
  <si>
    <t>企業カナ名称が未入力の場合、必須入力エラーメッセージが表示される。</t>
    <rPh sb="0" eb="2">
      <t>キギョウ</t>
    </rPh>
    <rPh sb="4" eb="6">
      <t>メイショウ</t>
    </rPh>
    <rPh sb="8" eb="10">
      <t>ニュウリョク</t>
    </rPh>
    <rPh sb="11" eb="13">
      <t>バアイ</t>
    </rPh>
    <rPh sb="14" eb="16">
      <t>ヒッス</t>
    </rPh>
    <rPh sb="16" eb="18">
      <t>ニュウリョク</t>
    </rPh>
    <rPh sb="27" eb="29">
      <t>ヒョウジ</t>
    </rPh>
    <phoneticPr fontId="2"/>
  </si>
  <si>
    <t>複数の項目で入力精査エラーになった場合、全てのエラーメッセージが表示される。</t>
    <rPh sb="0" eb="2">
      <t>フクスウ</t>
    </rPh>
    <rPh sb="3" eb="5">
      <t>コウモク</t>
    </rPh>
    <rPh sb="6" eb="8">
      <t>ニュウリョク</t>
    </rPh>
    <rPh sb="8" eb="10">
      <t>セイサ</t>
    </rPh>
    <rPh sb="17" eb="19">
      <t>バアイ</t>
    </rPh>
    <rPh sb="20" eb="21">
      <t>スベ</t>
    </rPh>
    <rPh sb="32" eb="34">
      <t>ヒョウジ</t>
    </rPh>
    <phoneticPr fontId="2"/>
  </si>
  <si>
    <t>企業漢字名称の下に「入力してください。」が表示される。</t>
    <rPh sb="0" eb="2">
      <t>キギョウ</t>
    </rPh>
    <rPh sb="2" eb="4">
      <t>カンジ</t>
    </rPh>
    <rPh sb="4" eb="6">
      <t>メイショウ</t>
    </rPh>
    <rPh sb="7" eb="8">
      <t>シタ</t>
    </rPh>
    <rPh sb="10" eb="12">
      <t>ニュウリョク</t>
    </rPh>
    <phoneticPr fontId="4"/>
  </si>
  <si>
    <t>企業カナ名称の下に「入力してください。」が表示される。</t>
    <rPh sb="0" eb="2">
      <t>キギョウ</t>
    </rPh>
    <rPh sb="4" eb="6">
      <t>メイショウ</t>
    </rPh>
    <rPh sb="7" eb="8">
      <t>シタ</t>
    </rPh>
    <rPh sb="10" eb="12">
      <t>ニュウリョク</t>
    </rPh>
    <phoneticPr fontId="4"/>
  </si>
  <si>
    <t>該当項目それぞれの下に、エラーメッセージが表示されている。</t>
    <rPh sb="0" eb="2">
      <t>ガイトウ</t>
    </rPh>
    <rPh sb="2" eb="4">
      <t>コウモク</t>
    </rPh>
    <rPh sb="9" eb="10">
      <t>シタ</t>
    </rPh>
    <rPh sb="21" eb="23">
      <t>ヒョウジ</t>
    </rPh>
    <phoneticPr fontId="2"/>
  </si>
  <si>
    <t>タイムアウトが発生した場合、ログイン画面に遷移する。
※タイムアウトを発生させるため、Cookieを削除しておく。</t>
    <rPh sb="7" eb="9">
      <t>ハッセイ</t>
    </rPh>
    <rPh sb="11" eb="13">
      <t>バアイ</t>
    </rPh>
    <rPh sb="18" eb="20">
      <t>ガメン</t>
    </rPh>
    <rPh sb="21" eb="23">
      <t>センイ</t>
    </rPh>
    <rPh sb="35" eb="37">
      <t>ハッセイ</t>
    </rPh>
    <phoneticPr fontId="2"/>
  </si>
  <si>
    <t>画面を表示する。</t>
    <phoneticPr fontId="2"/>
  </si>
  <si>
    <t>業種分類のプルダウンのデータの編集仕様が「システム機能設計書」通りである。</t>
    <rPh sb="0" eb="2">
      <t>ギョウシュ</t>
    </rPh>
    <rPh sb="2" eb="4">
      <t>ブンルイ</t>
    </rPh>
    <rPh sb="15" eb="17">
      <t>ヘンシュウ</t>
    </rPh>
    <rPh sb="17" eb="19">
      <t>シヨウ</t>
    </rPh>
    <rPh sb="31" eb="32">
      <t>ドオ</t>
    </rPh>
    <phoneticPr fontId="4"/>
  </si>
  <si>
    <t>業種分類のプルダウンのデータのソート順が「システム機能設計書」通りである。</t>
    <rPh sb="0" eb="2">
      <t>ギョウシュ</t>
    </rPh>
    <rPh sb="2" eb="4">
      <t>ブンルイ</t>
    </rPh>
    <rPh sb="18" eb="19">
      <t>ジュン</t>
    </rPh>
    <rPh sb="31" eb="32">
      <t>ドオ</t>
    </rPh>
    <phoneticPr fontId="4"/>
  </si>
  <si>
    <t>企業コードに最大長を登録している企業情報を表示した場合、エラーとならない。</t>
    <rPh sb="0" eb="2">
      <t>キギョウ</t>
    </rPh>
    <rPh sb="6" eb="8">
      <t>サイダイ</t>
    </rPh>
    <rPh sb="8" eb="9">
      <t>チョウ</t>
    </rPh>
    <rPh sb="10" eb="12">
      <t>トウロク</t>
    </rPh>
    <rPh sb="16" eb="18">
      <t>キギョウ</t>
    </rPh>
    <rPh sb="18" eb="20">
      <t>ジョウホウ</t>
    </rPh>
    <rPh sb="21" eb="23">
      <t>ヒョウジ</t>
    </rPh>
    <rPh sb="25" eb="27">
      <t>バアイ</t>
    </rPh>
    <phoneticPr fontId="2"/>
  </si>
  <si>
    <t>企業漢字名称に最大長を登録している企業情報を表示した場合、エラーとならない。</t>
    <rPh sb="0" eb="2">
      <t>キギョウ</t>
    </rPh>
    <rPh sb="2" eb="4">
      <t>カンジ</t>
    </rPh>
    <rPh sb="4" eb="6">
      <t>メイショウ</t>
    </rPh>
    <rPh sb="7" eb="9">
      <t>サイダイ</t>
    </rPh>
    <rPh sb="9" eb="10">
      <t>チョウ</t>
    </rPh>
    <rPh sb="11" eb="13">
      <t>トウロク</t>
    </rPh>
    <rPh sb="17" eb="19">
      <t>キギョウ</t>
    </rPh>
    <phoneticPr fontId="2"/>
  </si>
  <si>
    <t>企業カナ名称に最大長を登録している企業情報を表示した場合、エラーとならない。</t>
    <rPh sb="0" eb="2">
      <t>キギョウ</t>
    </rPh>
    <rPh sb="4" eb="6">
      <t>メイショウ</t>
    </rPh>
    <rPh sb="7" eb="9">
      <t>サイダイ</t>
    </rPh>
    <rPh sb="9" eb="10">
      <t>チョウ</t>
    </rPh>
    <rPh sb="11" eb="13">
      <t>トウロク</t>
    </rPh>
    <rPh sb="17" eb="19">
      <t>キギョウ</t>
    </rPh>
    <phoneticPr fontId="2"/>
  </si>
  <si>
    <t>業種分類に最大長を登録している企業情報を表示した場合、エラーとならない。</t>
    <rPh sb="0" eb="2">
      <t>ギョウシュ</t>
    </rPh>
    <rPh sb="2" eb="4">
      <t>ブンルイ</t>
    </rPh>
    <rPh sb="5" eb="7">
      <t>サイダイ</t>
    </rPh>
    <rPh sb="7" eb="8">
      <t>チョウ</t>
    </rPh>
    <rPh sb="9" eb="11">
      <t>トウロク</t>
    </rPh>
    <rPh sb="15" eb="17">
      <t>キギョウ</t>
    </rPh>
    <phoneticPr fontId="2"/>
  </si>
  <si>
    <t>企業漢字住所に最大長を登録している企業情報を表示した場合、エラーとならない。</t>
    <rPh sb="0" eb="2">
      <t>キギョウ</t>
    </rPh>
    <rPh sb="2" eb="4">
      <t>カンジ</t>
    </rPh>
    <rPh sb="4" eb="6">
      <t>ジュウショ</t>
    </rPh>
    <rPh sb="7" eb="9">
      <t>サイダイ</t>
    </rPh>
    <rPh sb="9" eb="10">
      <t>チョウ</t>
    </rPh>
    <rPh sb="11" eb="13">
      <t>トウロク</t>
    </rPh>
    <rPh sb="17" eb="19">
      <t>キギョウ</t>
    </rPh>
    <phoneticPr fontId="2"/>
  </si>
  <si>
    <t>企業カナ住所に最大長を登録している企業情報を表示した場合、エラーとならない。</t>
    <rPh sb="0" eb="2">
      <t>キギョウ</t>
    </rPh>
    <rPh sb="4" eb="6">
      <t>ジュウショ</t>
    </rPh>
    <rPh sb="7" eb="9">
      <t>サイダイ</t>
    </rPh>
    <rPh sb="9" eb="10">
      <t>チョウ</t>
    </rPh>
    <rPh sb="11" eb="13">
      <t>トウロク</t>
    </rPh>
    <rPh sb="17" eb="19">
      <t>キギョウ</t>
    </rPh>
    <phoneticPr fontId="2"/>
  </si>
  <si>
    <t>備考に最大長を登録している企業情報を表示した場合、エラーとならない。</t>
    <rPh sb="0" eb="2">
      <t>ビコウ</t>
    </rPh>
    <rPh sb="3" eb="5">
      <t>サイダイ</t>
    </rPh>
    <rPh sb="5" eb="6">
      <t>チョウ</t>
    </rPh>
    <rPh sb="7" eb="9">
      <t>トウロク</t>
    </rPh>
    <rPh sb="13" eb="15">
      <t>キギョウ</t>
    </rPh>
    <phoneticPr fontId="2"/>
  </si>
  <si>
    <t>企業コードに最大長を登録している企業情報を表示した場合、レイアウトが崩れない。</t>
    <rPh sb="0" eb="2">
      <t>キギョウ</t>
    </rPh>
    <rPh sb="6" eb="8">
      <t>サイダイ</t>
    </rPh>
    <rPh sb="8" eb="9">
      <t>チョウ</t>
    </rPh>
    <rPh sb="10" eb="12">
      <t>トウロク</t>
    </rPh>
    <rPh sb="16" eb="18">
      <t>キギョウ</t>
    </rPh>
    <rPh sb="18" eb="20">
      <t>ジョウホウ</t>
    </rPh>
    <rPh sb="21" eb="23">
      <t>ヒョウジ</t>
    </rPh>
    <rPh sb="25" eb="27">
      <t>バアイ</t>
    </rPh>
    <phoneticPr fontId="2"/>
  </si>
  <si>
    <t>企業漢字名称に最大長を登録している企業情報を表示した場合、レイアウトが崩れない。</t>
    <rPh sb="0" eb="2">
      <t>キギョウ</t>
    </rPh>
    <rPh sb="2" eb="4">
      <t>カンジ</t>
    </rPh>
    <rPh sb="4" eb="6">
      <t>メイショウ</t>
    </rPh>
    <rPh sb="7" eb="9">
      <t>サイダイ</t>
    </rPh>
    <rPh sb="9" eb="10">
      <t>チョウ</t>
    </rPh>
    <rPh sb="11" eb="13">
      <t>トウロク</t>
    </rPh>
    <rPh sb="17" eb="19">
      <t>キギョウ</t>
    </rPh>
    <phoneticPr fontId="2"/>
  </si>
  <si>
    <t>企業カナ名称に最大長を登録している企業情報を表示した場合、レイアウトが崩れない。</t>
    <rPh sb="0" eb="2">
      <t>キギョウ</t>
    </rPh>
    <rPh sb="4" eb="6">
      <t>メイショウ</t>
    </rPh>
    <rPh sb="7" eb="9">
      <t>サイダイ</t>
    </rPh>
    <rPh sb="9" eb="10">
      <t>チョウ</t>
    </rPh>
    <rPh sb="11" eb="13">
      <t>トウロク</t>
    </rPh>
    <rPh sb="17" eb="19">
      <t>キギョウ</t>
    </rPh>
    <phoneticPr fontId="2"/>
  </si>
  <si>
    <t>業種分類に最大長を登録している企業情報を表示した場合、レイアウトが崩れない。</t>
    <rPh sb="0" eb="2">
      <t>ギョウシュ</t>
    </rPh>
    <rPh sb="2" eb="4">
      <t>ブンルイ</t>
    </rPh>
    <rPh sb="5" eb="7">
      <t>サイダイ</t>
    </rPh>
    <rPh sb="7" eb="8">
      <t>チョウ</t>
    </rPh>
    <rPh sb="9" eb="11">
      <t>トウロク</t>
    </rPh>
    <rPh sb="15" eb="17">
      <t>キギョウ</t>
    </rPh>
    <phoneticPr fontId="2"/>
  </si>
  <si>
    <t>企業漢字住所に最大長を登録している企業情報を表示した場合、レイアウトが崩れない。</t>
    <rPh sb="0" eb="2">
      <t>キギョウ</t>
    </rPh>
    <rPh sb="2" eb="4">
      <t>カンジ</t>
    </rPh>
    <rPh sb="4" eb="6">
      <t>ジュウショ</t>
    </rPh>
    <rPh sb="7" eb="9">
      <t>サイダイ</t>
    </rPh>
    <rPh sb="9" eb="10">
      <t>チョウ</t>
    </rPh>
    <rPh sb="11" eb="13">
      <t>トウロク</t>
    </rPh>
    <rPh sb="17" eb="19">
      <t>キギョウ</t>
    </rPh>
    <phoneticPr fontId="2"/>
  </si>
  <si>
    <t>企業カナ住所に最大長を登録している企業情報を表示した場合、レイアウトが崩れない。</t>
    <rPh sb="0" eb="2">
      <t>キギョウ</t>
    </rPh>
    <rPh sb="4" eb="6">
      <t>ジュウショ</t>
    </rPh>
    <rPh sb="7" eb="9">
      <t>サイダイ</t>
    </rPh>
    <rPh sb="9" eb="10">
      <t>チョウ</t>
    </rPh>
    <rPh sb="11" eb="13">
      <t>トウロク</t>
    </rPh>
    <rPh sb="17" eb="19">
      <t>キギョウ</t>
    </rPh>
    <phoneticPr fontId="2"/>
  </si>
  <si>
    <t>備考に最大長を登録している企業情報を表示した場合、レイアウトが崩れない。</t>
    <rPh sb="0" eb="2">
      <t>ビコウ</t>
    </rPh>
    <rPh sb="3" eb="5">
      <t>サイダイ</t>
    </rPh>
    <rPh sb="5" eb="6">
      <t>チョウ</t>
    </rPh>
    <rPh sb="7" eb="9">
      <t>トウロク</t>
    </rPh>
    <rPh sb="13" eb="15">
      <t>キギョウ</t>
    </rPh>
    <phoneticPr fontId="2"/>
  </si>
  <si>
    <t>無効な企業コードが指定された場合、該当データなしのエラーメッセージが表示される。</t>
    <rPh sb="0" eb="2">
      <t>ムコウ</t>
    </rPh>
    <rPh sb="3" eb="5">
      <t>キギョウ</t>
    </rPh>
    <rPh sb="9" eb="11">
      <t>シテイ</t>
    </rPh>
    <rPh sb="14" eb="16">
      <t>バアイ</t>
    </rPh>
    <rPh sb="34" eb="36">
      <t>ヒョウジ</t>
    </rPh>
    <phoneticPr fontId="2"/>
  </si>
  <si>
    <t>該当データなしのエラーメッセージが表示される。</t>
    <rPh sb="0" eb="2">
      <t>ガイトウ</t>
    </rPh>
    <rPh sb="17" eb="19">
      <t>ヒョウジ</t>
    </rPh>
    <phoneticPr fontId="2"/>
  </si>
  <si>
    <t>（打鍵で確認する）</t>
    <rPh sb="1" eb="3">
      <t>ダケン</t>
    </rPh>
    <rPh sb="4" eb="6">
      <t>カクニン</t>
    </rPh>
    <phoneticPr fontId="2"/>
  </si>
  <si>
    <t>キャッシュを保持しない設定になっている。</t>
    <rPh sb="6" eb="8">
      <t>ホジ</t>
    </rPh>
    <rPh sb="11" eb="13">
      <t>セッテイ</t>
    </rPh>
    <phoneticPr fontId="2"/>
  </si>
  <si>
    <t>入力値精査エラーの場合、HTTPステータスコードが200である。</t>
    <rPh sb="9" eb="11">
      <t>バアイ</t>
    </rPh>
    <phoneticPr fontId="2"/>
  </si>
  <si>
    <t>正常終了した場合、HTTPステータスコードが200である。</t>
    <rPh sb="0" eb="4">
      <t>セイジョウシュウリョウ</t>
    </rPh>
    <rPh sb="6" eb="8">
      <t>バアイ</t>
    </rPh>
    <phoneticPr fontId="2"/>
  </si>
  <si>
    <t>レスポンスのHTTPステータスコードが200である。</t>
    <phoneticPr fontId="2"/>
  </si>
  <si>
    <t>認証済みの状態で、以下のURLを指定してアクセスする。
http://XXX</t>
    <rPh sb="0" eb="2">
      <t>ニンショウ</t>
    </rPh>
    <rPh sb="2" eb="3">
      <t>ズ</t>
    </rPh>
    <rPh sb="16" eb="18">
      <t>シテイ</t>
    </rPh>
    <phoneticPr fontId="2"/>
  </si>
  <si>
    <t>入力精査エラーが発生した状態で、入力を修正して正常終了した場合、企業情報更新画面に遷移する。</t>
    <rPh sb="0" eb="2">
      <t>ニュウリョク</t>
    </rPh>
    <rPh sb="12" eb="14">
      <t>ジョウタイ</t>
    </rPh>
    <rPh sb="16" eb="18">
      <t>ニュウリョク</t>
    </rPh>
    <rPh sb="19" eb="21">
      <t>シュウセイ</t>
    </rPh>
    <rPh sb="23" eb="27">
      <t>セイジョウシュウリョウ</t>
    </rPh>
    <rPh sb="29" eb="31">
      <t>バアイ</t>
    </rPh>
    <rPh sb="32" eb="36">
      <t>キギョウジョウホウ</t>
    </rPh>
    <rPh sb="36" eb="38">
      <t>コウシン</t>
    </rPh>
    <rPh sb="38" eb="40">
      <t>ガメン</t>
    </rPh>
    <rPh sb="41" eb="43">
      <t>センイ</t>
    </rPh>
    <phoneticPr fontId="2"/>
  </si>
  <si>
    <t>正常終了した場合、企業情報更新画面に遷移する。</t>
    <rPh sb="0" eb="4">
      <t>セイジョウシュウリョウ</t>
    </rPh>
    <rPh sb="6" eb="8">
      <t>バアイ</t>
    </rPh>
    <rPh sb="9" eb="11">
      <t>キギョウ</t>
    </rPh>
    <rPh sb="11" eb="12">
      <t>ジョウ</t>
    </rPh>
    <rPh sb="12" eb="13">
      <t>ホウ</t>
    </rPh>
    <rPh sb="13" eb="15">
      <t>コウシン</t>
    </rPh>
    <rPh sb="15" eb="17">
      <t>ガメン</t>
    </rPh>
    <rPh sb="18" eb="20">
      <t>センイ</t>
    </rPh>
    <phoneticPr fontId="2"/>
  </si>
  <si>
    <t>正常終了した場合、同ウインドウで企業情報更新画面が開かれる。</t>
    <rPh sb="0" eb="4">
      <t>セイジョウシュウリョウ</t>
    </rPh>
    <rPh sb="6" eb="8">
      <t>バアイ</t>
    </rPh>
    <rPh sb="16" eb="18">
      <t>キギョウ</t>
    </rPh>
    <rPh sb="18" eb="19">
      <t>ジョウ</t>
    </rPh>
    <rPh sb="19" eb="20">
      <t>ホウ</t>
    </rPh>
    <rPh sb="20" eb="22">
      <t>コウシン</t>
    </rPh>
    <rPh sb="22" eb="24">
      <t>ガメン</t>
    </rPh>
    <rPh sb="25" eb="26">
      <t>ヒラ</t>
    </rPh>
    <phoneticPr fontId="2"/>
  </si>
  <si>
    <t>同ウインドウで企業情報更新画面が開かれる。</t>
    <phoneticPr fontId="2"/>
  </si>
  <si>
    <t xml:space="preserve">企業情報一覧照会画面で入力した検索条件が、以下の画面遷移の間引き継がれる。
【画面遷移】
一覧検索画面(検索条件入力)→一覧検索画面(結果表示)→詳細画面→更新画面→更新確認画面→更新完了画面→一覧検索画面
</t>
    <rPh sb="0" eb="2">
      <t>キギョウ</t>
    </rPh>
    <rPh sb="2" eb="4">
      <t>ジョウホウ</t>
    </rPh>
    <rPh sb="4" eb="6">
      <t>イチラン</t>
    </rPh>
    <rPh sb="6" eb="8">
      <t>ショウカイ</t>
    </rPh>
    <rPh sb="8" eb="10">
      <t>ガメン</t>
    </rPh>
    <rPh sb="11" eb="13">
      <t>ニュウリョク</t>
    </rPh>
    <rPh sb="15" eb="17">
      <t>ケンサク</t>
    </rPh>
    <rPh sb="17" eb="19">
      <t>ジョウケン</t>
    </rPh>
    <rPh sb="21" eb="23">
      <t>イカ</t>
    </rPh>
    <rPh sb="24" eb="26">
      <t>ガメン</t>
    </rPh>
    <rPh sb="26" eb="28">
      <t>センイ</t>
    </rPh>
    <rPh sb="29" eb="30">
      <t>アイダ</t>
    </rPh>
    <rPh sb="30" eb="31">
      <t>ヒ</t>
    </rPh>
    <rPh sb="32" eb="33">
      <t>ツ</t>
    </rPh>
    <rPh sb="40" eb="42">
      <t>ガメン</t>
    </rPh>
    <rPh sb="42" eb="44">
      <t>センイ</t>
    </rPh>
    <rPh sb="46" eb="48">
      <t>イチラン</t>
    </rPh>
    <rPh sb="48" eb="50">
      <t>ケンサク</t>
    </rPh>
    <rPh sb="50" eb="52">
      <t>ガメン</t>
    </rPh>
    <rPh sb="53" eb="55">
      <t>ケンサク</t>
    </rPh>
    <rPh sb="55" eb="57">
      <t>ジョウケン</t>
    </rPh>
    <rPh sb="57" eb="59">
      <t>ニュウリョク</t>
    </rPh>
    <rPh sb="61" eb="63">
      <t>イチラン</t>
    </rPh>
    <rPh sb="63" eb="65">
      <t>ケンサク</t>
    </rPh>
    <rPh sb="65" eb="67">
      <t>ガメン</t>
    </rPh>
    <rPh sb="68" eb="70">
      <t>ケッカ</t>
    </rPh>
    <rPh sb="70" eb="72">
      <t>ヒョウジ</t>
    </rPh>
    <rPh sb="74" eb="76">
      <t>ショウサイ</t>
    </rPh>
    <rPh sb="76" eb="78">
      <t>ガメン</t>
    </rPh>
    <rPh sb="79" eb="81">
      <t>コウシン</t>
    </rPh>
    <rPh sb="81" eb="83">
      <t>ガメン</t>
    </rPh>
    <rPh sb="84" eb="86">
      <t>コウシン</t>
    </rPh>
    <rPh sb="86" eb="88">
      <t>カクニン</t>
    </rPh>
    <rPh sb="88" eb="90">
      <t>ガメン</t>
    </rPh>
    <rPh sb="91" eb="93">
      <t>コウシン</t>
    </rPh>
    <rPh sb="93" eb="95">
      <t>カンリョウ</t>
    </rPh>
    <rPh sb="95" eb="97">
      <t>ガメン</t>
    </rPh>
    <rPh sb="98" eb="100">
      <t>イチラン</t>
    </rPh>
    <rPh sb="100" eb="102">
      <t>ケンサク</t>
    </rPh>
    <rPh sb="102" eb="104">
      <t>ガメン</t>
    </rPh>
    <phoneticPr fontId="2"/>
  </si>
  <si>
    <t>企業情報更新取引が正しく行われる。
【画面遷移】
更新確認画面→[更新処理]→更新完了画面</t>
    <rPh sb="0" eb="2">
      <t>キギョウ</t>
    </rPh>
    <rPh sb="2" eb="4">
      <t>ジョウホウ</t>
    </rPh>
    <rPh sb="4" eb="6">
      <t>コウシン</t>
    </rPh>
    <rPh sb="6" eb="8">
      <t>トリヒキ</t>
    </rPh>
    <rPh sb="9" eb="10">
      <t>タダ</t>
    </rPh>
    <rPh sb="12" eb="13">
      <t>オコナ</t>
    </rPh>
    <phoneticPr fontId="2"/>
  </si>
  <si>
    <t>精査エラーが発生しても入力内容を修正することで更新取引が正常に行われる。
【画面遷移】
更新画面→[確認処理(精査NG)]→更新画面→[確認処理(精査OK)]→更新確認画面</t>
    <rPh sb="11" eb="13">
      <t>ニュウリョク</t>
    </rPh>
    <rPh sb="13" eb="15">
      <t>ナイヨウ</t>
    </rPh>
    <rPh sb="23" eb="25">
      <t>コウシン</t>
    </rPh>
    <rPh sb="25" eb="27">
      <t>トリヒキ</t>
    </rPh>
    <rPh sb="39" eb="41">
      <t>ガメン</t>
    </rPh>
    <rPh sb="41" eb="43">
      <t>センイ</t>
    </rPh>
    <rPh sb="45" eb="47">
      <t>コウシン</t>
    </rPh>
    <rPh sb="47" eb="49">
      <t>ガメン</t>
    </rPh>
    <rPh sb="51" eb="53">
      <t>カクニン</t>
    </rPh>
    <rPh sb="53" eb="55">
      <t>ショリ</t>
    </rPh>
    <rPh sb="56" eb="58">
      <t>セイサ</t>
    </rPh>
    <rPh sb="63" eb="65">
      <t>コウシン</t>
    </rPh>
    <rPh sb="65" eb="67">
      <t>ガメン</t>
    </rPh>
    <rPh sb="69" eb="71">
      <t>カクニン</t>
    </rPh>
    <rPh sb="71" eb="73">
      <t>ショリ</t>
    </rPh>
    <rPh sb="74" eb="76">
      <t>セイサ</t>
    </rPh>
    <rPh sb="81" eb="83">
      <t>コウシン</t>
    </rPh>
    <rPh sb="83" eb="85">
      <t>カクニン</t>
    </rPh>
    <rPh sb="85" eb="87">
      <t>ガメン</t>
    </rPh>
    <phoneticPr fontId="2"/>
  </si>
  <si>
    <t>「住所検索」ボタンを押下し、住所情報サブウィンドウが表示される。</t>
    <rPh sb="1" eb="3">
      <t>ジュウショ</t>
    </rPh>
    <rPh sb="3" eb="5">
      <t>ケンサク</t>
    </rPh>
    <rPh sb="10" eb="12">
      <t>オウカ</t>
    </rPh>
    <rPh sb="14" eb="16">
      <t>ジュウショ</t>
    </rPh>
    <rPh sb="16" eb="18">
      <t>ジョウホウ</t>
    </rPh>
    <rPh sb="26" eb="28">
      <t>ヒョウジ</t>
    </rPh>
    <phoneticPr fontId="2"/>
  </si>
  <si>
    <t>企業情報更新画面で「戻る」ボタン押下時の遷移先</t>
    <rPh sb="0" eb="2">
      <t>キギョウ</t>
    </rPh>
    <rPh sb="2" eb="4">
      <t>ジョウホウ</t>
    </rPh>
    <rPh sb="4" eb="6">
      <t>コウシン</t>
    </rPh>
    <rPh sb="6" eb="8">
      <t>ガメン</t>
    </rPh>
    <rPh sb="10" eb="11">
      <t>モド</t>
    </rPh>
    <rPh sb="16" eb="18">
      <t>オウカ</t>
    </rPh>
    <rPh sb="18" eb="19">
      <t>ジ</t>
    </rPh>
    <rPh sb="20" eb="22">
      <t>センイ</t>
    </rPh>
    <rPh sb="22" eb="23">
      <t>サキ</t>
    </rPh>
    <phoneticPr fontId="2"/>
  </si>
  <si>
    <t>企業情報更新確認画面で「戻る」ボタン押下時の遷移先</t>
    <rPh sb="0" eb="2">
      <t>キギョウ</t>
    </rPh>
    <rPh sb="2" eb="4">
      <t>ジョウホウ</t>
    </rPh>
    <rPh sb="4" eb="6">
      <t>コウシン</t>
    </rPh>
    <rPh sb="6" eb="8">
      <t>カクニン</t>
    </rPh>
    <rPh sb="8" eb="10">
      <t>ガメン</t>
    </rPh>
    <rPh sb="12" eb="13">
      <t>モド</t>
    </rPh>
    <rPh sb="18" eb="20">
      <t>オウカ</t>
    </rPh>
    <rPh sb="20" eb="21">
      <t>ジ</t>
    </rPh>
    <rPh sb="22" eb="24">
      <t>センイ</t>
    </rPh>
    <rPh sb="24" eb="25">
      <t>サキ</t>
    </rPh>
    <phoneticPr fontId="2"/>
  </si>
  <si>
    <t>企業情報更新画面の「確認」ボタン押下時、排他制御が正しく行われている。</t>
    <rPh sb="18" eb="19">
      <t>ジ</t>
    </rPh>
    <rPh sb="20" eb="22">
      <t>ハイタ</t>
    </rPh>
    <rPh sb="22" eb="24">
      <t>セイギョ</t>
    </rPh>
    <rPh sb="25" eb="26">
      <t>タダ</t>
    </rPh>
    <rPh sb="28" eb="29">
      <t>オコナ</t>
    </rPh>
    <phoneticPr fontId="2"/>
  </si>
  <si>
    <t xml:space="preserve">企業情報更新確認画面の「確定」ボタン押下時、排他制御が正しく行われている。
</t>
    <rPh sb="20" eb="21">
      <t>ジ</t>
    </rPh>
    <rPh sb="22" eb="24">
      <t>ハイタ</t>
    </rPh>
    <rPh sb="24" eb="26">
      <t>セイギョ</t>
    </rPh>
    <rPh sb="27" eb="28">
      <t>タダ</t>
    </rPh>
    <rPh sb="30" eb="31">
      <t>オコナ</t>
    </rPh>
    <phoneticPr fontId="2"/>
  </si>
  <si>
    <t>精査エラー発生後も、正しく取引を継続できる。</t>
    <rPh sb="0" eb="2">
      <t>セイサ</t>
    </rPh>
    <rPh sb="5" eb="7">
      <t>ハッセイ</t>
    </rPh>
    <rPh sb="7" eb="8">
      <t>ゴ</t>
    </rPh>
    <rPh sb="10" eb="11">
      <t>タダ</t>
    </rPh>
    <rPh sb="13" eb="15">
      <t>トリヒキ</t>
    </rPh>
    <rPh sb="16" eb="18">
      <t>ケイゾク</t>
    </rPh>
    <phoneticPr fontId="2"/>
  </si>
  <si>
    <t>排他制御エラー発生後も、正しく取引を継続できる。</t>
    <rPh sb="0" eb="2">
      <t>ハイタ</t>
    </rPh>
    <rPh sb="2" eb="4">
      <t>セイギョ</t>
    </rPh>
    <rPh sb="7" eb="9">
      <t>ハッセイ</t>
    </rPh>
    <rPh sb="9" eb="10">
      <t>ゴ</t>
    </rPh>
    <rPh sb="12" eb="13">
      <t>タダ</t>
    </rPh>
    <rPh sb="15" eb="17">
      <t>トリヒキ</t>
    </rPh>
    <rPh sb="18" eb="20">
      <t>ケイゾク</t>
    </rPh>
    <phoneticPr fontId="2"/>
  </si>
  <si>
    <t xml:space="preserve">・左記の通り画面遷移できる。
・更新画面で入力した内容が更新確認画面に表示される
・更新画面で入力した内容で更新される。
</t>
    <rPh sb="16" eb="18">
      <t>コウシン</t>
    </rPh>
    <rPh sb="18" eb="20">
      <t>ガメン</t>
    </rPh>
    <rPh sb="21" eb="23">
      <t>ニュウリョク</t>
    </rPh>
    <rPh sb="25" eb="27">
      <t>ナイヨウ</t>
    </rPh>
    <rPh sb="28" eb="30">
      <t>コウシン</t>
    </rPh>
    <rPh sb="30" eb="32">
      <t>カクニン</t>
    </rPh>
    <rPh sb="32" eb="34">
      <t>ガメン</t>
    </rPh>
    <rPh sb="35" eb="37">
      <t>ヒョウジ</t>
    </rPh>
    <rPh sb="47" eb="49">
      <t>ニュウリョク</t>
    </rPh>
    <rPh sb="51" eb="53">
      <t>ナイヨウ</t>
    </rPh>
    <rPh sb="54" eb="56">
      <t>コウシン</t>
    </rPh>
    <phoneticPr fontId="2"/>
  </si>
  <si>
    <t>リクエストID：XXX</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</si>
</sst>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yyyy/m/d;@"/>
    <numFmt numFmtId="177" formatCode="&quot;第&quot;0.00&quot;版&quot;"/>
    <numFmt numFmtId="178" formatCode="yyyy/mm/dd"/>
  </numFmts>
  <fonts count="25">
    <font>
      <sz val="10"/>
      <name val="VL Pゴシック"/>
      <family val="3"/>
    </font>
    <font>
      <sz val="11"/>
      <color theme="1"/>
      <name val="ＭＳ Ｐゴシック"/>
      <family val="2"/>
      <charset val="128"/>
      <scheme val="minor"/>
    </font>
    <font>
      <sz val="6"/>
      <name val="ＭＳ Ｐゴシック"/>
      <family val="3"/>
      <charset val="128"/>
    </font>
    <font>
      <sz val="11"/>
      <name val="ＭＳ Ｐゴシック"/>
      <family val="3"/>
      <charset val="128"/>
    </font>
    <font>
      <sz val="10"/>
      <name val="ＭＳ 明朝"/>
      <family val="1"/>
      <charset val="128"/>
    </font>
    <font>
      <sz val="9"/>
      <name val="ＭＳ 明朝"/>
      <family val="1"/>
      <charset val="128"/>
    </font>
    <font>
      <sz val="11"/>
      <name val="ＭＳ 明朝"/>
      <family val="1"/>
      <charset val="128"/>
    </font>
    <font>
      <sz val="18"/>
      <name val="ＭＳ 明朝"/>
      <family val="1"/>
      <charset val="128"/>
    </font>
    <font>
      <b/>
      <sz val="20"/>
      <name val="ＭＳ 明朝"/>
      <family val="1"/>
      <charset val="128"/>
    </font>
    <font>
      <u/>
      <sz val="14"/>
      <name val="ＭＳ 明朝"/>
      <family val="1"/>
      <charset val="128"/>
    </font>
    <font>
      <sz val="16"/>
      <name val="ＭＳ 明朝"/>
      <family val="1"/>
      <charset val="128"/>
    </font>
    <font>
      <sz val="14"/>
      <name val="ＭＳ 明朝"/>
      <family val="1"/>
      <charset val="128"/>
    </font>
    <font>
      <sz val="18"/>
      <name val="ＭＳ Ｐゴシック"/>
      <family val="3"/>
      <charset val="128"/>
    </font>
    <font>
      <sz val="10"/>
      <name val="ＭＳ ゴシック"/>
      <family val="3"/>
      <charset val="128"/>
    </font>
    <font>
      <sz val="13"/>
      <name val="ＭＳ 明朝"/>
      <family val="1"/>
      <charset val="128"/>
    </font>
    <font>
      <sz val="12"/>
      <name val="ＭＳ 明朝"/>
      <family val="1"/>
      <charset val="128"/>
    </font>
    <font>
      <b/>
      <sz val="9"/>
      <name val="ＭＳ 明朝"/>
      <family val="1"/>
      <charset val="128"/>
    </font>
    <font>
      <sz val="9"/>
      <color rgb="FF000000"/>
      <name val="ＭＳ 明朝"/>
      <family val="1"/>
      <charset val="128"/>
    </font>
    <font>
      <sz val="9"/>
      <color theme="1"/>
      <name val="メイリオ"/>
      <family val="2"/>
      <charset val="128"/>
    </font>
    <font>
      <sz val="6"/>
      <name val="メイリオ"/>
      <family val="2"/>
      <charset val="128"/>
    </font>
    <font>
      <sz val="9"/>
      <color theme="0" tint="-0.14999847407452621"/>
      <name val="ＭＳ 明朝"/>
      <family val="1"/>
      <charset val="128"/>
    </font>
    <font>
      <sz val="10"/>
      <name val="ＭＳ Ｐゴシック"/>
      <family val="3"/>
      <charset val="128"/>
    </font>
    <font>
      <u/>
      <sz val="11"/>
      <color indexed="12"/>
      <name val="ＭＳ Ｐゴシック"/>
      <family val="3"/>
      <charset val="128"/>
    </font>
    <font>
      <sz val="9"/>
      <color rgb="FFFF0000"/>
      <name val="ＭＳ 明朝"/>
      <family val="1"/>
      <charset val="128"/>
    </font>
    <font>
      <b/>
      <sz val="9"/>
      <color theme="0" tint="-0.14999847407452621"/>
      <name val="ＭＳ 明朝"/>
      <family val="1"/>
      <charset val="128"/>
    </font>
  </fonts>
  <fills count="6">
    <fill>
      <patternFill patternType="none"/>
    </fill>
    <fill>
      <patternFill patternType="gray125"/>
    </fill>
    <fill>
      <patternFill patternType="solid">
        <fgColor theme="0" tint="-0.24994659260841701"/>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1" tint="0.499984740745262"/>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right/>
      <top/>
      <bottom style="double">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0"/>
      </left>
      <right style="thin">
        <color indexed="0"/>
      </right>
      <top style="thin">
        <color indexed="64"/>
      </top>
      <bottom style="thin">
        <color indexed="0"/>
      </bottom>
      <diagonal/>
    </border>
    <border>
      <left style="thin">
        <color indexed="0"/>
      </left>
      <right style="thin">
        <color indexed="0"/>
      </right>
      <top style="thin">
        <color indexed="0"/>
      </top>
      <bottom style="thin">
        <color indexed="0"/>
      </bottom>
      <diagonal/>
    </border>
    <border>
      <left style="thin">
        <color indexed="64"/>
      </left>
      <right style="thin">
        <color indexed="64"/>
      </right>
      <top style="thin">
        <color indexed="64"/>
      </top>
      <bottom style="thin">
        <color indexed="0"/>
      </bottom>
      <diagonal/>
    </border>
    <border>
      <left style="thin">
        <color indexed="64"/>
      </left>
      <right style="thin">
        <color indexed="0"/>
      </right>
      <top style="thin">
        <color indexed="64"/>
      </top>
      <bottom style="thin">
        <color indexed="0"/>
      </bottom>
      <diagonal/>
    </border>
    <border>
      <left style="thin">
        <color indexed="64"/>
      </left>
      <right style="thin">
        <color indexed="0"/>
      </right>
      <top style="thin">
        <color indexed="0"/>
      </top>
      <bottom style="thin">
        <color indexed="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0"/>
      </top>
      <bottom style="thin">
        <color indexed="0"/>
      </bottom>
      <diagonal/>
    </border>
    <border>
      <left style="thin">
        <color indexed="64"/>
      </left>
      <right/>
      <top style="thin">
        <color indexed="64"/>
      </top>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0"/>
      </top>
      <bottom/>
      <diagonal/>
    </border>
    <border>
      <left style="thin">
        <color indexed="64"/>
      </left>
      <right/>
      <top style="thin">
        <color indexed="0"/>
      </top>
      <bottom style="thin">
        <color indexed="0"/>
      </bottom>
      <diagonal/>
    </border>
    <border>
      <left style="thin">
        <color indexed="64"/>
      </left>
      <right style="thin">
        <color indexed="64"/>
      </right>
      <top/>
      <bottom style="thin">
        <color indexed="0"/>
      </bottom>
      <diagonal/>
    </border>
    <border>
      <left style="thin">
        <color indexed="64"/>
      </left>
      <right/>
      <top/>
      <bottom style="thin">
        <color indexed="0"/>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right style="thin">
        <color indexed="64"/>
      </right>
      <top/>
      <bottom/>
      <diagonal/>
    </border>
    <border>
      <left style="thin">
        <color indexed="0"/>
      </left>
      <right style="thin">
        <color indexed="0"/>
      </right>
      <top style="thin">
        <color indexed="0"/>
      </top>
      <bottom/>
      <diagonal/>
    </border>
    <border>
      <left/>
      <right/>
      <top style="thin">
        <color indexed="64"/>
      </top>
      <bottom/>
      <diagonal/>
    </border>
    <border>
      <left style="thin">
        <color indexed="64"/>
      </left>
      <right/>
      <top style="thin">
        <color indexed="64"/>
      </top>
      <bottom style="thin">
        <color indexed="0"/>
      </bottom>
      <diagonal/>
    </border>
    <border>
      <left/>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hair">
        <color indexed="64"/>
      </top>
      <bottom/>
      <diagonal/>
    </border>
    <border>
      <left style="thin">
        <color indexed="64"/>
      </left>
      <right/>
      <top style="hair">
        <color indexed="64"/>
      </top>
      <bottom/>
      <diagonal/>
    </border>
    <border>
      <left style="thin">
        <color indexed="64"/>
      </left>
      <right style="thin">
        <color indexed="0"/>
      </right>
      <top/>
      <bottom style="thin">
        <color indexed="0"/>
      </bottom>
      <diagonal/>
    </border>
    <border>
      <left style="thin">
        <color indexed="0"/>
      </left>
      <right style="thin">
        <color indexed="0"/>
      </right>
      <top/>
      <bottom style="thin">
        <color indexed="0"/>
      </bottom>
      <diagonal/>
    </border>
    <border>
      <left style="thin">
        <color indexed="64"/>
      </left>
      <right style="thin">
        <color indexed="0"/>
      </right>
      <top style="thin">
        <color indexed="0"/>
      </top>
      <bottom/>
      <diagonal/>
    </border>
    <border>
      <left style="thin">
        <color indexed="64"/>
      </left>
      <right style="thin">
        <color indexed="64"/>
      </right>
      <top style="thin">
        <color indexed="0"/>
      </top>
      <bottom style="thin">
        <color indexed="64"/>
      </bottom>
      <diagonal/>
    </border>
  </borders>
  <cellStyleXfs count="9">
    <xf numFmtId="0" fontId="0" fillId="0" borderId="0"/>
    <xf numFmtId="0" fontId="5" fillId="0" borderId="0"/>
    <xf numFmtId="0" fontId="3" fillId="0" borderId="0"/>
    <xf numFmtId="0" fontId="5" fillId="0" borderId="0"/>
    <xf numFmtId="0" fontId="5" fillId="0" borderId="0"/>
    <xf numFmtId="0" fontId="13" fillId="0" borderId="0"/>
    <xf numFmtId="9" fontId="5" fillId="0" borderId="0" applyFont="0" applyFill="0" applyBorder="0" applyAlignment="0" applyProtection="0"/>
    <xf numFmtId="0" fontId="5" fillId="0" borderId="0"/>
    <xf numFmtId="0" fontId="18" fillId="0" borderId="0">
      <alignment vertical="center"/>
    </xf>
  </cellStyleXfs>
  <cellXfs count="351">
    <xf numFmtId="0" fontId="0" fillId="0" borderId="0" xfId="0"/>
    <xf numFmtId="0" fontId="5" fillId="0" borderId="1" xfId="0" applyFont="1" applyBorder="1" applyAlignment="1">
      <alignment vertical="top" wrapText="1"/>
    </xf>
    <xf numFmtId="0" fontId="5" fillId="0" borderId="1" xfId="0" applyFont="1" applyBorder="1" applyAlignment="1">
      <alignment horizontal="left" vertical="top" wrapText="1"/>
    </xf>
    <xf numFmtId="0" fontId="6" fillId="0" borderId="0" xfId="3" applyFont="1"/>
    <xf numFmtId="0" fontId="7" fillId="0" borderId="0" xfId="3" applyFont="1"/>
    <xf numFmtId="0" fontId="8" fillId="0" borderId="0" xfId="3" applyFont="1"/>
    <xf numFmtId="0" fontId="9" fillId="0" borderId="0" xfId="3" applyFont="1" applyBorder="1"/>
    <xf numFmtId="0" fontId="10" fillId="0" borderId="0" xfId="3" applyFont="1"/>
    <xf numFmtId="177" fontId="11" fillId="0" borderId="0" xfId="4" quotePrefix="1" applyNumberFormat="1" applyFont="1" applyAlignment="1">
      <alignment horizontal="center"/>
    </xf>
    <xf numFmtId="0" fontId="10" fillId="0" borderId="0" xfId="3" applyFont="1" applyAlignment="1">
      <alignment horizontal="center"/>
    </xf>
    <xf numFmtId="31" fontId="10" fillId="0" borderId="0" xfId="3" applyNumberFormat="1" applyFont="1"/>
    <xf numFmtId="0" fontId="14" fillId="0" borderId="0" xfId="5" applyFont="1" applyAlignment="1">
      <alignment horizontal="center"/>
    </xf>
    <xf numFmtId="0" fontId="15" fillId="0" borderId="0" xfId="3" applyFont="1" applyAlignment="1">
      <alignment horizontal="center"/>
    </xf>
    <xf numFmtId="0" fontId="5" fillId="0" borderId="0" xfId="4" applyFont="1" applyBorder="1" applyAlignment="1"/>
    <xf numFmtId="0" fontId="5" fillId="0" borderId="0" xfId="4" applyFont="1" applyAlignment="1">
      <alignment horizontal="right"/>
    </xf>
    <xf numFmtId="0" fontId="5" fillId="0" borderId="0" xfId="4" applyFont="1" applyFill="1" applyBorder="1" applyAlignment="1">
      <alignment vertical="top"/>
    </xf>
    <xf numFmtId="0" fontId="5" fillId="0" borderId="0" xfId="4" applyFont="1" applyBorder="1" applyAlignment="1">
      <alignment vertical="top"/>
    </xf>
    <xf numFmtId="0" fontId="11" fillId="0" borderId="0" xfId="4" applyFont="1"/>
    <xf numFmtId="0" fontId="5" fillId="0" borderId="0" xfId="4" applyFont="1" applyBorder="1" applyAlignment="1">
      <alignment horizontal="center" vertical="center"/>
    </xf>
    <xf numFmtId="0" fontId="5" fillId="0" borderId="0" xfId="4" quotePrefix="1" applyFont="1" applyBorder="1" applyAlignment="1">
      <alignment vertical="center"/>
    </xf>
    <xf numFmtId="0" fontId="5" fillId="0" borderId="0" xfId="4" applyFont="1" applyBorder="1" applyAlignment="1">
      <alignment vertical="center"/>
    </xf>
    <xf numFmtId="0" fontId="5" fillId="0" borderId="29" xfId="3" applyFont="1" applyBorder="1" applyAlignment="1">
      <alignment horizontal="center" vertical="center"/>
    </xf>
    <xf numFmtId="0" fontId="5" fillId="0" borderId="0" xfId="4" applyFont="1" applyAlignment="1">
      <alignment horizontal="left" vertical="center"/>
    </xf>
    <xf numFmtId="0" fontId="5" fillId="0" borderId="1" xfId="3" applyFont="1" applyBorder="1" applyAlignment="1">
      <alignment horizontal="right" vertical="top"/>
    </xf>
    <xf numFmtId="0" fontId="5" fillId="0" borderId="0" xfId="3" applyFont="1"/>
    <xf numFmtId="0" fontId="15" fillId="0" borderId="0" xfId="3" applyFont="1"/>
    <xf numFmtId="0" fontId="5" fillId="0" borderId="16" xfId="0" applyFont="1" applyBorder="1" applyAlignment="1">
      <alignment horizontal="center" vertical="top"/>
    </xf>
    <xf numFmtId="0" fontId="5" fillId="0" borderId="30" xfId="0" applyFont="1" applyBorder="1" applyAlignment="1">
      <alignment horizontal="left" vertical="top"/>
    </xf>
    <xf numFmtId="0" fontId="5" fillId="0" borderId="32" xfId="0" applyFont="1" applyBorder="1" applyAlignment="1">
      <alignment horizontal="left" vertical="top"/>
    </xf>
    <xf numFmtId="0" fontId="5" fillId="0" borderId="31" xfId="0" applyFont="1" applyBorder="1" applyAlignment="1">
      <alignment horizontal="left" vertical="top"/>
    </xf>
    <xf numFmtId="0" fontId="5" fillId="0" borderId="0" xfId="2" applyFont="1"/>
    <xf numFmtId="49" fontId="5" fillId="0" borderId="0" xfId="2" applyNumberFormat="1" applyFont="1"/>
    <xf numFmtId="0" fontId="5" fillId="0" borderId="2" xfId="2" applyFont="1" applyBorder="1"/>
    <xf numFmtId="49" fontId="5" fillId="0" borderId="2" xfId="2" applyNumberFormat="1" applyFont="1" applyBorder="1"/>
    <xf numFmtId="0" fontId="5" fillId="3" borderId="1" xfId="0" applyFont="1" applyFill="1" applyBorder="1" applyAlignment="1">
      <alignment vertical="center"/>
    </xf>
    <xf numFmtId="0" fontId="5" fillId="3" borderId="1" xfId="2" applyFont="1" applyFill="1" applyBorder="1" applyAlignment="1">
      <alignment vertical="center"/>
    </xf>
    <xf numFmtId="49" fontId="5" fillId="3" borderId="1" xfId="2" applyNumberFormat="1" applyFont="1" applyFill="1" applyBorder="1" applyAlignment="1">
      <alignment vertical="center"/>
    </xf>
    <xf numFmtId="0" fontId="5" fillId="0" borderId="0" xfId="2" applyFont="1" applyAlignment="1">
      <alignment vertical="center"/>
    </xf>
    <xf numFmtId="49" fontId="5" fillId="0" borderId="1" xfId="2" applyNumberFormat="1" applyFont="1" applyFill="1" applyBorder="1" applyAlignment="1">
      <alignment vertical="top" wrapText="1"/>
    </xf>
    <xf numFmtId="0" fontId="17" fillId="0" borderId="1" xfId="0" applyFont="1" applyFill="1" applyBorder="1" applyAlignment="1">
      <alignment horizontal="left" vertical="top" wrapText="1"/>
    </xf>
    <xf numFmtId="0" fontId="17" fillId="0" borderId="4" xfId="1" applyFont="1" applyFill="1" applyBorder="1" applyAlignment="1">
      <alignment vertical="top" wrapText="1"/>
    </xf>
    <xf numFmtId="0" fontId="17" fillId="0" borderId="14" xfId="1" applyFont="1" applyFill="1" applyBorder="1" applyAlignment="1">
      <alignment vertical="top" wrapText="1"/>
    </xf>
    <xf numFmtId="0" fontId="17" fillId="0" borderId="23" xfId="1" applyFont="1" applyFill="1" applyBorder="1" applyAlignment="1">
      <alignment vertical="top" wrapText="1"/>
    </xf>
    <xf numFmtId="0" fontId="17" fillId="0" borderId="1" xfId="1" applyFont="1" applyFill="1" applyBorder="1" applyAlignment="1">
      <alignment vertical="top" wrapText="1"/>
    </xf>
    <xf numFmtId="0" fontId="5" fillId="0" borderId="8" xfId="2" applyFont="1" applyFill="1" applyBorder="1" applyAlignment="1">
      <alignment vertical="center"/>
    </xf>
    <xf numFmtId="0" fontId="5" fillId="0" borderId="5" xfId="2" applyFont="1" applyFill="1" applyBorder="1" applyAlignment="1">
      <alignment vertical="center"/>
    </xf>
    <xf numFmtId="0" fontId="17" fillId="0" borderId="3" xfId="1" applyFont="1" applyFill="1" applyBorder="1" applyAlignment="1">
      <alignment vertical="top" wrapText="1"/>
    </xf>
    <xf numFmtId="0" fontId="17" fillId="0" borderId="16" xfId="1" applyFont="1" applyFill="1" applyBorder="1" applyAlignment="1">
      <alignment vertical="top" wrapText="1"/>
    </xf>
    <xf numFmtId="0" fontId="17" fillId="0" borderId="7" xfId="1" applyFont="1" applyFill="1" applyBorder="1" applyAlignment="1">
      <alignment vertical="top" wrapText="1"/>
    </xf>
    <xf numFmtId="0" fontId="17" fillId="0" borderId="21" xfId="1" applyFont="1" applyFill="1" applyBorder="1" applyAlignment="1">
      <alignment vertical="top" wrapText="1"/>
    </xf>
    <xf numFmtId="0" fontId="17" fillId="0" borderId="22" xfId="1" applyFont="1" applyFill="1" applyBorder="1" applyAlignment="1">
      <alignment vertical="top" wrapText="1"/>
    </xf>
    <xf numFmtId="0" fontId="17" fillId="0" borderId="3" xfId="1" applyFont="1" applyFill="1" applyBorder="1" applyAlignment="1">
      <alignment vertical="top"/>
    </xf>
    <xf numFmtId="0" fontId="17" fillId="0" borderId="14" xfId="1" applyFont="1" applyFill="1" applyBorder="1" applyAlignment="1">
      <alignment vertical="top"/>
    </xf>
    <xf numFmtId="0" fontId="17" fillId="0" borderId="23" xfId="1" applyFont="1" applyFill="1" applyBorder="1" applyAlignment="1">
      <alignment vertical="top"/>
    </xf>
    <xf numFmtId="0" fontId="17" fillId="0" borderId="13" xfId="1" applyFont="1" applyFill="1" applyBorder="1" applyAlignment="1">
      <alignment vertical="top" wrapText="1"/>
    </xf>
    <xf numFmtId="0" fontId="5" fillId="0" borderId="9" xfId="2" applyFont="1" applyFill="1" applyBorder="1" applyAlignment="1">
      <alignment vertical="center"/>
    </xf>
    <xf numFmtId="0" fontId="5" fillId="0" borderId="6" xfId="2" applyFont="1" applyFill="1" applyBorder="1" applyAlignment="1">
      <alignment vertical="center"/>
    </xf>
    <xf numFmtId="0" fontId="17" fillId="0" borderId="21" xfId="1" applyFont="1" applyFill="1" applyBorder="1" applyAlignment="1">
      <alignment vertical="top"/>
    </xf>
    <xf numFmtId="0" fontId="17" fillId="0" borderId="22" xfId="1" applyFont="1" applyFill="1" applyBorder="1" applyAlignment="1">
      <alignment vertical="top"/>
    </xf>
    <xf numFmtId="0" fontId="17" fillId="0" borderId="10" xfId="1" applyFont="1" applyFill="1" applyBorder="1" applyAlignment="1">
      <alignment vertical="top"/>
    </xf>
    <xf numFmtId="0" fontId="17" fillId="0" borderId="12" xfId="1" applyFont="1" applyFill="1" applyBorder="1" applyAlignment="1">
      <alignment vertical="top"/>
    </xf>
    <xf numFmtId="0" fontId="17" fillId="0" borderId="4" xfId="1" applyFont="1" applyFill="1" applyBorder="1" applyAlignment="1">
      <alignment vertical="top"/>
    </xf>
    <xf numFmtId="0" fontId="17" fillId="0" borderId="17" xfId="1" applyFont="1" applyFill="1" applyBorder="1" applyAlignment="1">
      <alignment vertical="top" wrapText="1"/>
    </xf>
    <xf numFmtId="0" fontId="17" fillId="0" borderId="16" xfId="1" applyFont="1" applyFill="1" applyBorder="1" applyAlignment="1">
      <alignment vertical="top"/>
    </xf>
    <xf numFmtId="0" fontId="5" fillId="0" borderId="9" xfId="2" applyFont="1" applyBorder="1" applyAlignment="1">
      <alignment vertical="center"/>
    </xf>
    <xf numFmtId="0" fontId="5" fillId="0" borderId="6" xfId="2" applyFont="1" applyBorder="1" applyAlignment="1">
      <alignment vertical="center"/>
    </xf>
    <xf numFmtId="49" fontId="5" fillId="0" borderId="0" xfId="2" applyNumberFormat="1" applyFont="1" applyAlignment="1">
      <alignment vertical="center"/>
    </xf>
    <xf numFmtId="0" fontId="5" fillId="0" borderId="1" xfId="0" applyFont="1" applyFill="1" applyBorder="1" applyAlignment="1">
      <alignment horizontal="left" vertical="top" wrapText="1"/>
    </xf>
    <xf numFmtId="0" fontId="5" fillId="3" borderId="4" xfId="0" applyFont="1" applyFill="1" applyBorder="1" applyAlignment="1">
      <alignment vertical="center"/>
    </xf>
    <xf numFmtId="0" fontId="5" fillId="3" borderId="4" xfId="2" applyFont="1" applyFill="1" applyBorder="1" applyAlignment="1">
      <alignment vertical="center" wrapText="1"/>
    </xf>
    <xf numFmtId="0" fontId="5" fillId="3" borderId="4" xfId="2" applyFont="1" applyFill="1" applyBorder="1" applyAlignment="1">
      <alignment vertical="top" wrapText="1"/>
    </xf>
    <xf numFmtId="49" fontId="5" fillId="3" borderId="4" xfId="2" applyNumberFormat="1" applyFont="1" applyFill="1" applyBorder="1" applyAlignment="1">
      <alignment vertical="center"/>
    </xf>
    <xf numFmtId="0" fontId="5" fillId="3" borderId="4" xfId="2" applyFont="1" applyFill="1" applyBorder="1" applyAlignment="1">
      <alignment vertical="center"/>
    </xf>
    <xf numFmtId="0" fontId="5" fillId="3" borderId="14" xfId="2" applyFont="1" applyFill="1" applyBorder="1" applyAlignment="1">
      <alignment vertical="center"/>
    </xf>
    <xf numFmtId="0" fontId="5" fillId="0" borderId="1" xfId="2" applyFont="1" applyBorder="1" applyAlignment="1">
      <alignment vertical="top" wrapText="1"/>
    </xf>
    <xf numFmtId="0" fontId="5" fillId="4" borderId="4" xfId="8" applyFont="1" applyFill="1" applyBorder="1" applyAlignment="1">
      <alignment horizontal="left" vertical="top" wrapText="1"/>
    </xf>
    <xf numFmtId="0" fontId="5" fillId="4" borderId="3" xfId="8" applyFont="1" applyFill="1" applyBorder="1" applyAlignment="1">
      <alignment horizontal="left" vertical="top" wrapText="1"/>
    </xf>
    <xf numFmtId="0" fontId="17" fillId="5" borderId="1" xfId="1" applyFont="1" applyFill="1" applyBorder="1" applyAlignment="1">
      <alignment horizontal="left" vertical="top" wrapText="1" shrinkToFit="1"/>
    </xf>
    <xf numFmtId="49" fontId="5" fillId="5" borderId="1" xfId="2" applyNumberFormat="1" applyFont="1" applyFill="1" applyBorder="1" applyAlignment="1">
      <alignment horizontal="left" vertical="top" wrapText="1"/>
    </xf>
    <xf numFmtId="176" fontId="5" fillId="5" borderId="1" xfId="2" applyNumberFormat="1" applyFont="1" applyFill="1" applyBorder="1" applyAlignment="1">
      <alignment horizontal="left" vertical="top" wrapText="1"/>
    </xf>
    <xf numFmtId="14" fontId="5" fillId="5" borderId="1" xfId="2" applyNumberFormat="1" applyFont="1" applyFill="1" applyBorder="1" applyAlignment="1">
      <alignment horizontal="left" vertical="top" wrapText="1"/>
    </xf>
    <xf numFmtId="0" fontId="5" fillId="5" borderId="1" xfId="2" applyFont="1" applyFill="1" applyBorder="1" applyAlignment="1">
      <alignment horizontal="left" vertical="top" wrapText="1"/>
    </xf>
    <xf numFmtId="0" fontId="20" fillId="0" borderId="24" xfId="8" applyFont="1" applyBorder="1" applyAlignment="1">
      <alignment horizontal="left" vertical="top" wrapText="1"/>
    </xf>
    <xf numFmtId="0" fontId="20" fillId="4" borderId="24" xfId="8" applyFont="1" applyFill="1" applyBorder="1" applyAlignment="1">
      <alignment horizontal="left" vertical="top" wrapText="1"/>
    </xf>
    <xf numFmtId="0" fontId="5" fillId="4" borderId="1" xfId="8" applyFont="1" applyFill="1" applyBorder="1" applyAlignment="1">
      <alignment horizontal="left" vertical="top" wrapText="1"/>
    </xf>
    <xf numFmtId="0" fontId="5" fillId="5" borderId="1" xfId="8" applyFont="1" applyFill="1" applyBorder="1" applyAlignment="1">
      <alignment horizontal="left" vertical="top" wrapText="1"/>
    </xf>
    <xf numFmtId="0" fontId="5" fillId="4" borderId="21" xfId="8" applyFont="1" applyFill="1" applyBorder="1" applyAlignment="1">
      <alignment horizontal="left" vertical="top" wrapText="1"/>
    </xf>
    <xf numFmtId="0" fontId="5" fillId="4" borderId="16" xfId="8" applyFont="1" applyFill="1" applyBorder="1" applyAlignment="1">
      <alignment horizontal="left" vertical="top" wrapText="1"/>
    </xf>
    <xf numFmtId="0" fontId="17" fillId="5" borderId="1" xfId="1" applyFont="1" applyFill="1" applyBorder="1" applyAlignment="1">
      <alignment horizontal="left" vertical="top" wrapText="1"/>
    </xf>
    <xf numFmtId="0" fontId="5" fillId="4" borderId="15" xfId="8" applyFont="1" applyFill="1" applyBorder="1" applyAlignment="1">
      <alignment horizontal="left" vertical="top" wrapText="1"/>
    </xf>
    <xf numFmtId="0" fontId="5" fillId="4" borderId="14" xfId="8" applyFont="1" applyFill="1" applyBorder="1" applyAlignment="1">
      <alignment horizontal="left" vertical="top" wrapText="1"/>
    </xf>
    <xf numFmtId="0" fontId="20" fillId="4" borderId="3" xfId="8" applyFont="1" applyFill="1" applyBorder="1" applyAlignment="1">
      <alignment horizontal="left" vertical="top" wrapText="1"/>
    </xf>
    <xf numFmtId="0" fontId="5" fillId="0" borderId="4" xfId="8" applyFont="1" applyBorder="1" applyAlignment="1">
      <alignment horizontal="left" vertical="top" wrapText="1"/>
    </xf>
    <xf numFmtId="0" fontId="5" fillId="0" borderId="1" xfId="8" applyFont="1" applyBorder="1" applyAlignment="1">
      <alignment horizontal="left" vertical="top" wrapText="1"/>
    </xf>
    <xf numFmtId="49" fontId="5" fillId="0" borderId="1" xfId="2" applyNumberFormat="1" applyFont="1" applyBorder="1" applyAlignment="1">
      <alignment horizontal="left" vertical="top" wrapText="1"/>
    </xf>
    <xf numFmtId="0" fontId="5" fillId="0" borderId="1" xfId="2" applyFont="1" applyBorder="1" applyAlignment="1">
      <alignment horizontal="left" vertical="top" wrapText="1"/>
    </xf>
    <xf numFmtId="0" fontId="5" fillId="0" borderId="3" xfId="8" applyFont="1" applyBorder="1" applyAlignment="1">
      <alignment horizontal="left" vertical="top" wrapText="1"/>
    </xf>
    <xf numFmtId="14" fontId="5" fillId="0" borderId="1" xfId="2" applyNumberFormat="1" applyFont="1" applyBorder="1" applyAlignment="1">
      <alignment horizontal="left" vertical="top" wrapText="1"/>
    </xf>
    <xf numFmtId="176" fontId="5" fillId="0" borderId="1" xfId="2" applyNumberFormat="1" applyFont="1" applyBorder="1" applyAlignment="1">
      <alignment horizontal="left" vertical="top" wrapText="1"/>
    </xf>
    <xf numFmtId="0" fontId="17" fillId="0" borderId="1" xfId="1" applyFont="1" applyBorder="1" applyAlignment="1">
      <alignment horizontal="left" vertical="top" wrapText="1"/>
    </xf>
    <xf numFmtId="0" fontId="5" fillId="5" borderId="24" xfId="8" applyFont="1" applyFill="1" applyBorder="1" applyAlignment="1">
      <alignment horizontal="left" vertical="top" wrapText="1"/>
    </xf>
    <xf numFmtId="0" fontId="17" fillId="5" borderId="1" xfId="0" applyFont="1" applyFill="1" applyBorder="1" applyAlignment="1">
      <alignment horizontal="left" vertical="top" wrapText="1"/>
    </xf>
    <xf numFmtId="0" fontId="20" fillId="5" borderId="24" xfId="8" applyFont="1" applyFill="1" applyBorder="1" applyAlignment="1">
      <alignment horizontal="left" vertical="top" wrapText="1"/>
    </xf>
    <xf numFmtId="0" fontId="5" fillId="5" borderId="3" xfId="8" applyFont="1" applyFill="1" applyBorder="1" applyAlignment="1">
      <alignment horizontal="left" vertical="top" wrapText="1"/>
    </xf>
    <xf numFmtId="0" fontId="5" fillId="5" borderId="4" xfId="8" applyFont="1" applyFill="1" applyBorder="1" applyAlignment="1">
      <alignment horizontal="left" vertical="top" wrapText="1"/>
    </xf>
    <xf numFmtId="0" fontId="5" fillId="5" borderId="16" xfId="8" applyFont="1" applyFill="1" applyBorder="1" applyAlignment="1">
      <alignment horizontal="left" vertical="top" wrapText="1"/>
    </xf>
    <xf numFmtId="0" fontId="5" fillId="5" borderId="14" xfId="8" applyFont="1" applyFill="1" applyBorder="1" applyAlignment="1">
      <alignment horizontal="left" vertical="top" wrapText="1"/>
    </xf>
    <xf numFmtId="0" fontId="20" fillId="5" borderId="15" xfId="8" applyFont="1" applyFill="1" applyBorder="1" applyAlignment="1">
      <alignment horizontal="left" vertical="top" wrapText="1"/>
    </xf>
    <xf numFmtId="0" fontId="20" fillId="5" borderId="16" xfId="8" applyFont="1" applyFill="1" applyBorder="1" applyAlignment="1">
      <alignment horizontal="left" vertical="top" wrapText="1"/>
    </xf>
    <xf numFmtId="0" fontId="5" fillId="5" borderId="15" xfId="8" applyFont="1" applyFill="1" applyBorder="1" applyAlignment="1">
      <alignment horizontal="left" vertical="top" wrapText="1"/>
    </xf>
    <xf numFmtId="0" fontId="5" fillId="5" borderId="26" xfId="8" applyFont="1" applyFill="1" applyBorder="1" applyAlignment="1">
      <alignment horizontal="left" vertical="top" wrapText="1"/>
    </xf>
    <xf numFmtId="0" fontId="20" fillId="5" borderId="22" xfId="8" applyFont="1" applyFill="1" applyBorder="1" applyAlignment="1">
      <alignment horizontal="left" vertical="top" wrapText="1"/>
    </xf>
    <xf numFmtId="0" fontId="5" fillId="4" borderId="1" xfId="2" applyFont="1" applyFill="1" applyBorder="1" applyAlignment="1">
      <alignment horizontal="left" vertical="top" wrapText="1"/>
    </xf>
    <xf numFmtId="0" fontId="5" fillId="4" borderId="23" xfId="8" applyFont="1" applyFill="1" applyBorder="1" applyAlignment="1">
      <alignment horizontal="left" vertical="top" wrapText="1"/>
    </xf>
    <xf numFmtId="0" fontId="5" fillId="4" borderId="24" xfId="8" applyFont="1" applyFill="1" applyBorder="1" applyAlignment="1">
      <alignment horizontal="left" vertical="top" wrapText="1"/>
    </xf>
    <xf numFmtId="0" fontId="5" fillId="4" borderId="22" xfId="8" applyFont="1" applyFill="1" applyBorder="1" applyAlignment="1">
      <alignment horizontal="left" vertical="top" wrapText="1"/>
    </xf>
    <xf numFmtId="0" fontId="5" fillId="5" borderId="10" xfId="8" applyFont="1" applyFill="1" applyBorder="1" applyAlignment="1">
      <alignment horizontal="left" vertical="top" wrapText="1"/>
    </xf>
    <xf numFmtId="0" fontId="5" fillId="5" borderId="21" xfId="8" applyFont="1" applyFill="1" applyBorder="1" applyAlignment="1">
      <alignment horizontal="left" vertical="top" wrapText="1"/>
    </xf>
    <xf numFmtId="0" fontId="5" fillId="5" borderId="0" xfId="8" applyFont="1" applyFill="1" applyAlignment="1">
      <alignment horizontal="left" vertical="top" wrapText="1"/>
    </xf>
    <xf numFmtId="0" fontId="16" fillId="5" borderId="16" xfId="8" applyFont="1" applyFill="1" applyBorder="1" applyAlignment="1">
      <alignment horizontal="left" vertical="top" wrapText="1"/>
    </xf>
    <xf numFmtId="0" fontId="5" fillId="5" borderId="22" xfId="8" applyFont="1" applyFill="1" applyBorder="1" applyAlignment="1">
      <alignment horizontal="left" vertical="top" wrapText="1"/>
    </xf>
    <xf numFmtId="49" fontId="5" fillId="0" borderId="0" xfId="2" applyNumberFormat="1" applyFont="1" applyAlignment="1">
      <alignment horizontal="left" vertical="top" wrapText="1"/>
    </xf>
    <xf numFmtId="49" fontId="5" fillId="0" borderId="2" xfId="2" applyNumberFormat="1" applyFont="1" applyBorder="1" applyAlignment="1">
      <alignment horizontal="left" vertical="top" wrapText="1"/>
    </xf>
    <xf numFmtId="0" fontId="5" fillId="4" borderId="1" xfId="0" applyFont="1" applyFill="1" applyBorder="1" applyAlignment="1">
      <alignment horizontal="left" vertical="top" wrapText="1"/>
    </xf>
    <xf numFmtId="0" fontId="5" fillId="4" borderId="1" xfId="0" applyFont="1" applyFill="1" applyBorder="1" applyAlignment="1">
      <alignment vertical="top" wrapText="1"/>
    </xf>
    <xf numFmtId="49" fontId="5" fillId="4" borderId="1" xfId="2" applyNumberFormat="1" applyFont="1" applyFill="1" applyBorder="1" applyAlignment="1">
      <alignment horizontal="left" vertical="top" wrapText="1"/>
    </xf>
    <xf numFmtId="0" fontId="17" fillId="4" borderId="1" xfId="1" applyFont="1" applyFill="1" applyBorder="1" applyAlignment="1">
      <alignment horizontal="left" vertical="top" wrapText="1" shrinkToFit="1"/>
    </xf>
    <xf numFmtId="0" fontId="5" fillId="0" borderId="4" xfId="0" applyFont="1" applyBorder="1" applyAlignment="1">
      <alignment vertical="top" wrapText="1"/>
    </xf>
    <xf numFmtId="0" fontId="17" fillId="4" borderId="1" xfId="1" applyFont="1" applyFill="1" applyBorder="1" applyAlignment="1">
      <alignment horizontal="left" vertical="top" wrapText="1"/>
    </xf>
    <xf numFmtId="0" fontId="5" fillId="4" borderId="1" xfId="8" applyFont="1" applyFill="1" applyBorder="1" applyAlignment="1">
      <alignment vertical="top" wrapText="1"/>
    </xf>
    <xf numFmtId="0" fontId="20" fillId="0" borderId="0" xfId="8" applyFont="1" applyAlignment="1">
      <alignment horizontal="left" vertical="top" wrapText="1"/>
    </xf>
    <xf numFmtId="49" fontId="17" fillId="4" borderId="19" xfId="1" applyNumberFormat="1" applyFont="1" applyFill="1" applyBorder="1" applyAlignment="1">
      <alignment horizontal="left" vertical="top" wrapText="1"/>
    </xf>
    <xf numFmtId="0" fontId="5" fillId="3" borderId="4" xfId="0" applyFont="1" applyFill="1" applyBorder="1" applyAlignment="1">
      <alignment vertical="top"/>
    </xf>
    <xf numFmtId="176" fontId="5" fillId="4" borderId="1" xfId="2" applyNumberFormat="1" applyFont="1" applyFill="1" applyBorder="1" applyAlignment="1">
      <alignment horizontal="left" vertical="top" wrapText="1"/>
    </xf>
    <xf numFmtId="14" fontId="5" fillId="4" borderId="1" xfId="2" applyNumberFormat="1" applyFont="1" applyFill="1" applyBorder="1" applyAlignment="1">
      <alignment horizontal="left" vertical="top" wrapText="1"/>
    </xf>
    <xf numFmtId="0" fontId="17" fillId="4" borderId="1" xfId="0" applyFont="1" applyFill="1" applyBorder="1" applyAlignment="1">
      <alignment horizontal="left" vertical="top" wrapText="1" shrinkToFit="1"/>
    </xf>
    <xf numFmtId="0" fontId="5" fillId="4" borderId="12" xfId="8" applyFont="1" applyFill="1" applyBorder="1" applyAlignment="1">
      <alignment horizontal="left" vertical="top" wrapText="1"/>
    </xf>
    <xf numFmtId="0" fontId="20" fillId="4" borderId="22" xfId="8" applyFont="1" applyFill="1" applyBorder="1" applyAlignment="1">
      <alignment horizontal="left" vertical="top" wrapText="1"/>
    </xf>
    <xf numFmtId="0" fontId="17" fillId="0" borderId="1" xfId="0" applyFont="1" applyBorder="1" applyAlignment="1">
      <alignment horizontal="left" vertical="top" wrapText="1"/>
    </xf>
    <xf numFmtId="0" fontId="17" fillId="4" borderId="1" xfId="0" applyFont="1" applyFill="1" applyBorder="1" applyAlignment="1">
      <alignment horizontal="left" vertical="top" wrapText="1"/>
    </xf>
    <xf numFmtId="0" fontId="20" fillId="4" borderId="16" xfId="8" applyFont="1" applyFill="1" applyBorder="1" applyAlignment="1">
      <alignment horizontal="left" vertical="top" wrapText="1"/>
    </xf>
    <xf numFmtId="0" fontId="5" fillId="3" borderId="4" xfId="0" applyFont="1" applyFill="1" applyBorder="1" applyAlignment="1">
      <alignment horizontal="left" vertical="top" wrapText="1"/>
    </xf>
    <xf numFmtId="0" fontId="5" fillId="4" borderId="4" xfId="0" applyFont="1" applyFill="1" applyBorder="1" applyAlignment="1">
      <alignment vertical="top" wrapText="1"/>
    </xf>
    <xf numFmtId="0" fontId="5" fillId="4" borderId="3" xfId="0" applyFont="1" applyFill="1" applyBorder="1" applyAlignment="1">
      <alignment vertical="top" wrapText="1"/>
    </xf>
    <xf numFmtId="0" fontId="5" fillId="4" borderId="24" xfId="0" applyFont="1" applyFill="1" applyBorder="1" applyAlignment="1">
      <alignment vertical="top" wrapText="1"/>
    </xf>
    <xf numFmtId="0" fontId="5" fillId="4" borderId="16" xfId="0" applyFont="1" applyFill="1" applyBorder="1" applyAlignment="1">
      <alignment vertical="top" wrapText="1"/>
    </xf>
    <xf numFmtId="0" fontId="5" fillId="4" borderId="15" xfId="0" applyFont="1" applyFill="1" applyBorder="1" applyAlignment="1">
      <alignment vertical="top" wrapText="1"/>
    </xf>
    <xf numFmtId="0" fontId="5" fillId="4" borderId="21" xfId="0" applyFont="1" applyFill="1" applyBorder="1" applyAlignment="1">
      <alignment vertical="top" wrapText="1"/>
    </xf>
    <xf numFmtId="0" fontId="5" fillId="4" borderId="14" xfId="0" applyFont="1" applyFill="1" applyBorder="1" applyAlignment="1">
      <alignment vertical="top" wrapText="1"/>
    </xf>
    <xf numFmtId="0" fontId="5" fillId="4" borderId="33" xfId="0" applyFont="1" applyFill="1" applyBorder="1" applyAlignment="1">
      <alignment vertical="top" wrapText="1"/>
    </xf>
    <xf numFmtId="0" fontId="5" fillId="4" borderId="34" xfId="0" applyFont="1" applyFill="1" applyBorder="1" applyAlignment="1">
      <alignment vertical="top" wrapText="1"/>
    </xf>
    <xf numFmtId="0" fontId="5" fillId="4" borderId="4" xfId="8" applyFont="1" applyFill="1" applyBorder="1" applyAlignment="1">
      <alignment vertical="top" wrapText="1"/>
    </xf>
    <xf numFmtId="0" fontId="5" fillId="4" borderId="0" xfId="0" applyFont="1" applyFill="1" applyAlignment="1">
      <alignment vertical="top" wrapText="1"/>
    </xf>
    <xf numFmtId="0" fontId="5" fillId="4" borderId="0" xfId="2" applyFont="1" applyFill="1"/>
    <xf numFmtId="0" fontId="5" fillId="4" borderId="26" xfId="0" applyFont="1" applyFill="1" applyBorder="1" applyAlignment="1">
      <alignment vertical="top" wrapText="1"/>
    </xf>
    <xf numFmtId="0" fontId="5" fillId="4" borderId="3" xfId="0" applyFont="1" applyFill="1" applyBorder="1" applyAlignment="1">
      <alignment vertical="top" wrapText="1"/>
    </xf>
    <xf numFmtId="0" fontId="5" fillId="0" borderId="3" xfId="0" applyFont="1" applyBorder="1" applyAlignment="1">
      <alignment vertical="top" wrapText="1"/>
    </xf>
    <xf numFmtId="0" fontId="5" fillId="0" borderId="16" xfId="0" applyFont="1" applyBorder="1" applyAlignment="1">
      <alignment vertical="top" wrapText="1"/>
    </xf>
    <xf numFmtId="0" fontId="16" fillId="4" borderId="16" xfId="0" applyFont="1" applyFill="1" applyBorder="1" applyAlignment="1">
      <alignment vertical="top" wrapText="1"/>
    </xf>
    <xf numFmtId="0" fontId="5" fillId="4" borderId="28" xfId="0" applyFont="1" applyFill="1" applyBorder="1" applyAlignment="1">
      <alignment vertical="top" wrapText="1"/>
    </xf>
    <xf numFmtId="0" fontId="5" fillId="4" borderId="22" xfId="0" applyFont="1" applyFill="1" applyBorder="1" applyAlignment="1">
      <alignment vertical="top" wrapText="1"/>
    </xf>
    <xf numFmtId="0" fontId="5" fillId="0" borderId="24" xfId="8" applyFont="1" applyFill="1" applyBorder="1" applyAlignment="1">
      <alignment horizontal="left" vertical="top" wrapText="1"/>
    </xf>
    <xf numFmtId="0" fontId="5" fillId="0" borderId="33" xfId="8" applyFont="1" applyFill="1" applyBorder="1" applyAlignment="1">
      <alignment horizontal="left" vertical="top" wrapText="1"/>
    </xf>
    <xf numFmtId="0" fontId="5" fillId="0" borderId="1" xfId="8" applyFont="1" applyFill="1" applyBorder="1" applyAlignment="1">
      <alignment horizontal="left" vertical="top" wrapText="1"/>
    </xf>
    <xf numFmtId="0" fontId="17" fillId="0" borderId="1" xfId="1" applyFont="1" applyFill="1" applyBorder="1" applyAlignment="1">
      <alignment horizontal="left" vertical="top" wrapText="1"/>
    </xf>
    <xf numFmtId="49" fontId="5" fillId="0" borderId="1" xfId="2" applyNumberFormat="1" applyFont="1" applyFill="1" applyBorder="1" applyAlignment="1">
      <alignment horizontal="left" vertical="top" wrapText="1"/>
    </xf>
    <xf numFmtId="0" fontId="5" fillId="0" borderId="1" xfId="2" applyFont="1" applyFill="1" applyBorder="1" applyAlignment="1">
      <alignment horizontal="left" vertical="top" wrapText="1"/>
    </xf>
    <xf numFmtId="14" fontId="5" fillId="0" borderId="1" xfId="2" applyNumberFormat="1" applyFont="1" applyFill="1" applyBorder="1" applyAlignment="1">
      <alignment horizontal="left" vertical="top" wrapText="1"/>
    </xf>
    <xf numFmtId="176" fontId="5" fillId="0" borderId="1" xfId="2" applyNumberFormat="1" applyFont="1" applyFill="1" applyBorder="1" applyAlignment="1">
      <alignment horizontal="left" vertical="top" wrapText="1"/>
    </xf>
    <xf numFmtId="0" fontId="20" fillId="0" borderId="24" xfId="8" applyFont="1" applyFill="1" applyBorder="1" applyAlignment="1">
      <alignment horizontal="left" vertical="top" wrapText="1"/>
    </xf>
    <xf numFmtId="0" fontId="5" fillId="0" borderId="15" xfId="8" applyFont="1" applyFill="1" applyBorder="1" applyAlignment="1">
      <alignment horizontal="left" vertical="top" wrapText="1"/>
    </xf>
    <xf numFmtId="0" fontId="5" fillId="0" borderId="3" xfId="8" applyFont="1" applyFill="1" applyBorder="1" applyAlignment="1">
      <alignment horizontal="left" vertical="top" wrapText="1"/>
    </xf>
    <xf numFmtId="0" fontId="5" fillId="0" borderId="4" xfId="8" applyFont="1" applyFill="1" applyBorder="1" applyAlignment="1">
      <alignment horizontal="left" vertical="top" wrapText="1"/>
    </xf>
    <xf numFmtId="0" fontId="20" fillId="0" borderId="15" xfId="8" applyFont="1" applyFill="1" applyBorder="1" applyAlignment="1">
      <alignment horizontal="left" vertical="top" wrapText="1"/>
    </xf>
    <xf numFmtId="0" fontId="5" fillId="0" borderId="16" xfId="8" applyFont="1" applyFill="1" applyBorder="1" applyAlignment="1">
      <alignment horizontal="left" vertical="top" wrapText="1"/>
    </xf>
    <xf numFmtId="0" fontId="20" fillId="0" borderId="0" xfId="8" applyFont="1" applyFill="1" applyAlignment="1">
      <alignment horizontal="left" vertical="top" wrapText="1"/>
    </xf>
    <xf numFmtId="0" fontId="20" fillId="0" borderId="3" xfId="8" applyFont="1" applyFill="1" applyBorder="1" applyAlignment="1">
      <alignment horizontal="left" vertical="top" wrapText="1"/>
    </xf>
    <xf numFmtId="0" fontId="16" fillId="0" borderId="16" xfId="8" applyFont="1" applyFill="1" applyBorder="1" applyAlignment="1">
      <alignment horizontal="left" vertical="top" wrapText="1"/>
    </xf>
    <xf numFmtId="0" fontId="17" fillId="4" borderId="4" xfId="0" applyFont="1" applyFill="1" applyBorder="1" applyAlignment="1">
      <alignment horizontal="left" vertical="top" wrapText="1"/>
    </xf>
    <xf numFmtId="0" fontId="5" fillId="4" borderId="4" xfId="2" applyFont="1" applyFill="1" applyBorder="1" applyAlignment="1">
      <alignment horizontal="left" vertical="top" wrapText="1"/>
    </xf>
    <xf numFmtId="49" fontId="5" fillId="4" borderId="4" xfId="2" applyNumberFormat="1" applyFont="1" applyFill="1" applyBorder="1" applyAlignment="1">
      <alignment horizontal="left" vertical="top" wrapText="1"/>
    </xf>
    <xf numFmtId="0" fontId="5" fillId="0" borderId="14" xfId="0" applyFont="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49" fontId="17" fillId="4" borderId="1" xfId="1" applyNumberFormat="1" applyFont="1" applyFill="1" applyBorder="1" applyAlignment="1">
      <alignment horizontal="left" vertical="top" wrapText="1"/>
    </xf>
    <xf numFmtId="0" fontId="5" fillId="0" borderId="0" xfId="0" applyFont="1" applyAlignment="1">
      <alignment horizontal="left" vertical="top" wrapText="1"/>
    </xf>
    <xf numFmtId="0" fontId="5" fillId="0" borderId="15" xfId="0" applyFont="1" applyBorder="1" applyAlignment="1">
      <alignment horizontal="left" vertical="top" wrapText="1"/>
    </xf>
    <xf numFmtId="0" fontId="20" fillId="0" borderId="15" xfId="8" applyFont="1" applyBorder="1" applyAlignment="1">
      <alignment horizontal="left" vertical="top" wrapText="1"/>
    </xf>
    <xf numFmtId="0" fontId="5" fillId="0" borderId="1" xfId="8" applyFont="1" applyBorder="1" applyAlignment="1">
      <alignment vertical="top" wrapText="1"/>
    </xf>
    <xf numFmtId="0" fontId="23" fillId="0" borderId="1" xfId="2" applyFont="1" applyBorder="1" applyAlignment="1">
      <alignment horizontal="left" vertical="top" wrapText="1"/>
    </xf>
    <xf numFmtId="0" fontId="5" fillId="0" borderId="16" xfId="0" applyFont="1" applyBorder="1" applyAlignment="1">
      <alignment horizontal="left" vertical="top" wrapText="1"/>
    </xf>
    <xf numFmtId="49" fontId="5" fillId="0" borderId="1" xfId="2" applyNumberFormat="1" applyFont="1" applyBorder="1" applyAlignment="1">
      <alignment vertical="top" wrapText="1"/>
    </xf>
    <xf numFmtId="0" fontId="5" fillId="0" borderId="24" xfId="0" applyFont="1" applyBorder="1" applyAlignment="1">
      <alignment horizontal="left" vertical="top" wrapText="1"/>
    </xf>
    <xf numFmtId="49" fontId="5" fillId="4" borderId="1" xfId="2" applyNumberFormat="1" applyFont="1" applyFill="1" applyBorder="1" applyAlignment="1">
      <alignment vertical="top" wrapText="1"/>
    </xf>
    <xf numFmtId="0" fontId="17" fillId="0" borderId="4" xfId="1" applyFont="1" applyBorder="1" applyAlignment="1">
      <alignment horizontal="left" vertical="top" wrapText="1"/>
    </xf>
    <xf numFmtId="0" fontId="17" fillId="0" borderId="3" xfId="1" applyFont="1" applyBorder="1" applyAlignment="1">
      <alignment horizontal="left" vertical="top" wrapText="1"/>
    </xf>
    <xf numFmtId="0" fontId="5" fillId="4" borderId="23" xfId="0" applyFont="1" applyFill="1" applyBorder="1" applyAlignment="1">
      <alignment vertical="top" wrapText="1"/>
    </xf>
    <xf numFmtId="0" fontId="17" fillId="4" borderId="4" xfId="1" applyFont="1" applyFill="1" applyBorder="1" applyAlignment="1">
      <alignment horizontal="left" vertical="top" wrapText="1"/>
    </xf>
    <xf numFmtId="0" fontId="5" fillId="4" borderId="35" xfId="2" applyFont="1" applyFill="1" applyBorder="1" applyAlignment="1">
      <alignment horizontal="left" vertical="top" wrapText="1"/>
    </xf>
    <xf numFmtId="0" fontId="5" fillId="4" borderId="36" xfId="2" applyFont="1" applyFill="1" applyBorder="1" applyAlignment="1">
      <alignment horizontal="left" vertical="top" wrapText="1"/>
    </xf>
    <xf numFmtId="0" fontId="17" fillId="0" borderId="23" xfId="1" applyFont="1" applyBorder="1" applyAlignment="1">
      <alignment horizontal="left" vertical="top" wrapText="1"/>
    </xf>
    <xf numFmtId="0" fontId="5" fillId="0" borderId="9" xfId="2" applyFont="1" applyBorder="1" applyAlignment="1">
      <alignment horizontal="left" vertical="top" wrapText="1"/>
    </xf>
    <xf numFmtId="0" fontId="5" fillId="0" borderId="6" xfId="2" applyFont="1" applyBorder="1" applyAlignment="1">
      <alignment horizontal="left" vertical="top" wrapText="1"/>
    </xf>
    <xf numFmtId="0" fontId="17" fillId="4" borderId="23" xfId="1" applyFont="1" applyFill="1" applyBorder="1" applyAlignment="1">
      <alignment horizontal="left" vertical="top" wrapText="1"/>
    </xf>
    <xf numFmtId="49" fontId="17" fillId="4" borderId="13" xfId="1" applyNumberFormat="1" applyFont="1" applyFill="1" applyBorder="1" applyAlignment="1">
      <alignment horizontal="left" vertical="top" wrapText="1"/>
    </xf>
    <xf numFmtId="0" fontId="5" fillId="4" borderId="9" xfId="2" applyFont="1" applyFill="1" applyBorder="1" applyAlignment="1">
      <alignment horizontal="left" vertical="top" wrapText="1"/>
    </xf>
    <xf numFmtId="0" fontId="5" fillId="4" borderId="6" xfId="2" applyFont="1" applyFill="1" applyBorder="1" applyAlignment="1">
      <alignment horizontal="left" vertical="top" wrapText="1"/>
    </xf>
    <xf numFmtId="0" fontId="5" fillId="0" borderId="25" xfId="2" applyFont="1" applyBorder="1" applyAlignment="1">
      <alignment horizontal="left" vertical="top" wrapText="1"/>
    </xf>
    <xf numFmtId="49" fontId="17" fillId="4" borderId="20" xfId="1" applyNumberFormat="1" applyFont="1" applyFill="1" applyBorder="1" applyAlignment="1">
      <alignment horizontal="left" vertical="top" wrapText="1"/>
    </xf>
    <xf numFmtId="49" fontId="17" fillId="0" borderId="18" xfId="1" applyNumberFormat="1" applyFont="1" applyBorder="1" applyAlignment="1">
      <alignment horizontal="left" vertical="top" wrapText="1"/>
    </xf>
    <xf numFmtId="49" fontId="17" fillId="4" borderId="18" xfId="1" applyNumberFormat="1" applyFont="1" applyFill="1" applyBorder="1" applyAlignment="1">
      <alignment horizontal="left" vertical="top" wrapText="1"/>
    </xf>
    <xf numFmtId="0" fontId="17" fillId="0" borderId="22" xfId="1" applyFont="1" applyBorder="1" applyAlignment="1">
      <alignment horizontal="left" vertical="top" wrapText="1"/>
    </xf>
    <xf numFmtId="0" fontId="5" fillId="4" borderId="15" xfId="0" applyFont="1" applyFill="1" applyBorder="1" applyAlignment="1">
      <alignment horizontal="left" vertical="top" wrapText="1"/>
    </xf>
    <xf numFmtId="0" fontId="5" fillId="4" borderId="3" xfId="0" applyFont="1" applyFill="1" applyBorder="1" applyAlignment="1">
      <alignment horizontal="left" vertical="top" wrapText="1"/>
    </xf>
    <xf numFmtId="0" fontId="17" fillId="4" borderId="17" xfId="1" applyFont="1" applyFill="1" applyBorder="1" applyAlignment="1">
      <alignment vertical="top" wrapText="1"/>
    </xf>
    <xf numFmtId="0" fontId="5" fillId="4" borderId="4" xfId="0" applyFont="1" applyFill="1" applyBorder="1" applyAlignment="1">
      <alignment horizontal="left" vertical="top" wrapText="1"/>
    </xf>
    <xf numFmtId="0" fontId="5" fillId="4" borderId="16" xfId="0" applyFont="1" applyFill="1" applyBorder="1" applyAlignment="1">
      <alignment horizontal="left" vertical="top" wrapText="1"/>
    </xf>
    <xf numFmtId="49" fontId="5" fillId="4" borderId="1" xfId="8" applyNumberFormat="1" applyFont="1" applyFill="1" applyBorder="1" applyAlignment="1">
      <alignment horizontal="left" vertical="top" wrapText="1"/>
    </xf>
    <xf numFmtId="0" fontId="5" fillId="4" borderId="24" xfId="0" applyFont="1" applyFill="1" applyBorder="1" applyAlignment="1">
      <alignment horizontal="left" vertical="top" wrapText="1"/>
    </xf>
    <xf numFmtId="0" fontId="5" fillId="4" borderId="22" xfId="0" applyFont="1" applyFill="1" applyBorder="1" applyAlignment="1">
      <alignment horizontal="left" vertical="top" wrapText="1"/>
    </xf>
    <xf numFmtId="49" fontId="5" fillId="0" borderId="4" xfId="2" applyNumberFormat="1" applyFont="1" applyBorder="1" applyAlignment="1">
      <alignment vertical="top" wrapText="1"/>
    </xf>
    <xf numFmtId="49" fontId="17" fillId="4" borderId="7" xfId="1" applyNumberFormat="1" applyFont="1" applyFill="1" applyBorder="1" applyAlignment="1">
      <alignment horizontal="left" vertical="top" wrapText="1"/>
    </xf>
    <xf numFmtId="49" fontId="17" fillId="4" borderId="27" xfId="1" applyNumberFormat="1" applyFont="1" applyFill="1" applyBorder="1" applyAlignment="1">
      <alignment horizontal="left" vertical="top" wrapText="1"/>
    </xf>
    <xf numFmtId="0" fontId="5" fillId="4" borderId="8" xfId="2" applyFont="1" applyFill="1" applyBorder="1" applyAlignment="1">
      <alignment horizontal="left" vertical="top" wrapText="1"/>
    </xf>
    <xf numFmtId="0" fontId="5" fillId="4" borderId="5" xfId="2" applyFont="1" applyFill="1" applyBorder="1" applyAlignment="1">
      <alignment horizontal="left" vertical="top" wrapText="1"/>
    </xf>
    <xf numFmtId="0" fontId="5" fillId="4" borderId="23" xfId="0" applyFont="1" applyFill="1" applyBorder="1" applyAlignment="1">
      <alignment horizontal="left" vertical="top" wrapText="1"/>
    </xf>
    <xf numFmtId="0" fontId="5" fillId="4" borderId="12" xfId="0" applyFont="1" applyFill="1" applyBorder="1" applyAlignment="1">
      <alignment vertical="top" wrapText="1"/>
    </xf>
    <xf numFmtId="0" fontId="5" fillId="0" borderId="0" xfId="0" applyFont="1" applyFill="1" applyAlignment="1">
      <alignment horizontal="left" vertical="top" wrapText="1"/>
    </xf>
    <xf numFmtId="0" fontId="5" fillId="0" borderId="15" xfId="0" applyFont="1" applyFill="1" applyBorder="1" applyAlignment="1">
      <alignment horizontal="left" vertical="top" wrapText="1"/>
    </xf>
    <xf numFmtId="0" fontId="5" fillId="0" borderId="3" xfId="0" applyFont="1" applyFill="1" applyBorder="1" applyAlignment="1">
      <alignment horizontal="left" vertical="top" wrapText="1"/>
    </xf>
    <xf numFmtId="0" fontId="5" fillId="0" borderId="1" xfId="0" applyFont="1" applyFill="1" applyBorder="1" applyAlignment="1">
      <alignment vertical="top" wrapText="1"/>
    </xf>
    <xf numFmtId="0" fontId="5" fillId="4" borderId="3" xfId="8" applyFont="1" applyFill="1" applyBorder="1" applyAlignment="1">
      <alignment horizontal="left" vertical="top" wrapText="1"/>
    </xf>
    <xf numFmtId="0" fontId="17" fillId="0" borderId="16" xfId="1" applyFont="1" applyBorder="1" applyAlignment="1">
      <alignment horizontal="left" vertical="top" wrapText="1"/>
    </xf>
    <xf numFmtId="0" fontId="17" fillId="4" borderId="13" xfId="1" applyFont="1" applyFill="1" applyBorder="1" applyAlignment="1">
      <alignment vertical="top" wrapText="1"/>
    </xf>
    <xf numFmtId="0" fontId="5" fillId="0" borderId="4" xfId="0" applyFont="1" applyFill="1" applyBorder="1" applyAlignment="1">
      <alignment vertical="top" wrapText="1"/>
    </xf>
    <xf numFmtId="0" fontId="17" fillId="0" borderId="4" xfId="1" applyFont="1" applyFill="1" applyBorder="1" applyAlignment="1">
      <alignment horizontal="left" vertical="top" wrapText="1"/>
    </xf>
    <xf numFmtId="0" fontId="5" fillId="0" borderId="16" xfId="0" applyFont="1" applyFill="1" applyBorder="1" applyAlignment="1">
      <alignment vertical="top" wrapText="1"/>
    </xf>
    <xf numFmtId="0" fontId="17" fillId="0" borderId="16" xfId="1" applyFont="1" applyFill="1" applyBorder="1" applyAlignment="1">
      <alignment horizontal="left" vertical="top" wrapText="1"/>
    </xf>
    <xf numFmtId="0" fontId="5" fillId="0" borderId="24" xfId="0" applyFont="1" applyFill="1" applyBorder="1" applyAlignment="1">
      <alignment horizontal="left" vertical="top" wrapText="1"/>
    </xf>
    <xf numFmtId="0" fontId="5" fillId="0" borderId="16" xfId="0" applyFont="1" applyFill="1" applyBorder="1" applyAlignment="1">
      <alignment horizontal="left" vertical="top" wrapText="1"/>
    </xf>
    <xf numFmtId="49" fontId="17" fillId="0" borderId="19" xfId="1" applyNumberFormat="1" applyFont="1" applyBorder="1" applyAlignment="1">
      <alignment horizontal="left" vertical="top" wrapText="1"/>
    </xf>
    <xf numFmtId="0" fontId="5" fillId="0" borderId="4" xfId="0" applyFont="1" applyFill="1" applyBorder="1" applyAlignment="1">
      <alignment horizontal="left" vertical="top" wrapText="1"/>
    </xf>
    <xf numFmtId="0" fontId="17" fillId="0" borderId="3" xfId="1" applyFont="1" applyFill="1" applyBorder="1" applyAlignment="1">
      <alignment horizontal="left" vertical="top" wrapText="1"/>
    </xf>
    <xf numFmtId="0" fontId="5" fillId="4" borderId="1" xfId="2" applyFont="1" applyFill="1" applyBorder="1" applyAlignment="1">
      <alignment vertical="center" wrapText="1"/>
    </xf>
    <xf numFmtId="0" fontId="5" fillId="4" borderId="12" xfId="2" applyFont="1" applyFill="1" applyBorder="1" applyAlignment="1">
      <alignment vertical="center" wrapText="1"/>
    </xf>
    <xf numFmtId="0" fontId="17" fillId="0" borderId="1" xfId="1" applyFont="1" applyBorder="1" applyAlignment="1">
      <alignment horizontal="left" vertical="top" wrapText="1" shrinkToFit="1"/>
    </xf>
    <xf numFmtId="0" fontId="5" fillId="0" borderId="21" xfId="0" applyFont="1" applyFill="1" applyBorder="1" applyAlignment="1">
      <alignment horizontal="left" vertical="top" wrapText="1"/>
    </xf>
    <xf numFmtId="0" fontId="17" fillId="0" borderId="23" xfId="1" applyFont="1" applyFill="1" applyBorder="1" applyAlignment="1">
      <alignment horizontal="left" vertical="top" wrapText="1"/>
    </xf>
    <xf numFmtId="0" fontId="5" fillId="0" borderId="6" xfId="2" applyFont="1" applyFill="1" applyBorder="1" applyAlignment="1">
      <alignment horizontal="left" vertical="top" wrapText="1"/>
    </xf>
    <xf numFmtId="49" fontId="17" fillId="0" borderId="13" xfId="1" applyNumberFormat="1" applyFont="1" applyBorder="1" applyAlignment="1">
      <alignment horizontal="left" vertical="top" wrapText="1"/>
    </xf>
    <xf numFmtId="0" fontId="17" fillId="4" borderId="10" xfId="1" applyFont="1" applyFill="1" applyBorder="1" applyAlignment="1">
      <alignment vertical="top"/>
    </xf>
    <xf numFmtId="0" fontId="17" fillId="4" borderId="4" xfId="1" applyFont="1" applyFill="1" applyBorder="1" applyAlignment="1">
      <alignment vertical="top" wrapText="1"/>
    </xf>
    <xf numFmtId="0" fontId="5" fillId="4" borderId="9" xfId="2" applyFont="1" applyFill="1" applyBorder="1" applyAlignment="1">
      <alignment vertical="center"/>
    </xf>
    <xf numFmtId="0" fontId="5" fillId="4" borderId="6" xfId="2" applyFont="1" applyFill="1" applyBorder="1" applyAlignment="1">
      <alignment vertical="center"/>
    </xf>
    <xf numFmtId="0" fontId="17" fillId="4" borderId="1" xfId="1" applyFont="1" applyFill="1" applyBorder="1" applyAlignment="1">
      <alignment vertical="top"/>
    </xf>
    <xf numFmtId="0" fontId="17" fillId="4" borderId="10" xfId="1" applyFont="1" applyFill="1" applyBorder="1" applyAlignment="1">
      <alignment vertical="top" wrapText="1"/>
    </xf>
    <xf numFmtId="0" fontId="17" fillId="4" borderId="12" xfId="1" applyFont="1" applyFill="1" applyBorder="1" applyAlignment="1">
      <alignment vertical="top"/>
    </xf>
    <xf numFmtId="0" fontId="17" fillId="0" borderId="12" xfId="1" applyFont="1" applyFill="1" applyBorder="1" applyAlignment="1">
      <alignment horizontal="left" vertical="top" wrapText="1"/>
    </xf>
    <xf numFmtId="0" fontId="5" fillId="0" borderId="37" xfId="2" applyFont="1" applyFill="1" applyBorder="1" applyAlignment="1">
      <alignment horizontal="left" vertical="top" wrapText="1"/>
    </xf>
    <xf numFmtId="0" fontId="5" fillId="0" borderId="25" xfId="2" applyFont="1" applyFill="1" applyBorder="1" applyAlignment="1">
      <alignment horizontal="left" vertical="top" wrapText="1"/>
    </xf>
    <xf numFmtId="49" fontId="17" fillId="0" borderId="17" xfId="1" applyNumberFormat="1" applyFont="1" applyBorder="1" applyAlignment="1">
      <alignment horizontal="left" vertical="top" wrapText="1"/>
    </xf>
    <xf numFmtId="0" fontId="17" fillId="0" borderId="38" xfId="1" applyFont="1" applyFill="1" applyBorder="1" applyAlignment="1">
      <alignment vertical="top" wrapText="1"/>
    </xf>
    <xf numFmtId="176" fontId="5" fillId="4" borderId="4" xfId="2" applyNumberFormat="1" applyFont="1" applyFill="1" applyBorder="1" applyAlignment="1">
      <alignment horizontal="left" vertical="top" wrapText="1"/>
    </xf>
    <xf numFmtId="14" fontId="5" fillId="4" borderId="4" xfId="2" applyNumberFormat="1" applyFont="1" applyFill="1" applyBorder="1" applyAlignment="1">
      <alignment horizontal="left" vertical="top" wrapText="1"/>
    </xf>
    <xf numFmtId="49" fontId="5" fillId="0" borderId="4" xfId="2" applyNumberFormat="1" applyFont="1" applyFill="1" applyBorder="1" applyAlignment="1">
      <alignment horizontal="left" vertical="top" wrapText="1"/>
    </xf>
    <xf numFmtId="49" fontId="5" fillId="0" borderId="16" xfId="2" applyNumberFormat="1" applyFont="1" applyFill="1" applyBorder="1" applyAlignment="1">
      <alignment horizontal="left" vertical="top" wrapText="1"/>
    </xf>
    <xf numFmtId="0" fontId="20" fillId="0" borderId="0" xfId="8" applyFont="1" applyBorder="1" applyAlignment="1">
      <alignment horizontal="left" vertical="top" wrapText="1"/>
    </xf>
    <xf numFmtId="0" fontId="20" fillId="0" borderId="21" xfId="8" applyFont="1" applyFill="1" applyBorder="1" applyAlignment="1">
      <alignment horizontal="left" vertical="top" wrapText="1"/>
    </xf>
    <xf numFmtId="0" fontId="20" fillId="0" borderId="16" xfId="8" applyFont="1" applyFill="1" applyBorder="1" applyAlignment="1">
      <alignment horizontal="left" vertical="top" wrapText="1"/>
    </xf>
    <xf numFmtId="0" fontId="17" fillId="4" borderId="38" xfId="1" applyFont="1" applyFill="1" applyBorder="1" applyAlignment="1">
      <alignment vertical="top" wrapText="1"/>
    </xf>
    <xf numFmtId="0" fontId="5" fillId="0" borderId="23" xfId="0" applyFont="1" applyFill="1" applyBorder="1" applyAlignment="1">
      <alignment horizontal="left" vertical="top" wrapText="1"/>
    </xf>
    <xf numFmtId="0" fontId="5" fillId="0" borderId="14" xfId="0" applyFont="1" applyFill="1" applyBorder="1" applyAlignment="1">
      <alignment horizontal="left" vertical="top" wrapText="1"/>
    </xf>
    <xf numFmtId="0" fontId="5" fillId="0" borderId="22" xfId="0" applyFont="1" applyFill="1" applyBorder="1" applyAlignment="1">
      <alignment horizontal="left" vertical="top" wrapText="1"/>
    </xf>
    <xf numFmtId="0" fontId="5" fillId="4" borderId="3" xfId="0" applyFont="1" applyFill="1" applyBorder="1" applyAlignment="1">
      <alignment vertical="top" wrapText="1"/>
    </xf>
    <xf numFmtId="0" fontId="20" fillId="0" borderId="0" xfId="8" applyFont="1" applyFill="1" applyBorder="1" applyAlignment="1">
      <alignment horizontal="left" vertical="top" wrapText="1"/>
    </xf>
    <xf numFmtId="0" fontId="24" fillId="0" borderId="21" xfId="8" applyFont="1" applyFill="1" applyBorder="1" applyAlignment="1">
      <alignment horizontal="left" vertical="top" wrapText="1"/>
    </xf>
    <xf numFmtId="0" fontId="24" fillId="0" borderId="16" xfId="8" applyFont="1" applyFill="1" applyBorder="1" applyAlignment="1">
      <alignment horizontal="left" vertical="top" wrapText="1"/>
    </xf>
    <xf numFmtId="49" fontId="5" fillId="0" borderId="26" xfId="2" applyNumberFormat="1" applyFont="1" applyFill="1" applyBorder="1" applyAlignment="1">
      <alignment horizontal="left" vertical="top" wrapText="1"/>
    </xf>
    <xf numFmtId="31" fontId="11" fillId="0" borderId="0" xfId="3" quotePrefix="1" applyNumberFormat="1" applyFont="1" applyAlignment="1">
      <alignment horizontal="center" vertical="center"/>
    </xf>
    <xf numFmtId="0" fontId="5" fillId="0" borderId="10" xfId="3" applyFont="1" applyBorder="1" applyAlignment="1">
      <alignment horizontal="center" vertical="top"/>
    </xf>
    <xf numFmtId="0" fontId="5" fillId="0" borderId="12" xfId="3" applyFont="1" applyBorder="1" applyAlignment="1">
      <alignment horizontal="center" vertical="top"/>
    </xf>
    <xf numFmtId="14" fontId="5" fillId="0" borderId="10" xfId="3" applyNumberFormat="1" applyFont="1" applyBorder="1" applyAlignment="1">
      <alignment horizontal="center" vertical="top"/>
    </xf>
    <xf numFmtId="14" fontId="5" fillId="0" borderId="11" xfId="3" applyNumberFormat="1" applyFont="1" applyBorder="1" applyAlignment="1">
      <alignment horizontal="center" vertical="top"/>
    </xf>
    <xf numFmtId="14" fontId="5" fillId="0" borderId="12" xfId="3" applyNumberFormat="1" applyFont="1" applyBorder="1" applyAlignment="1">
      <alignment horizontal="center" vertical="top"/>
    </xf>
    <xf numFmtId="0" fontId="5" fillId="0" borderId="11" xfId="3" applyFont="1" applyBorder="1" applyAlignment="1">
      <alignment horizontal="center" vertical="top"/>
    </xf>
    <xf numFmtId="0" fontId="5" fillId="0" borderId="10" xfId="3" applyFont="1" applyBorder="1" applyAlignment="1">
      <alignment horizontal="left" vertical="top"/>
    </xf>
    <xf numFmtId="0" fontId="5" fillId="0" borderId="11" xfId="3" applyFont="1" applyBorder="1" applyAlignment="1">
      <alignment horizontal="left" vertical="top"/>
    </xf>
    <xf numFmtId="0" fontId="5" fillId="0" borderId="12" xfId="3" applyFont="1" applyBorder="1" applyAlignment="1">
      <alignment horizontal="left" vertical="top"/>
    </xf>
    <xf numFmtId="0" fontId="5" fillId="0" borderId="10" xfId="3" applyFont="1" applyBorder="1" applyAlignment="1">
      <alignment horizontal="left" vertical="top" wrapText="1"/>
    </xf>
    <xf numFmtId="0" fontId="5" fillId="0" borderId="11" xfId="3" applyFont="1" applyBorder="1" applyAlignment="1">
      <alignment horizontal="left" vertical="top" wrapText="1"/>
    </xf>
    <xf numFmtId="0" fontId="5" fillId="0" borderId="12" xfId="3" applyFont="1" applyBorder="1" applyAlignment="1">
      <alignment horizontal="left" vertical="top" wrapText="1"/>
    </xf>
    <xf numFmtId="0" fontId="15" fillId="0" borderId="11" xfId="3" applyFont="1" applyBorder="1" applyAlignment="1">
      <alignment horizontal="left" vertical="top"/>
    </xf>
    <xf numFmtId="0" fontId="5" fillId="0" borderId="10" xfId="3" applyBorder="1" applyAlignment="1">
      <alignment horizontal="center" vertical="top"/>
    </xf>
    <xf numFmtId="0" fontId="5" fillId="0" borderId="12" xfId="3" applyBorder="1" applyAlignment="1">
      <alignment horizontal="center" vertical="top"/>
    </xf>
    <xf numFmtId="14" fontId="5" fillId="0" borderId="10" xfId="3" applyNumberFormat="1" applyBorder="1" applyAlignment="1">
      <alignment horizontal="center" vertical="top"/>
    </xf>
    <xf numFmtId="14" fontId="5" fillId="0" borderId="11" xfId="3" applyNumberFormat="1" applyBorder="1" applyAlignment="1">
      <alignment horizontal="center" vertical="top"/>
    </xf>
    <xf numFmtId="14" fontId="5" fillId="0" borderId="12" xfId="3" applyNumberFormat="1" applyBorder="1" applyAlignment="1">
      <alignment horizontal="center" vertical="top"/>
    </xf>
    <xf numFmtId="0" fontId="5" fillId="0" borderId="11" xfId="3" applyBorder="1" applyAlignment="1">
      <alignment horizontal="center" vertical="top"/>
    </xf>
    <xf numFmtId="0" fontId="5" fillId="0" borderId="10" xfId="3" applyBorder="1" applyAlignment="1">
      <alignment horizontal="left" vertical="top" wrapText="1"/>
    </xf>
    <xf numFmtId="0" fontId="5" fillId="0" borderId="11" xfId="3" applyBorder="1" applyAlignment="1">
      <alignment horizontal="left" vertical="top"/>
    </xf>
    <xf numFmtId="0" fontId="5" fillId="0" borderId="12" xfId="3" applyBorder="1" applyAlignment="1">
      <alignment horizontal="left" vertical="top"/>
    </xf>
    <xf numFmtId="0" fontId="5" fillId="0" borderId="11" xfId="3" applyBorder="1" applyAlignment="1">
      <alignment horizontal="left" vertical="top" wrapText="1"/>
    </xf>
    <xf numFmtId="0" fontId="5" fillId="0" borderId="12" xfId="3" applyBorder="1" applyAlignment="1">
      <alignment horizontal="left" vertical="top" wrapText="1"/>
    </xf>
    <xf numFmtId="0" fontId="5" fillId="0" borderId="10" xfId="3" applyBorder="1" applyAlignment="1">
      <alignment horizontal="left" vertical="top"/>
    </xf>
    <xf numFmtId="0" fontId="5" fillId="0" borderId="30" xfId="0" applyFont="1" applyBorder="1" applyAlignment="1">
      <alignment horizontal="center" vertical="top"/>
    </xf>
    <xf numFmtId="0" fontId="5" fillId="0" borderId="31" xfId="0" applyFont="1" applyBorder="1" applyAlignment="1">
      <alignment horizontal="center" vertical="top"/>
    </xf>
    <xf numFmtId="14" fontId="5" fillId="0" borderId="30" xfId="0" quotePrefix="1" applyNumberFormat="1" applyFont="1" applyBorder="1" applyAlignment="1">
      <alignment horizontal="center" vertical="top"/>
    </xf>
    <xf numFmtId="14" fontId="5" fillId="0" borderId="32" xfId="0" quotePrefix="1" applyNumberFormat="1" applyFont="1" applyBorder="1" applyAlignment="1">
      <alignment horizontal="center" vertical="top"/>
    </xf>
    <xf numFmtId="14" fontId="5" fillId="0" borderId="31" xfId="0" quotePrefix="1" applyNumberFormat="1" applyFont="1" applyBorder="1" applyAlignment="1">
      <alignment horizontal="center" vertical="top"/>
    </xf>
    <xf numFmtId="0" fontId="5" fillId="0" borderId="32" xfId="0" applyFont="1" applyBorder="1" applyAlignment="1">
      <alignment horizontal="center" vertical="top"/>
    </xf>
    <xf numFmtId="0" fontId="5" fillId="0" borderId="30" xfId="0" applyFont="1" applyBorder="1" applyAlignment="1">
      <alignment horizontal="left" vertical="top" wrapText="1"/>
    </xf>
    <xf numFmtId="0" fontId="5" fillId="0" borderId="32" xfId="0" applyFont="1" applyBorder="1" applyAlignment="1">
      <alignment horizontal="left" vertical="top" wrapText="1"/>
    </xf>
    <xf numFmtId="0" fontId="5" fillId="0" borderId="31" xfId="0" applyFont="1" applyBorder="1" applyAlignment="1">
      <alignment horizontal="left" vertical="top" wrapText="1"/>
    </xf>
    <xf numFmtId="178" fontId="5" fillId="0" borderId="10" xfId="5" applyNumberFormat="1" applyFont="1" applyBorder="1" applyAlignment="1">
      <alignment horizontal="right" vertical="top"/>
    </xf>
    <xf numFmtId="178" fontId="5" fillId="0" borderId="11" xfId="5" applyNumberFormat="1" applyFont="1" applyBorder="1" applyAlignment="1">
      <alignment horizontal="right" vertical="top"/>
    </xf>
    <xf numFmtId="178" fontId="5" fillId="0" borderId="12" xfId="5" applyNumberFormat="1" applyFont="1" applyBorder="1" applyAlignment="1">
      <alignment horizontal="right" vertical="top"/>
    </xf>
    <xf numFmtId="0" fontId="5" fillId="0" borderId="14" xfId="3" applyFont="1" applyBorder="1" applyAlignment="1">
      <alignment horizontal="center" vertical="center"/>
    </xf>
    <xf numFmtId="0" fontId="5" fillId="0" borderId="23" xfId="3" applyFont="1" applyBorder="1" applyAlignment="1">
      <alignment horizontal="center" vertical="center"/>
    </xf>
    <xf numFmtId="0" fontId="5" fillId="0" borderId="26" xfId="3" applyFont="1" applyBorder="1" applyAlignment="1">
      <alignment horizontal="center" vertical="center"/>
    </xf>
    <xf numFmtId="0" fontId="5" fillId="2" borderId="10" xfId="4" applyFont="1" applyFill="1" applyBorder="1" applyAlignment="1">
      <alignment horizontal="left" vertical="top"/>
    </xf>
    <xf numFmtId="0" fontId="5" fillId="2" borderId="11" xfId="4" applyFont="1" applyFill="1" applyBorder="1" applyAlignment="1">
      <alignment horizontal="left" vertical="top"/>
    </xf>
    <xf numFmtId="0" fontId="5" fillId="2" borderId="12" xfId="4" applyFont="1" applyFill="1" applyBorder="1" applyAlignment="1">
      <alignment horizontal="left" vertical="top"/>
    </xf>
    <xf numFmtId="0" fontId="5" fillId="0" borderId="10" xfId="7" applyFont="1" applyBorder="1" applyAlignment="1">
      <alignment horizontal="left" vertical="top"/>
    </xf>
    <xf numFmtId="0" fontId="5" fillId="0" borderId="11" xfId="7" applyFont="1" applyBorder="1" applyAlignment="1">
      <alignment horizontal="left" vertical="top"/>
    </xf>
    <xf numFmtId="0" fontId="5" fillId="0" borderId="12" xfId="7" applyFont="1" applyBorder="1" applyAlignment="1">
      <alignment horizontal="left" vertical="top"/>
    </xf>
    <xf numFmtId="0" fontId="5" fillId="0" borderId="10" xfId="4" applyNumberFormat="1" applyFont="1" applyFill="1" applyBorder="1" applyAlignment="1">
      <alignment horizontal="left" vertical="top"/>
    </xf>
    <xf numFmtId="0" fontId="5" fillId="0" borderId="11" xfId="4" applyNumberFormat="1" applyFont="1" applyFill="1" applyBorder="1" applyAlignment="1">
      <alignment horizontal="left" vertical="top"/>
    </xf>
    <xf numFmtId="0" fontId="5" fillId="0" borderId="12" xfId="4" applyNumberFormat="1" applyFont="1" applyFill="1" applyBorder="1" applyAlignment="1">
      <alignment horizontal="left" vertical="top"/>
    </xf>
    <xf numFmtId="0" fontId="5" fillId="2" borderId="14" xfId="4" applyFont="1" applyFill="1" applyBorder="1" applyAlignment="1">
      <alignment horizontal="left" vertical="top"/>
    </xf>
    <xf numFmtId="0" fontId="5" fillId="2" borderId="26" xfId="4" applyFont="1" applyFill="1" applyBorder="1" applyAlignment="1">
      <alignment horizontal="left" vertical="top"/>
    </xf>
    <xf numFmtId="0" fontId="5" fillId="2" borderId="23" xfId="4" applyFont="1" applyFill="1" applyBorder="1" applyAlignment="1">
      <alignment horizontal="left" vertical="top"/>
    </xf>
    <xf numFmtId="0" fontId="5" fillId="2" borderId="15" xfId="4" applyFont="1" applyFill="1" applyBorder="1" applyAlignment="1">
      <alignment horizontal="left" vertical="top"/>
    </xf>
    <xf numFmtId="0" fontId="5" fillId="2" borderId="0" xfId="4" applyFont="1" applyFill="1" applyBorder="1" applyAlignment="1">
      <alignment horizontal="left" vertical="top"/>
    </xf>
    <xf numFmtId="0" fontId="5" fillId="2" borderId="24" xfId="4" applyFont="1" applyFill="1" applyBorder="1" applyAlignment="1">
      <alignment horizontal="left" vertical="top"/>
    </xf>
    <xf numFmtId="0" fontId="5" fillId="2" borderId="21" xfId="4" applyFont="1" applyFill="1" applyBorder="1" applyAlignment="1">
      <alignment horizontal="left" vertical="top"/>
    </xf>
    <xf numFmtId="0" fontId="5" fillId="2" borderId="28" xfId="4" applyFont="1" applyFill="1" applyBorder="1" applyAlignment="1">
      <alignment horizontal="left" vertical="top"/>
    </xf>
    <xf numFmtId="0" fontId="5" fillId="2" borderId="22" xfId="4" applyFont="1" applyFill="1" applyBorder="1" applyAlignment="1">
      <alignment horizontal="left" vertical="top"/>
    </xf>
    <xf numFmtId="0" fontId="5" fillId="0" borderId="14" xfId="4" applyFont="1" applyFill="1" applyBorder="1" applyAlignment="1">
      <alignment horizontal="left" vertical="top" wrapText="1"/>
    </xf>
    <xf numFmtId="0" fontId="5" fillId="0" borderId="26" xfId="4" applyFont="1" applyFill="1" applyBorder="1" applyAlignment="1">
      <alignment horizontal="left" vertical="top" wrapText="1"/>
    </xf>
    <xf numFmtId="0" fontId="5" fillId="0" borderId="23" xfId="4" applyFont="1" applyFill="1" applyBorder="1" applyAlignment="1">
      <alignment horizontal="left" vertical="top" wrapText="1"/>
    </xf>
    <xf numFmtId="0" fontId="5" fillId="0" borderId="15" xfId="4" applyFont="1" applyFill="1" applyBorder="1" applyAlignment="1">
      <alignment horizontal="left" vertical="top" wrapText="1"/>
    </xf>
    <xf numFmtId="0" fontId="5" fillId="0" borderId="0" xfId="4" applyFont="1" applyFill="1" applyBorder="1" applyAlignment="1">
      <alignment horizontal="left" vertical="top" wrapText="1"/>
    </xf>
    <xf numFmtId="0" fontId="5" fillId="0" borderId="24" xfId="4" applyFont="1" applyFill="1" applyBorder="1" applyAlignment="1">
      <alignment horizontal="left" vertical="top" wrapText="1"/>
    </xf>
    <xf numFmtId="0" fontId="5" fillId="0" borderId="21" xfId="4" applyFont="1" applyFill="1" applyBorder="1" applyAlignment="1">
      <alignment horizontal="left" vertical="top" wrapText="1"/>
    </xf>
    <xf numFmtId="0" fontId="5" fillId="0" borderId="28" xfId="4" applyFont="1" applyFill="1" applyBorder="1" applyAlignment="1">
      <alignment horizontal="left" vertical="top" wrapText="1"/>
    </xf>
    <xf numFmtId="0" fontId="5" fillId="0" borderId="22" xfId="4" applyFont="1" applyFill="1" applyBorder="1" applyAlignment="1">
      <alignment horizontal="left" vertical="top" wrapText="1"/>
    </xf>
    <xf numFmtId="14" fontId="5" fillId="0" borderId="10" xfId="4" applyNumberFormat="1" applyFont="1" applyFill="1" applyBorder="1" applyAlignment="1">
      <alignment horizontal="left" vertical="top"/>
    </xf>
    <xf numFmtId="14" fontId="5" fillId="0" borderId="11" xfId="4" applyNumberFormat="1" applyFont="1" applyFill="1" applyBorder="1" applyAlignment="1">
      <alignment horizontal="left" vertical="top"/>
    </xf>
    <xf numFmtId="14" fontId="5" fillId="0" borderId="12" xfId="4" applyNumberFormat="1" applyFont="1" applyFill="1" applyBorder="1" applyAlignment="1">
      <alignment horizontal="left" vertical="top"/>
    </xf>
    <xf numFmtId="0" fontId="5" fillId="4" borderId="3" xfId="8" applyFont="1" applyFill="1" applyBorder="1" applyAlignment="1">
      <alignment horizontal="left" vertical="top" wrapText="1"/>
    </xf>
    <xf numFmtId="0" fontId="5" fillId="4" borderId="3" xfId="0" applyFont="1" applyFill="1" applyBorder="1" applyAlignment="1">
      <alignment vertical="top" wrapText="1"/>
    </xf>
  </cellXfs>
  <cellStyles count="9">
    <cellStyle name="パーセント 2" xfId="6" xr:uid="{00000000-0005-0000-0000-000000000000}"/>
    <cellStyle name="標準" xfId="0" builtinId="0"/>
    <cellStyle name="標準 12" xfId="8" xr:uid="{C89B4837-4C41-4F62-B528-86BC072E59F3}"/>
    <cellStyle name="標準 2" xfId="1" xr:uid="{00000000-0005-0000-0000-000003000000}"/>
    <cellStyle name="標準 2 2" xfId="5" xr:uid="{00000000-0005-0000-0000-000004000000}"/>
    <cellStyle name="標準 3" xfId="3" xr:uid="{00000000-0005-0000-0000-000005000000}"/>
    <cellStyle name="標準_画面標準" xfId="4" xr:uid="{00000000-0005-0000-0000-000006000000}"/>
    <cellStyle name="標準_画面標準定義" xfId="7" xr:uid="{00000000-0005-0000-0000-000007000000}"/>
    <cellStyle name="標準_方式設計書(14.開発標準：D03サンプル_自動テスト仕様書：ＤＢアクセス)_V1.00" xfId="2" xr:uid="{00000000-0005-0000-0000-000008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2A00FF"/>
      <rgbColor rgb="00FFFF00"/>
      <rgbColor rgb="00FF00FF"/>
      <rgbColor rgb="0000FFFF"/>
      <rgbColor rgb="00800000"/>
      <rgbColor rgb="00008000"/>
      <rgbColor rgb="00000080"/>
      <rgbColor rgb="00808000"/>
      <rgbColor rgb="00800080"/>
      <rgbColor rgb="00008080"/>
      <rgbColor rgb="00B3B3B3"/>
      <rgbColor rgb="00808080"/>
      <rgbColor rgb="0083CAFF"/>
      <rgbColor rgb="00993366"/>
      <rgbColor rgb="00FFFFCC"/>
      <rgbColor rgb="00CCFFFF"/>
      <rgbColor rgb="00660066"/>
      <rgbColor rgb="00FF8080"/>
      <rgbColor rgb="000084D1"/>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1A1A1A"/>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15</xdr:col>
      <xdr:colOff>381000</xdr:colOff>
      <xdr:row>1</xdr:row>
      <xdr:rowOff>114300</xdr:rowOff>
    </xdr:from>
    <xdr:to>
      <xdr:col>18</xdr:col>
      <xdr:colOff>266700</xdr:colOff>
      <xdr:row>4</xdr:row>
      <xdr:rowOff>114300</xdr:rowOff>
    </xdr:to>
    <xdr:grpSp>
      <xdr:nvGrpSpPr>
        <xdr:cNvPr id="2" name="Group 17">
          <a:extLst>
            <a:ext uri="{FF2B5EF4-FFF2-40B4-BE49-F238E27FC236}">
              <a16:creationId xmlns:a16="http://schemas.microsoft.com/office/drawing/2014/main" id="{00000000-0008-0000-0000-000002000000}"/>
            </a:ext>
          </a:extLst>
        </xdr:cNvPr>
        <xdr:cNvGrpSpPr>
          <a:grpSpLocks/>
        </xdr:cNvGrpSpPr>
      </xdr:nvGrpSpPr>
      <xdr:grpSpPr bwMode="auto">
        <a:xfrm>
          <a:off x="7905750" y="285750"/>
          <a:ext cx="1390650" cy="590550"/>
          <a:chOff x="591" y="61"/>
          <a:chExt cx="147" cy="62"/>
        </a:xfrm>
      </xdr:grpSpPr>
      <xdr:sp macro="" textlink="">
        <xdr:nvSpPr>
          <xdr:cNvPr id="3" name="Text Box 12">
            <a:extLst>
              <a:ext uri="{FF2B5EF4-FFF2-40B4-BE49-F238E27FC236}">
                <a16:creationId xmlns:a16="http://schemas.microsoft.com/office/drawing/2014/main" id="{00000000-0008-0000-0000-000003000000}"/>
              </a:ext>
            </a:extLst>
          </xdr:cNvPr>
          <xdr:cNvSpPr txBox="1">
            <a:spLocks noChangeArrowheads="1"/>
          </xdr:cNvSpPr>
        </xdr:nvSpPr>
        <xdr:spPr bwMode="auto">
          <a:xfrm>
            <a:off x="591" y="61"/>
            <a:ext cx="147" cy="28"/>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1000"/>
              </a:lnSpc>
              <a:defRPr sz="1000"/>
            </a:pPr>
            <a:r>
              <a:rPr lang="ja-JP" altLang="en-US" sz="1100" b="0" i="0" u="none" strike="noStrike" baseline="0">
                <a:solidFill>
                  <a:srgbClr val="FF0000"/>
                </a:solidFill>
                <a:latin typeface="ＭＳ 明朝"/>
                <a:ea typeface="ＭＳ 明朝"/>
              </a:rPr>
              <a:t>関係者外秘</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sp macro="" textlink="">
        <xdr:nvSpPr>
          <xdr:cNvPr id="4" name="Text Box 13">
            <a:extLst>
              <a:ext uri="{FF2B5EF4-FFF2-40B4-BE49-F238E27FC236}">
                <a16:creationId xmlns:a16="http://schemas.microsoft.com/office/drawing/2014/main" id="{00000000-0008-0000-0000-000004000000}"/>
              </a:ext>
            </a:extLst>
          </xdr:cNvPr>
          <xdr:cNvSpPr txBox="1">
            <a:spLocks noChangeArrowheads="1"/>
          </xdr:cNvSpPr>
        </xdr:nvSpPr>
        <xdr:spPr bwMode="auto">
          <a:xfrm>
            <a:off x="591" y="89"/>
            <a:ext cx="147" cy="34"/>
          </a:xfrm>
          <a:prstGeom prst="rect">
            <a:avLst/>
          </a:prstGeom>
          <a:solidFill>
            <a:srgbClr val="FFFFFF"/>
          </a:solidFill>
          <a:ln w="19050">
            <a:solidFill>
              <a:srgbClr val="FF0000"/>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t" upright="1"/>
          <a:lstStyle/>
          <a:p>
            <a:pPr algn="ctr" rtl="0">
              <a:lnSpc>
                <a:spcPts val="800"/>
              </a:lnSpc>
              <a:defRPr sz="1000"/>
            </a:pPr>
            <a:r>
              <a:rPr lang="ja-JP" altLang="en-US" sz="1000" b="0" i="0" u="none" strike="noStrike" baseline="0">
                <a:solidFill>
                  <a:srgbClr val="FF0000"/>
                </a:solidFill>
                <a:latin typeface="ＭＳ 明朝"/>
                <a:ea typeface="ＭＳ 明朝"/>
              </a:rPr>
              <a:t>PJ関係者限り</a:t>
            </a:r>
            <a:endParaRPr lang="ja-JP" altLang="en-US" sz="1050" b="0" i="0" u="none" strike="noStrike" baseline="0">
              <a:solidFill>
                <a:srgbClr val="FF0000"/>
              </a:solidFill>
              <a:latin typeface="ＭＳ 明朝"/>
              <a:ea typeface="ＭＳ 明朝"/>
            </a:endParaRPr>
          </a:p>
          <a:p>
            <a:pPr algn="ctr" rtl="0">
              <a:lnSpc>
                <a:spcPts val="1100"/>
              </a:lnSpc>
              <a:defRPr sz="1000"/>
            </a:pPr>
            <a:endParaRPr lang="ja-JP" altLang="en-US" sz="1050" b="0" i="0" u="none" strike="noStrike" baseline="0">
              <a:solidFill>
                <a:srgbClr val="FF0000"/>
              </a:solidFill>
              <a:latin typeface="ＭＳ 明朝"/>
              <a:ea typeface="ＭＳ 明朝"/>
            </a:endParaRPr>
          </a:p>
        </xdr:txBody>
      </xdr:sp>
    </xdr:grpSp>
    <xdr:clientData/>
  </xdr:twoCellAnchor>
  <xdr:twoCellAnchor>
    <xdr:from>
      <xdr:col>3</xdr:col>
      <xdr:colOff>76200</xdr:colOff>
      <xdr:row>8</xdr:row>
      <xdr:rowOff>142875</xdr:rowOff>
    </xdr:from>
    <xdr:to>
      <xdr:col>16</xdr:col>
      <xdr:colOff>76200</xdr:colOff>
      <xdr:row>19</xdr:row>
      <xdr:rowOff>152400</xdr:rowOff>
    </xdr:to>
    <xdr:sp macro="" textlink="">
      <xdr:nvSpPr>
        <xdr:cNvPr id="5" name="Text Box 18">
          <a:extLst>
            <a:ext uri="{FF2B5EF4-FFF2-40B4-BE49-F238E27FC236}">
              <a16:creationId xmlns:a16="http://schemas.microsoft.com/office/drawing/2014/main" id="{00000000-0008-0000-0000-000005000000}"/>
            </a:ext>
          </a:extLst>
        </xdr:cNvPr>
        <xdr:cNvSpPr txBox="1">
          <a:spLocks noChangeArrowheads="1"/>
        </xdr:cNvSpPr>
      </xdr:nvSpPr>
      <xdr:spPr bwMode="auto">
        <a:xfrm>
          <a:off x="1590675" y="1590675"/>
          <a:ext cx="6562725" cy="1895475"/>
        </a:xfrm>
        <a:prstGeom prst="rect">
          <a:avLst/>
        </a:prstGeom>
        <a:solidFill>
          <a:srgbClr val="FFFFFF"/>
        </a:solidFill>
        <a:ln w="9525">
          <a:solidFill>
            <a:srgbClr val="000000"/>
          </a:solidFill>
          <a:miter lim="800000"/>
          <a:headEnd/>
          <a:tailEnd/>
        </a:ln>
        <a:effectLst>
          <a:outerShdw dist="107763" dir="2700000" algn="ctr" rotWithShape="0">
            <a:srgbClr val="808080"/>
          </a:outerShdw>
        </a:effectLst>
      </xdr:spPr>
      <xdr:txBody>
        <a:bodyPr vertOverflow="clip" wrap="square" lIns="90000" tIns="43200" rIns="90000" bIns="43200" anchor="ctr" upright="1"/>
        <a:lstStyle/>
        <a:p>
          <a:pPr algn="ctr" rtl="0">
            <a:lnSpc>
              <a:spcPts val="2100"/>
            </a:lnSpc>
            <a:defRPr sz="1000"/>
          </a:pPr>
          <a:r>
            <a:rPr lang="ja-JP" altLang="en-US" sz="1800" b="1" i="0" u="none" strike="noStrike" baseline="0">
              <a:solidFill>
                <a:srgbClr val="000000"/>
              </a:solidFill>
              <a:latin typeface="ＭＳ 明朝"/>
              <a:ea typeface="ＭＳ 明朝"/>
            </a:rPr>
            <a:t>サンプルプロジェクト</a:t>
          </a:r>
        </a:p>
        <a:p>
          <a:pPr algn="ctr" rtl="0">
            <a:lnSpc>
              <a:spcPts val="21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単体テスト仕様書</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画面</a:t>
          </a:r>
          <a:r>
            <a:rPr lang="en-US" altLang="ja-JP" sz="1800" b="1" i="0" u="none" strike="noStrike" baseline="0">
              <a:solidFill>
                <a:srgbClr val="000000"/>
              </a:solidFill>
              <a:latin typeface="ＭＳ 明朝"/>
              <a:ea typeface="ＭＳ 明朝"/>
            </a:rPr>
            <a:t>)</a:t>
          </a:r>
        </a:p>
        <a:p>
          <a:pPr algn="ctr" rtl="0">
            <a:lnSpc>
              <a:spcPts val="2200"/>
            </a:lnSpc>
            <a:defRPr sz="1000"/>
          </a:pPr>
          <a:endParaRPr lang="ja-JP" altLang="en-US" sz="1800" b="1" i="0" u="none" strike="noStrike" baseline="0">
            <a:solidFill>
              <a:srgbClr val="000000"/>
            </a:solidFill>
            <a:latin typeface="ＭＳ 明朝"/>
            <a:ea typeface="ＭＳ 明朝"/>
          </a:endParaRPr>
        </a:p>
        <a:p>
          <a:pPr algn="ctr" rtl="0">
            <a:lnSpc>
              <a:spcPts val="2100"/>
            </a:lnSpc>
            <a:defRPr sz="1000"/>
          </a:pPr>
          <a:r>
            <a:rPr lang="ja-JP" altLang="en-US" sz="1800" b="1" i="0" u="none" strike="noStrike" baseline="0">
              <a:solidFill>
                <a:srgbClr val="000000"/>
              </a:solidFill>
              <a:latin typeface="ＭＳ 明朝"/>
              <a:ea typeface="ＭＳ 明朝"/>
            </a:rPr>
            <a:t>サンプルサブシステム</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サンプル機能</a:t>
          </a:r>
          <a:r>
            <a:rPr lang="en-US" altLang="ja-JP" sz="1800" b="1" i="0" u="none" strike="noStrike" baseline="0">
              <a:solidFill>
                <a:srgbClr val="000000"/>
              </a:solidFill>
              <a:latin typeface="ＭＳ 明朝"/>
              <a:ea typeface="ＭＳ 明朝"/>
            </a:rPr>
            <a:t>/</a:t>
          </a:r>
          <a:r>
            <a:rPr lang="ja-JP" altLang="en-US" sz="1800" b="1" i="0" u="none" strike="noStrike" baseline="0">
              <a:solidFill>
                <a:srgbClr val="000000"/>
              </a:solidFill>
              <a:latin typeface="ＭＳ 明朝"/>
              <a:ea typeface="ＭＳ 明朝"/>
            </a:rPr>
            <a:t>サンプル取引</a:t>
          </a:r>
          <a:endParaRPr lang="en-US" altLang="ja-JP" sz="1800" b="1" i="0" u="none" strike="noStrike" baseline="0">
            <a:solidFill>
              <a:srgbClr val="000000"/>
            </a:solidFill>
            <a:latin typeface="ＭＳ 明朝"/>
            <a:ea typeface="ＭＳ 明朝"/>
          </a:endParaRPr>
        </a:p>
      </xdr:txBody>
    </xdr:sp>
    <xdr:clientData/>
  </xdr:twoCellAnchor>
  <xdr:oneCellAnchor>
    <xdr:from>
      <xdr:col>4</xdr:col>
      <xdr:colOff>276223</xdr:colOff>
      <xdr:row>15</xdr:row>
      <xdr:rowOff>47626</xdr:rowOff>
    </xdr:from>
    <xdr:ext cx="5473999" cy="1871540"/>
    <xdr:sp macro="" textlink="">
      <xdr:nvSpPr>
        <xdr:cNvPr id="7" name="正方形/長方形 6">
          <a:extLst>
            <a:ext uri="{FF2B5EF4-FFF2-40B4-BE49-F238E27FC236}">
              <a16:creationId xmlns:a16="http://schemas.microsoft.com/office/drawing/2014/main" id="{00000000-0008-0000-0000-000007000000}"/>
            </a:ext>
          </a:extLst>
        </xdr:cNvPr>
        <xdr:cNvSpPr/>
      </xdr:nvSpPr>
      <xdr:spPr>
        <a:xfrm rot="20636203">
          <a:off x="2295523" y="2695576"/>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7</xdr:col>
      <xdr:colOff>161924</xdr:colOff>
      <xdr:row>11</xdr:row>
      <xdr:rowOff>114301</xdr:rowOff>
    </xdr:from>
    <xdr:ext cx="5473999" cy="1871540"/>
    <xdr:sp macro="" textlink="">
      <xdr:nvSpPr>
        <xdr:cNvPr id="3" name="正方形/長方形 2">
          <a:extLst>
            <a:ext uri="{FF2B5EF4-FFF2-40B4-BE49-F238E27FC236}">
              <a16:creationId xmlns:a16="http://schemas.microsoft.com/office/drawing/2014/main" id="{00000000-0008-0000-0100-000003000000}"/>
            </a:ext>
          </a:extLst>
        </xdr:cNvPr>
        <xdr:cNvSpPr/>
      </xdr:nvSpPr>
      <xdr:spPr>
        <a:xfrm rot="20636203">
          <a:off x="2095499" y="2143126"/>
          <a:ext cx="5473999" cy="1871540"/>
        </a:xfrm>
        <a:prstGeom prst="rect">
          <a:avLst/>
        </a:prstGeom>
        <a:noFill/>
      </xdr:spPr>
      <xdr:txBody>
        <a:bodyPr wrap="none" lIns="91440" tIns="45720" rIns="91440" bIns="45720">
          <a:noAutofit/>
        </a:bodyPr>
        <a:lstStyle/>
        <a:p>
          <a:pPr algn="ctr"/>
          <a:r>
            <a:rPr lang="en-US" altLang="ja-JP"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96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9526</xdr:colOff>
      <xdr:row>0</xdr:row>
      <xdr:rowOff>85724</xdr:rowOff>
    </xdr:from>
    <xdr:to>
      <xdr:col>5</xdr:col>
      <xdr:colOff>2914650</xdr:colOff>
      <xdr:row>6</xdr:row>
      <xdr:rowOff>104775</xdr:rowOff>
    </xdr:to>
    <xdr:sp macro="" textlink="">
      <xdr:nvSpPr>
        <xdr:cNvPr id="2" name="Rectangle 32">
          <a:extLst>
            <a:ext uri="{FF2B5EF4-FFF2-40B4-BE49-F238E27FC236}">
              <a16:creationId xmlns:a16="http://schemas.microsoft.com/office/drawing/2014/main" id="{458340A5-F97A-4E4C-BA89-8379B3767E78}"/>
            </a:ext>
          </a:extLst>
        </xdr:cNvPr>
        <xdr:cNvSpPr>
          <a:spLocks noChangeArrowheads="1"/>
        </xdr:cNvSpPr>
      </xdr:nvSpPr>
      <xdr:spPr bwMode="auto">
        <a:xfrm>
          <a:off x="2638426" y="85724"/>
          <a:ext cx="3562349" cy="876301"/>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・クラス単体テストのテストケースは、テストターゲットごとにシートを分けて記述する。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・本テスト仕様書は仕様書の書き方を説明するためのサンプルであり、必要なテストケースが全て網羅されているわけではない。</a:t>
          </a:r>
        </a:p>
      </xdr:txBody>
    </xdr:sp>
    <xdr:clientData/>
  </xdr:twoCellAnchor>
  <xdr:twoCellAnchor>
    <xdr:from>
      <xdr:col>5</xdr:col>
      <xdr:colOff>542926</xdr:colOff>
      <xdr:row>11</xdr:row>
      <xdr:rowOff>95250</xdr:rowOff>
    </xdr:from>
    <xdr:to>
      <xdr:col>5</xdr:col>
      <xdr:colOff>2905126</xdr:colOff>
      <xdr:row>12</xdr:row>
      <xdr:rowOff>419099</xdr:rowOff>
    </xdr:to>
    <xdr:sp macro="" textlink="">
      <xdr:nvSpPr>
        <xdr:cNvPr id="3" name="AutoShape 29">
          <a:extLst>
            <a:ext uri="{FF2B5EF4-FFF2-40B4-BE49-F238E27FC236}">
              <a16:creationId xmlns:a16="http://schemas.microsoft.com/office/drawing/2014/main" id="{45457F2B-A1F8-43A0-AC85-0737361620AC}"/>
            </a:ext>
          </a:extLst>
        </xdr:cNvPr>
        <xdr:cNvSpPr>
          <a:spLocks/>
        </xdr:cNvSpPr>
      </xdr:nvSpPr>
      <xdr:spPr bwMode="auto">
        <a:xfrm>
          <a:off x="3829051" y="1962150"/>
          <a:ext cx="2362200" cy="609599"/>
        </a:xfrm>
        <a:prstGeom prst="borderCallout1">
          <a:avLst>
            <a:gd name="adj1" fmla="val 13733"/>
            <a:gd name="adj2" fmla="val -2577"/>
            <a:gd name="adj3" fmla="val -63043"/>
            <a:gd name="adj4" fmla="val -10417"/>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　単体テスト概要」に記載されている内容に従い、テスト観点カタログより転記すること。</a:t>
          </a:r>
        </a:p>
      </xdr:txBody>
    </xdr:sp>
    <xdr:clientData/>
  </xdr:twoCellAnchor>
  <xdr:twoCellAnchor>
    <xdr:from>
      <xdr:col>7</xdr:col>
      <xdr:colOff>57150</xdr:colOff>
      <xdr:row>11</xdr:row>
      <xdr:rowOff>38101</xdr:rowOff>
    </xdr:from>
    <xdr:to>
      <xdr:col>9</xdr:col>
      <xdr:colOff>1381125</xdr:colOff>
      <xdr:row>17</xdr:row>
      <xdr:rowOff>247651</xdr:rowOff>
    </xdr:to>
    <xdr:sp macro="" textlink="">
      <xdr:nvSpPr>
        <xdr:cNvPr id="4" name="AutoShape 35">
          <a:extLst>
            <a:ext uri="{FF2B5EF4-FFF2-40B4-BE49-F238E27FC236}">
              <a16:creationId xmlns:a16="http://schemas.microsoft.com/office/drawing/2014/main" id="{ED8124B0-9D46-4F17-9E9A-E996B72ABE71}"/>
            </a:ext>
          </a:extLst>
        </xdr:cNvPr>
        <xdr:cNvSpPr>
          <a:spLocks/>
        </xdr:cNvSpPr>
      </xdr:nvSpPr>
      <xdr:spPr bwMode="auto">
        <a:xfrm>
          <a:off x="8582025" y="1905001"/>
          <a:ext cx="3705225" cy="2209800"/>
        </a:xfrm>
        <a:prstGeom prst="borderCallout1">
          <a:avLst>
            <a:gd name="adj1" fmla="val -1857"/>
            <a:gd name="adj2" fmla="val 72163"/>
            <a:gd name="adj3" fmla="val -12797"/>
            <a:gd name="adj4" fmla="val 795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テストで確認する内容と、入力データの条件が分かるように記述する。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・他人が読んでもテストケースの目的(何を確認するためのケースなのか)とテストデータの条件(どのようなデータを用意すればよいのか)を理解できるように記述する。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・確認する内容にOR条件は極力使用しない。</a:t>
          </a:r>
        </a:p>
        <a:p>
          <a:pPr algn="l" rtl="0">
            <a:lnSpc>
              <a:spcPts val="1200"/>
            </a:lnSpc>
            <a:defRPr sz="1000"/>
          </a:pPr>
          <a:r>
            <a:rPr lang="ja-JP" altLang="en-US" sz="900" b="0" i="0" u="none" strike="noStrike" baseline="0">
              <a:solidFill>
                <a:sysClr val="windowText" lastClr="000000"/>
              </a:solidFill>
              <a:latin typeface="ＭＳ 明朝"/>
              <a:ea typeface="ＭＳ 明朝"/>
            </a:rPr>
            <a:t>　条件のどちらか一方で確認内容が充足する場合はその旨を記述し、</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両方の条件の確認が必要な場合は、ケースを分けて記述する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・入力条件には具体的な値ではなく、条件を記述する。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　※その値であることが条件である場合は、具体的な値を記述してよい。</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請求日が20110931の場合</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請求日が実在日付ではない場合</a:t>
          </a:r>
        </a:p>
      </xdr:txBody>
    </xdr:sp>
    <xdr:clientData/>
  </xdr:twoCellAnchor>
  <xdr:twoCellAnchor>
    <xdr:from>
      <xdr:col>9</xdr:col>
      <xdr:colOff>266701</xdr:colOff>
      <xdr:row>18</xdr:row>
      <xdr:rowOff>104777</xdr:rowOff>
    </xdr:from>
    <xdr:to>
      <xdr:col>11</xdr:col>
      <xdr:colOff>323851</xdr:colOff>
      <xdr:row>26</xdr:row>
      <xdr:rowOff>171451</xdr:rowOff>
    </xdr:to>
    <xdr:sp macro="" textlink="">
      <xdr:nvSpPr>
        <xdr:cNvPr id="5" name="AutoShape 37">
          <a:extLst>
            <a:ext uri="{FF2B5EF4-FFF2-40B4-BE49-F238E27FC236}">
              <a16:creationId xmlns:a16="http://schemas.microsoft.com/office/drawing/2014/main" id="{D8CB1AA1-FCD6-45E7-8AF2-E185DC8731E3}"/>
            </a:ext>
          </a:extLst>
        </xdr:cNvPr>
        <xdr:cNvSpPr>
          <a:spLocks/>
        </xdr:cNvSpPr>
      </xdr:nvSpPr>
      <xdr:spPr bwMode="auto">
        <a:xfrm>
          <a:off x="11172826" y="4257677"/>
          <a:ext cx="3962400" cy="2352674"/>
        </a:xfrm>
        <a:prstGeom prst="borderCallout1">
          <a:avLst>
            <a:gd name="adj1" fmla="val -2246"/>
            <a:gd name="adj2" fmla="val 55320"/>
            <a:gd name="adj3" fmla="val -111460"/>
            <a:gd name="adj4" fmla="val 5708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想定結果は、テスト実施者がテスト結果をどのように検証すれば良いのか分かるように記述する。</a:t>
          </a:r>
        </a:p>
        <a:p>
          <a:pPr algn="l" rtl="0">
            <a:lnSpc>
              <a:spcPts val="1200"/>
            </a:lnSpc>
            <a:defRPr sz="1000"/>
          </a:pPr>
          <a:r>
            <a:rPr lang="ja-JP" altLang="en-US" sz="900" b="0" i="0" u="none" strike="noStrike" baseline="0">
              <a:solidFill>
                <a:sysClr val="windowText" lastClr="000000"/>
              </a:solidFill>
              <a:latin typeface="ＭＳ 明朝"/>
              <a:ea typeface="ＭＳ 明朝"/>
            </a:rPr>
            <a:t>例えば、悪い記述として次のような記述がある。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「処理が正常終了する。」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「0が設定される。」</a:t>
          </a:r>
        </a:p>
        <a:p>
          <a:pPr algn="l" rtl="0">
            <a:lnSpc>
              <a:spcPts val="1200"/>
            </a:lnSpc>
            <a:defRPr sz="1000"/>
          </a:pPr>
          <a:r>
            <a:rPr lang="ja-JP" altLang="en-US" sz="900" b="0" i="0" u="none" strike="noStrike" baseline="0">
              <a:solidFill>
                <a:sysClr val="windowText" lastClr="000000"/>
              </a:solidFill>
              <a:latin typeface="ＭＳ 明朝"/>
              <a:ea typeface="ＭＳ 明朝"/>
            </a:rPr>
            <a:t>　　＜悪い点＞</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正常終了の具体的な状態が分からない。</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 </a:t>
          </a:r>
          <a:r>
            <a:rPr lang="ja-JP" altLang="en-US" sz="900" b="0" i="0" u="none" strike="noStrike" baseline="0">
              <a:solidFill>
                <a:sysClr val="windowText" lastClr="000000"/>
              </a:solidFill>
              <a:latin typeface="ＭＳ 明朝"/>
              <a:ea typeface="ＭＳ 明朝"/>
            </a:rPr>
            <a:t>　　　　どのように検証すれば良いのか分からない。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何に0が設定されるのか分からない。</a:t>
          </a:r>
        </a:p>
        <a:p>
          <a:pPr algn="l" rtl="0">
            <a:lnSpc>
              <a:spcPts val="1200"/>
            </a:lnSpc>
            <a:defRPr sz="1000"/>
          </a:pPr>
          <a:r>
            <a:rPr lang="ja-JP" altLang="en-US" sz="900" b="0" i="0" u="none" strike="noStrike" baseline="0">
              <a:solidFill>
                <a:sysClr val="windowText" lastClr="000000"/>
              </a:solidFill>
              <a:latin typeface="ＭＳ 明朝"/>
              <a:ea typeface="ＭＳ 明朝"/>
            </a:rPr>
            <a:t>上記は、例として次のように記述すると良い。</a:t>
          </a:r>
        </a:p>
        <a:p>
          <a:pPr algn="l" rtl="0">
            <a:lnSpc>
              <a:spcPts val="1200"/>
            </a:lnSpc>
            <a:defRPr sz="1000"/>
          </a:pPr>
          <a:r>
            <a:rPr lang="ja-JP" altLang="en-US" sz="900" b="0" i="0" u="none" strike="noStrike" baseline="0">
              <a:solidFill>
                <a:sysClr val="windowText" lastClr="000000"/>
              </a:solidFill>
              <a:latin typeface="ＭＳ 明朝"/>
              <a:ea typeface="ＭＳ 明朝"/>
            </a:rPr>
            <a:t>　　＜良い例＞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終了コードが"0"である。</a:t>
          </a: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口座振替結果ワークテーブルの処理済みフラグに"0"が設定される。</a:t>
          </a:r>
        </a:p>
      </xdr:txBody>
    </xdr:sp>
    <xdr:clientData/>
  </xdr:twoCellAnchor>
  <xdr:twoCellAnchor>
    <xdr:from>
      <xdr:col>11</xdr:col>
      <xdr:colOff>571500</xdr:colOff>
      <xdr:row>10</xdr:row>
      <xdr:rowOff>200025</xdr:rowOff>
    </xdr:from>
    <xdr:to>
      <xdr:col>17</xdr:col>
      <xdr:colOff>428625</xdr:colOff>
      <xdr:row>19</xdr:row>
      <xdr:rowOff>76200</xdr:rowOff>
    </xdr:to>
    <xdr:grpSp>
      <xdr:nvGrpSpPr>
        <xdr:cNvPr id="16" name="グループ化 15">
          <a:extLst>
            <a:ext uri="{FF2B5EF4-FFF2-40B4-BE49-F238E27FC236}">
              <a16:creationId xmlns:a16="http://schemas.microsoft.com/office/drawing/2014/main" id="{F5969B90-0851-4169-AB74-4C370742F891}"/>
            </a:ext>
          </a:extLst>
        </xdr:cNvPr>
        <xdr:cNvGrpSpPr/>
      </xdr:nvGrpSpPr>
      <xdr:grpSpPr>
        <a:xfrm>
          <a:off x="15462250" y="1616075"/>
          <a:ext cx="4899025" cy="2670175"/>
          <a:chOff x="16335375" y="4752975"/>
          <a:chExt cx="4914900" cy="2733675"/>
        </a:xfrm>
      </xdr:grpSpPr>
      <xdr:sp macro="" textlink="">
        <xdr:nvSpPr>
          <xdr:cNvPr id="7" name="AutoShape 31">
            <a:extLst>
              <a:ext uri="{FF2B5EF4-FFF2-40B4-BE49-F238E27FC236}">
                <a16:creationId xmlns:a16="http://schemas.microsoft.com/office/drawing/2014/main" id="{CF94E9D2-2E0D-4504-B666-7269F3B0CE17}"/>
              </a:ext>
            </a:extLst>
          </xdr:cNvPr>
          <xdr:cNvSpPr>
            <a:spLocks/>
          </xdr:cNvSpPr>
        </xdr:nvSpPr>
        <xdr:spPr bwMode="auto">
          <a:xfrm>
            <a:off x="16335375" y="4752975"/>
            <a:ext cx="4914900" cy="2733675"/>
          </a:xfrm>
          <a:prstGeom prst="borderCallout1">
            <a:avLst>
              <a:gd name="adj1" fmla="val 8601"/>
              <a:gd name="adj2" fmla="val -812"/>
              <a:gd name="adj3" fmla="val -4288"/>
              <a:gd name="adj4" fmla="val -694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・テストデータシート名、データNoはテストデータとのひもづけに使用する。</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・テストデータシート名、データNoは単体テスト実施時に記載する。</a:t>
            </a:r>
          </a:p>
          <a:p>
            <a:pPr algn="l" rtl="0">
              <a:lnSpc>
                <a:spcPts val="1200"/>
              </a:lnSpc>
              <a:defRPr sz="1000"/>
            </a:pPr>
            <a:r>
              <a:rPr lang="ja-JP" altLang="en-US" sz="900" b="0" i="0" u="none" strike="noStrike" baseline="0">
                <a:solidFill>
                  <a:sysClr val="windowText" lastClr="000000"/>
                </a:solidFill>
                <a:latin typeface="ＭＳ 明朝"/>
                <a:ea typeface="ＭＳ 明朝"/>
              </a:rPr>
              <a:t>・複数ケースを1データで実施できるような場合は、同じデータNoを記載しても構わない。</a:t>
            </a:r>
          </a:p>
          <a:p>
            <a:pPr algn="l" rtl="0">
              <a:lnSpc>
                <a:spcPts val="1200"/>
              </a:lnSpc>
              <a:defRPr sz="1000"/>
            </a:pPr>
            <a:r>
              <a:rPr lang="ja-JP" altLang="en-US" sz="900" b="0" i="0" u="none" strike="noStrike" baseline="0">
                <a:solidFill>
                  <a:sysClr val="windowText" lastClr="000000"/>
                </a:solidFill>
                <a:latin typeface="ＭＳ 明朝"/>
                <a:ea typeface="ＭＳ 明朝"/>
              </a:rPr>
              <a:t>・テストデータシート名は、テストデータのExcelファイルのシート名と一致させること。</a:t>
            </a:r>
          </a:p>
          <a:p>
            <a:pPr algn="l" rtl="0">
              <a:lnSpc>
                <a:spcPts val="1100"/>
              </a:lnSpc>
              <a:defRPr sz="1000"/>
            </a:pPr>
            <a:r>
              <a:rPr lang="ja-JP" altLang="en-US" sz="900" b="0" i="0" u="none" strike="noStrike" baseline="0">
                <a:solidFill>
                  <a:sysClr val="windowText" lastClr="000000"/>
                </a:solidFill>
                <a:latin typeface="ＭＳ 明朝"/>
                <a:ea typeface="ＭＳ 明朝"/>
              </a:rPr>
              <a:t>・データNoは、テストデータのExcelファイルのテストショット一覧のNoと一致させること。</a:t>
            </a:r>
          </a:p>
        </xdr:txBody>
      </xdr:sp>
      <xdr:grpSp>
        <xdr:nvGrpSpPr>
          <xdr:cNvPr id="15" name="グループ化 14">
            <a:extLst>
              <a:ext uri="{FF2B5EF4-FFF2-40B4-BE49-F238E27FC236}">
                <a16:creationId xmlns:a16="http://schemas.microsoft.com/office/drawing/2014/main" id="{0BCE1BAD-F5E9-49E7-A3D4-99765932A9C2}"/>
              </a:ext>
            </a:extLst>
          </xdr:cNvPr>
          <xdr:cNvGrpSpPr/>
        </xdr:nvGrpSpPr>
        <xdr:grpSpPr>
          <a:xfrm>
            <a:off x="16416568" y="5791507"/>
            <a:ext cx="4687760" cy="1384197"/>
            <a:chOff x="16521343" y="2753032"/>
            <a:chExt cx="4687760" cy="1384197"/>
          </a:xfrm>
        </xdr:grpSpPr>
        <xdr:pic>
          <xdr:nvPicPr>
            <xdr:cNvPr id="8" name="Picture 52" descr="testdata">
              <a:extLst>
                <a:ext uri="{FF2B5EF4-FFF2-40B4-BE49-F238E27FC236}">
                  <a16:creationId xmlns:a16="http://schemas.microsoft.com/office/drawing/2014/main" id="{AF37CC3D-B915-449A-8B0A-ECDD62F389A8}"/>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6521343" y="2753032"/>
              <a:ext cx="3289812" cy="1176184"/>
            </a:xfrm>
            <a:prstGeom prst="rect">
              <a:avLst/>
            </a:prstGeom>
            <a:noFill/>
            <a:ln w="9525">
              <a:noFill/>
              <a:miter lim="800000"/>
              <a:headEnd/>
              <a:tailEnd/>
            </a:ln>
          </xdr:spPr>
        </xdr:pic>
        <xdr:sp macro="" textlink="">
          <xdr:nvSpPr>
            <xdr:cNvPr id="9" name="AutoShape 47">
              <a:extLst>
                <a:ext uri="{FF2B5EF4-FFF2-40B4-BE49-F238E27FC236}">
                  <a16:creationId xmlns:a16="http://schemas.microsoft.com/office/drawing/2014/main" id="{2888D6D9-F1E2-4AC9-A291-32564AAABD10}"/>
                </a:ext>
              </a:extLst>
            </xdr:cNvPr>
            <xdr:cNvSpPr>
              <a:spLocks noChangeArrowheads="1"/>
            </xdr:cNvSpPr>
          </xdr:nvSpPr>
          <xdr:spPr bwMode="auto">
            <a:xfrm>
              <a:off x="17710816" y="3774358"/>
              <a:ext cx="980998" cy="212930"/>
            </a:xfrm>
            <a:prstGeom prst="roundRect">
              <a:avLst>
                <a:gd name="adj" fmla="val 16667"/>
              </a:avLst>
            </a:prstGeom>
            <a:noFill/>
            <a:ln w="19050">
              <a:solidFill>
                <a:srgbClr val="2A00FF"/>
              </a:solidFill>
              <a:prstDash val="dash"/>
              <a:round/>
              <a:headEnd/>
              <a:tailEnd/>
            </a:ln>
          </xdr:spPr>
        </xdr:sp>
        <xdr:sp macro="" textlink="">
          <xdr:nvSpPr>
            <xdr:cNvPr id="10" name="AutoShape 49">
              <a:extLst>
                <a:ext uri="{FF2B5EF4-FFF2-40B4-BE49-F238E27FC236}">
                  <a16:creationId xmlns:a16="http://schemas.microsoft.com/office/drawing/2014/main" id="{DABF1583-B147-496D-BE56-897498B27DB1}"/>
                </a:ext>
              </a:extLst>
            </xdr:cNvPr>
            <xdr:cNvSpPr>
              <a:spLocks noChangeArrowheads="1"/>
            </xdr:cNvSpPr>
          </xdr:nvSpPr>
          <xdr:spPr bwMode="auto">
            <a:xfrm>
              <a:off x="16759161" y="3270148"/>
              <a:ext cx="604453" cy="638790"/>
            </a:xfrm>
            <a:prstGeom prst="roundRect">
              <a:avLst>
                <a:gd name="adj" fmla="val 16667"/>
              </a:avLst>
            </a:prstGeom>
            <a:noFill/>
            <a:ln w="19050">
              <a:solidFill>
                <a:srgbClr val="2A00FF"/>
              </a:solidFill>
              <a:prstDash val="dash"/>
              <a:round/>
              <a:headEnd/>
              <a:tailEnd/>
            </a:ln>
          </xdr:spPr>
        </xdr:sp>
        <xdr:sp macro="" textlink="">
          <xdr:nvSpPr>
            <xdr:cNvPr id="11" name="AutoShape 50">
              <a:extLst>
                <a:ext uri="{FF2B5EF4-FFF2-40B4-BE49-F238E27FC236}">
                  <a16:creationId xmlns:a16="http://schemas.microsoft.com/office/drawing/2014/main" id="{BB8E2A40-CB0C-48C9-BF20-A2901B9AB614}"/>
                </a:ext>
              </a:extLst>
            </xdr:cNvPr>
            <xdr:cNvSpPr>
              <a:spLocks/>
            </xdr:cNvSpPr>
          </xdr:nvSpPr>
          <xdr:spPr bwMode="auto">
            <a:xfrm>
              <a:off x="20010105" y="3599835"/>
              <a:ext cx="1198998" cy="537394"/>
            </a:xfrm>
            <a:prstGeom prst="borderCallout1">
              <a:avLst>
                <a:gd name="adj1" fmla="val 30769"/>
                <a:gd name="adj2" fmla="val -6611"/>
                <a:gd name="adj3" fmla="val 49698"/>
                <a:gd name="adj4" fmla="val -10851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テストデータシート名と一致させる。</a:t>
              </a:r>
            </a:p>
          </xdr:txBody>
        </xdr:sp>
        <xdr:sp macro="" textlink="">
          <xdr:nvSpPr>
            <xdr:cNvPr id="12" name="AutoShape 51">
              <a:extLst>
                <a:ext uri="{FF2B5EF4-FFF2-40B4-BE49-F238E27FC236}">
                  <a16:creationId xmlns:a16="http://schemas.microsoft.com/office/drawing/2014/main" id="{A379BDFA-1D2C-4EE0-BB80-CF7F44779244}"/>
                </a:ext>
              </a:extLst>
            </xdr:cNvPr>
            <xdr:cNvSpPr>
              <a:spLocks/>
            </xdr:cNvSpPr>
          </xdr:nvSpPr>
          <xdr:spPr bwMode="auto">
            <a:xfrm>
              <a:off x="19999427" y="2763172"/>
              <a:ext cx="1198998" cy="405581"/>
            </a:xfrm>
            <a:prstGeom prst="borderCallout1">
              <a:avLst>
                <a:gd name="adj1" fmla="val 30000"/>
                <a:gd name="adj2" fmla="val -6611"/>
                <a:gd name="adj3" fmla="val 145000"/>
                <a:gd name="adj4" fmla="val -228259"/>
              </a:avLst>
            </a:prstGeom>
            <a:solidFill>
              <a:srgbClr val="FFFFFF"/>
            </a:solidFill>
            <a:ln w="9525">
              <a:solidFill>
                <a:srgbClr val="000000"/>
              </a:solidFill>
              <a:miter lim="800000"/>
              <a:headEnd/>
              <a:tailEnd/>
            </a:ln>
          </xdr:spPr>
          <xdr:txBody>
            <a:bodyPr vertOverflow="clip" wrap="square" lIns="27432" tIns="18288" rIns="0" bIns="0" anchor="t" upright="1"/>
            <a:lstStyle/>
            <a:p>
              <a:pPr algn="l" rtl="0">
                <a:defRPr sz="1000"/>
              </a:pPr>
              <a:r>
                <a:rPr lang="ja-JP" altLang="en-US" sz="800" b="0" i="0" u="none" strike="noStrike" baseline="0">
                  <a:solidFill>
                    <a:sysClr val="windowText" lastClr="000000"/>
                  </a:solidFill>
                  <a:latin typeface="ＭＳ 明朝"/>
                  <a:ea typeface="ＭＳ 明朝"/>
                </a:rPr>
                <a:t>データNoと一致させる</a:t>
              </a:r>
            </a:p>
          </xdr:txBody>
        </xdr:sp>
      </xdr:grpSp>
    </xdr:grpSp>
    <xdr:clientData/>
  </xdr:twoCellAnchor>
  <xdr:twoCellAnchor>
    <xdr:from>
      <xdr:col>1</xdr:col>
      <xdr:colOff>57150</xdr:colOff>
      <xdr:row>11</xdr:row>
      <xdr:rowOff>104775</xdr:rowOff>
    </xdr:from>
    <xdr:to>
      <xdr:col>5</xdr:col>
      <xdr:colOff>9525</xdr:colOff>
      <xdr:row>14</xdr:row>
      <xdr:rowOff>161926</xdr:rowOff>
    </xdr:to>
    <xdr:sp macro="" textlink="">
      <xdr:nvSpPr>
        <xdr:cNvPr id="13" name="AutoShape 9">
          <a:extLst>
            <a:ext uri="{FF2B5EF4-FFF2-40B4-BE49-F238E27FC236}">
              <a16:creationId xmlns:a16="http://schemas.microsoft.com/office/drawing/2014/main" id="{5425097A-8575-44FB-929A-6DA0F2D07CCD}"/>
            </a:ext>
          </a:extLst>
        </xdr:cNvPr>
        <xdr:cNvSpPr>
          <a:spLocks/>
        </xdr:cNvSpPr>
      </xdr:nvSpPr>
      <xdr:spPr bwMode="auto">
        <a:xfrm>
          <a:off x="714375" y="1971675"/>
          <a:ext cx="2581275" cy="1057276"/>
        </a:xfrm>
        <a:prstGeom prst="borderCallout1">
          <a:avLst>
            <a:gd name="adj1" fmla="val 11921"/>
            <a:gd name="adj2" fmla="val -1734"/>
            <a:gd name="adj3" fmla="val -30683"/>
            <a:gd name="adj4" fmla="val -9294"/>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：詳細が変わったらインクリメント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：観点が変わったらインクリメント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twoCellAnchor>
    <xdr:from>
      <xdr:col>5</xdr:col>
      <xdr:colOff>1066801</xdr:colOff>
      <xdr:row>13</xdr:row>
      <xdr:rowOff>228600</xdr:rowOff>
    </xdr:from>
    <xdr:to>
      <xdr:col>6</xdr:col>
      <xdr:colOff>981076</xdr:colOff>
      <xdr:row>16</xdr:row>
      <xdr:rowOff>285749</xdr:rowOff>
    </xdr:to>
    <xdr:sp macro="" textlink="">
      <xdr:nvSpPr>
        <xdr:cNvPr id="17" name="AutoShape 35">
          <a:extLst>
            <a:ext uri="{FF2B5EF4-FFF2-40B4-BE49-F238E27FC236}">
              <a16:creationId xmlns:a16="http://schemas.microsoft.com/office/drawing/2014/main" id="{FECFA0EE-8D2D-41F3-81E3-DD76DD2D2D44}"/>
            </a:ext>
          </a:extLst>
        </xdr:cNvPr>
        <xdr:cNvSpPr>
          <a:spLocks/>
        </xdr:cNvSpPr>
      </xdr:nvSpPr>
      <xdr:spPr bwMode="auto">
        <a:xfrm>
          <a:off x="4352926" y="2809875"/>
          <a:ext cx="3009900" cy="914399"/>
        </a:xfrm>
        <a:prstGeom prst="borderCallout1">
          <a:avLst>
            <a:gd name="adj1" fmla="val -1857"/>
            <a:gd name="adj2" fmla="val 72163"/>
            <a:gd name="adj3" fmla="val -169660"/>
            <a:gd name="adj4" fmla="val 826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確認観点に該当するテストが不要な場合は、レビューアのケース抽出漏れチェックを軽減する為、行削除するのではなく対象外理由を記述してグレーアウトすること。</a:t>
          </a:r>
        </a:p>
      </xdr:txBody>
    </xdr:sp>
    <xdr:clientData/>
  </xdr:twoCellAnchor>
  <xdr:oneCellAnchor>
    <xdr:from>
      <xdr:col>6</xdr:col>
      <xdr:colOff>0</xdr:colOff>
      <xdr:row>0</xdr:row>
      <xdr:rowOff>0</xdr:rowOff>
    </xdr:from>
    <xdr:ext cx="3067050" cy="1104900"/>
    <xdr:sp macro="" textlink="">
      <xdr:nvSpPr>
        <xdr:cNvPr id="26" name="正方形/長方形 25">
          <a:extLst>
            <a:ext uri="{FF2B5EF4-FFF2-40B4-BE49-F238E27FC236}">
              <a16:creationId xmlns:a16="http://schemas.microsoft.com/office/drawing/2014/main" id="{0E3AD747-86C3-4446-AD39-AEBF7DEBE231}"/>
            </a:ext>
          </a:extLst>
        </xdr:cNvPr>
        <xdr:cNvSpPr/>
      </xdr:nvSpPr>
      <xdr:spPr>
        <a:xfrm>
          <a:off x="638175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4</xdr:col>
      <xdr:colOff>19051</xdr:colOff>
      <xdr:row>0</xdr:row>
      <xdr:rowOff>123826</xdr:rowOff>
    </xdr:from>
    <xdr:to>
      <xdr:col>5</xdr:col>
      <xdr:colOff>2828925</xdr:colOff>
      <xdr:row>5</xdr:row>
      <xdr:rowOff>76201</xdr:rowOff>
    </xdr:to>
    <xdr:sp macro="" textlink="">
      <xdr:nvSpPr>
        <xdr:cNvPr id="2" name="Rectangle 7">
          <a:extLst>
            <a:ext uri="{FF2B5EF4-FFF2-40B4-BE49-F238E27FC236}">
              <a16:creationId xmlns:a16="http://schemas.microsoft.com/office/drawing/2014/main" id="{8EE2E419-B2EA-40E9-914B-B6B267481A31}"/>
            </a:ext>
          </a:extLst>
        </xdr:cNvPr>
        <xdr:cNvSpPr>
          <a:spLocks noChangeArrowheads="1"/>
        </xdr:cNvSpPr>
      </xdr:nvSpPr>
      <xdr:spPr bwMode="auto">
        <a:xfrm>
          <a:off x="2647951" y="123826"/>
          <a:ext cx="3467099" cy="6667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・リクエスト単体テストのテストケースは、リクエスト</a:t>
          </a:r>
          <a:r>
            <a:rPr lang="en-US" altLang="ja-JP" sz="900" b="0" i="0" u="none" strike="noStrike" baseline="0">
              <a:solidFill>
                <a:sysClr val="windowText" lastClr="000000"/>
              </a:solidFill>
              <a:latin typeface="ＭＳ 明朝"/>
              <a:ea typeface="ＭＳ 明朝"/>
            </a:rPr>
            <a:t>ID</a:t>
          </a:r>
          <a:r>
            <a:rPr lang="ja-JP" altLang="en-US" sz="900" b="0" i="0" u="none" strike="noStrike" baseline="0">
              <a:solidFill>
                <a:sysClr val="windowText" lastClr="000000"/>
              </a:solidFill>
              <a:latin typeface="ＭＳ 明朝"/>
              <a:ea typeface="ＭＳ 明朝"/>
            </a:rPr>
            <a:t>ごとにシートを分けて記述する。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oneCellAnchor>
    <xdr:from>
      <xdr:col>6</xdr:col>
      <xdr:colOff>0</xdr:colOff>
      <xdr:row>0</xdr:row>
      <xdr:rowOff>0</xdr:rowOff>
    </xdr:from>
    <xdr:ext cx="3067050" cy="1104900"/>
    <xdr:sp macro="" textlink="">
      <xdr:nvSpPr>
        <xdr:cNvPr id="17" name="正方形/長方形 16">
          <a:extLst>
            <a:ext uri="{FF2B5EF4-FFF2-40B4-BE49-F238E27FC236}">
              <a16:creationId xmlns:a16="http://schemas.microsoft.com/office/drawing/2014/main" id="{747A0CCB-A67B-4CDA-B20B-818DB0C9B6CD}"/>
            </a:ext>
          </a:extLst>
        </xdr:cNvPr>
        <xdr:cNvSpPr/>
      </xdr:nvSpPr>
      <xdr:spPr>
        <a:xfrm>
          <a:off x="636270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4</xdr:col>
      <xdr:colOff>76200</xdr:colOff>
      <xdr:row>10</xdr:row>
      <xdr:rowOff>304799</xdr:rowOff>
    </xdr:from>
    <xdr:to>
      <xdr:col>5</xdr:col>
      <xdr:colOff>1419225</xdr:colOff>
      <xdr:row>11</xdr:row>
      <xdr:rowOff>133350</xdr:rowOff>
    </xdr:to>
    <xdr:sp macro="" textlink="">
      <xdr:nvSpPr>
        <xdr:cNvPr id="3" name="AutoShape 9">
          <a:extLst>
            <a:ext uri="{FF2B5EF4-FFF2-40B4-BE49-F238E27FC236}">
              <a16:creationId xmlns:a16="http://schemas.microsoft.com/office/drawing/2014/main" id="{00000000-0008-0000-0500-000003000000}"/>
            </a:ext>
          </a:extLst>
        </xdr:cNvPr>
        <xdr:cNvSpPr>
          <a:spLocks/>
        </xdr:cNvSpPr>
      </xdr:nvSpPr>
      <xdr:spPr bwMode="auto">
        <a:xfrm>
          <a:off x="3543300" y="1866899"/>
          <a:ext cx="2533650" cy="542926"/>
        </a:xfrm>
        <a:prstGeom prst="borderCallout1">
          <a:avLst>
            <a:gd name="adj1" fmla="val -532"/>
            <a:gd name="adj2" fmla="val 7469"/>
            <a:gd name="adj3" fmla="val -48953"/>
            <a:gd name="adj4" fmla="val -8121"/>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単体テスト標準の「</a:t>
          </a:r>
          <a:r>
            <a:rPr lang="en-US" altLang="ja-JP" sz="900" b="0" i="0" u="none" strike="noStrike" baseline="0">
              <a:solidFill>
                <a:sysClr val="windowText" lastClr="000000"/>
              </a:solidFill>
              <a:latin typeface="ＭＳ 明朝"/>
              <a:ea typeface="ＭＳ 明朝"/>
            </a:rPr>
            <a:t>4. </a:t>
          </a:r>
          <a:r>
            <a:rPr lang="ja-JP" altLang="en-US" sz="900" b="0" i="0" u="none" strike="noStrike" baseline="0">
              <a:solidFill>
                <a:sysClr val="windowText" lastClr="000000"/>
              </a:solidFill>
              <a:latin typeface="ＭＳ 明朝"/>
              <a:ea typeface="ＭＳ 明朝"/>
            </a:rPr>
            <a:t>取引単体テスト観点」に記載されている観点表より転記すること。</a:t>
          </a:r>
        </a:p>
      </xdr:txBody>
    </xdr:sp>
    <xdr:clientData/>
  </xdr:twoCellAnchor>
  <xdr:twoCellAnchor>
    <xdr:from>
      <xdr:col>3</xdr:col>
      <xdr:colOff>19051</xdr:colOff>
      <xdr:row>0</xdr:row>
      <xdr:rowOff>123825</xdr:rowOff>
    </xdr:from>
    <xdr:to>
      <xdr:col>5</xdr:col>
      <xdr:colOff>1266825</xdr:colOff>
      <xdr:row>5</xdr:row>
      <xdr:rowOff>114300</xdr:rowOff>
    </xdr:to>
    <xdr:sp macro="" textlink="">
      <xdr:nvSpPr>
        <xdr:cNvPr id="6" name="Rectangle 7">
          <a:extLst>
            <a:ext uri="{FF2B5EF4-FFF2-40B4-BE49-F238E27FC236}">
              <a16:creationId xmlns:a16="http://schemas.microsoft.com/office/drawing/2014/main" id="{2BC605AE-D2DD-4B22-9703-A0D1559F6280}"/>
            </a:ext>
          </a:extLst>
        </xdr:cNvPr>
        <xdr:cNvSpPr>
          <a:spLocks noChangeArrowheads="1"/>
        </xdr:cNvSpPr>
      </xdr:nvSpPr>
      <xdr:spPr bwMode="auto">
        <a:xfrm>
          <a:off x="2295526" y="123825"/>
          <a:ext cx="3629024" cy="704850"/>
        </a:xfrm>
        <a:prstGeom prst="rect">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defRPr sz="1000"/>
          </a:pPr>
          <a:r>
            <a:rPr lang="ja-JP" altLang="en-US" sz="900" b="0" i="0" u="none" strike="noStrike" baseline="0">
              <a:solidFill>
                <a:sysClr val="windowText" lastClr="000000"/>
              </a:solidFill>
              <a:latin typeface="ＭＳ 明朝"/>
              <a:ea typeface="ＭＳ 明朝"/>
            </a:rPr>
            <a:t>・取引単体テストのテストケースは</a:t>
          </a:r>
          <a:r>
            <a:rPr lang="en-US" altLang="ja-JP" sz="900" b="0" i="0" u="none" strike="noStrike" baseline="0">
              <a:solidFill>
                <a:sysClr val="windowText" lastClr="000000"/>
              </a:solidFill>
              <a:latin typeface="ＭＳ 明朝"/>
              <a:ea typeface="ＭＳ 明朝"/>
            </a:rPr>
            <a:t>1</a:t>
          </a:r>
          <a:r>
            <a:rPr lang="ja-JP" altLang="en-US" sz="900" b="0" i="0" u="none" strike="noStrike" baseline="0">
              <a:solidFill>
                <a:sysClr val="windowText" lastClr="000000"/>
              </a:solidFill>
              <a:latin typeface="ＭＳ 明朝"/>
              <a:ea typeface="ＭＳ 明朝"/>
            </a:rPr>
            <a:t>シートに記述する。</a:t>
          </a:r>
        </a:p>
        <a:p>
          <a:pPr algn="l" rtl="0">
            <a:defRPr sz="1000"/>
          </a:pPr>
          <a:r>
            <a:rPr lang="ja-JP" altLang="en-US" sz="900" b="0" i="0" u="none" strike="noStrike" baseline="0">
              <a:solidFill>
                <a:sysClr val="windowText" lastClr="000000"/>
              </a:solidFill>
              <a:latin typeface="ＭＳ 明朝"/>
              <a:ea typeface="ＭＳ 明朝"/>
            </a:rPr>
            <a:t>・記述ルールはクラス単体テストのシートを参照すること。</a:t>
          </a:r>
        </a:p>
        <a:p>
          <a:pPr algn="l" rtl="0">
            <a:lnSpc>
              <a:spcPts val="1200"/>
            </a:lnSpc>
            <a:defRPr sz="1000"/>
          </a:pPr>
          <a:endParaRPr lang="ja-JP" altLang="en-US" sz="1000" b="0" i="0" u="none" strike="noStrike" baseline="0">
            <a:solidFill>
              <a:sysClr val="windowText" lastClr="000000"/>
            </a:solidFill>
            <a:latin typeface="ＭＳ 明朝"/>
            <a:ea typeface="ＭＳ 明朝"/>
          </a:endParaRPr>
        </a:p>
      </xdr:txBody>
    </xdr:sp>
    <xdr:clientData/>
  </xdr:twoCellAnchor>
  <xdr:twoCellAnchor>
    <xdr:from>
      <xdr:col>0</xdr:col>
      <xdr:colOff>609600</xdr:colOff>
      <xdr:row>10</xdr:row>
      <xdr:rowOff>333375</xdr:rowOff>
    </xdr:from>
    <xdr:to>
      <xdr:col>3</xdr:col>
      <xdr:colOff>876300</xdr:colOff>
      <xdr:row>11</xdr:row>
      <xdr:rowOff>657225</xdr:rowOff>
    </xdr:to>
    <xdr:sp macro="" textlink="">
      <xdr:nvSpPr>
        <xdr:cNvPr id="8" name="AutoShape 9">
          <a:extLst>
            <a:ext uri="{FF2B5EF4-FFF2-40B4-BE49-F238E27FC236}">
              <a16:creationId xmlns:a16="http://schemas.microsoft.com/office/drawing/2014/main" id="{C09181F5-3FF6-4412-B508-15BDDCA0C941}"/>
            </a:ext>
          </a:extLst>
        </xdr:cNvPr>
        <xdr:cNvSpPr>
          <a:spLocks/>
        </xdr:cNvSpPr>
      </xdr:nvSpPr>
      <xdr:spPr bwMode="auto">
        <a:xfrm>
          <a:off x="609600" y="1895475"/>
          <a:ext cx="2543175" cy="1038225"/>
        </a:xfrm>
        <a:prstGeom prst="borderCallout1">
          <a:avLst>
            <a:gd name="adj1" fmla="val -1593"/>
            <a:gd name="adj2" fmla="val 5382"/>
            <a:gd name="adj3" fmla="val -33386"/>
            <a:gd name="adj4" fmla="val -3729"/>
          </a:avLst>
        </a:prstGeom>
        <a:solidFill>
          <a:schemeClr val="accent6">
            <a:lumMod val="40000"/>
            <a:lumOff val="60000"/>
          </a:schemeClr>
        </a:solidFill>
        <a:ln>
          <a:headEnd/>
          <a:tailEnd/>
        </a:ln>
        <a:effectLst/>
      </xdr:spPr>
      <xdr:style>
        <a:lnRef idx="1">
          <a:schemeClr val="accent6"/>
        </a:lnRef>
        <a:fillRef idx="2">
          <a:schemeClr val="accent6"/>
        </a:fillRef>
        <a:effectRef idx="1">
          <a:schemeClr val="accent6"/>
        </a:effectRef>
        <a:fontRef idx="minor">
          <a:schemeClr val="dk1"/>
        </a:fontRef>
      </xdr:style>
      <xdr:txBody>
        <a:bodyPr vertOverflow="clip" wrap="square" lIns="27432" tIns="18288" rIns="0" bIns="0" anchor="t" upright="1"/>
        <a:lstStyle/>
        <a:p>
          <a:pPr algn="l" rtl="0">
            <a:lnSpc>
              <a:spcPts val="1200"/>
            </a:lnSpc>
            <a:defRPr sz="1000"/>
          </a:pPr>
          <a:r>
            <a:rPr lang="ja-JP" altLang="en-US" sz="900" b="0" i="0" u="none" strike="noStrike" baseline="0">
              <a:solidFill>
                <a:sysClr val="windowText" lastClr="000000"/>
              </a:solidFill>
              <a:latin typeface="ＭＳ 明朝"/>
              <a:ea typeface="ＭＳ 明朝"/>
            </a:rPr>
            <a:t>ケース</a:t>
          </a:r>
          <a:r>
            <a:rPr lang="en-US" altLang="ja-JP" sz="900" b="0" i="0" u="none" strike="noStrike" baseline="0">
              <a:solidFill>
                <a:sysClr val="windowText" lastClr="000000"/>
              </a:solidFill>
              <a:latin typeface="ＭＳ 明朝"/>
              <a:ea typeface="ＭＳ 明朝"/>
            </a:rPr>
            <a:t>No</a:t>
          </a:r>
          <a:r>
            <a:rPr lang="ja-JP" altLang="en-US" sz="900" b="0" i="0" u="none" strike="noStrike" baseline="0">
              <a:solidFill>
                <a:sysClr val="windowText" lastClr="000000"/>
              </a:solidFill>
              <a:latin typeface="ＭＳ 明朝"/>
              <a:ea typeface="ＭＳ 明朝"/>
            </a:rPr>
            <a:t>は数値で以下の形式で付与する。</a:t>
          </a: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ja-JP" altLang="en-US" sz="900" b="0" i="0" u="none" strike="noStrike" baseline="0">
              <a:solidFill>
                <a:sysClr val="windowText" lastClr="000000"/>
              </a:solidFill>
              <a:latin typeface="ＭＳ 明朝"/>
              <a:ea typeface="ＭＳ 明朝"/>
            </a:rPr>
            <a:t>　</a:t>
          </a:r>
          <a:r>
            <a:rPr lang="en-US" altLang="ja-JP" sz="900" b="0" i="0" u="none" strike="noStrike" baseline="0">
              <a:solidFill>
                <a:sysClr val="windowText" lastClr="000000"/>
              </a:solidFill>
              <a:latin typeface="ＭＳ 明朝"/>
              <a:ea typeface="ＭＳ 明朝"/>
            </a:rPr>
            <a:t>A-B-C</a:t>
          </a:r>
        </a:p>
        <a:p>
          <a:pPr algn="l" rtl="0">
            <a:lnSpc>
              <a:spcPts val="1200"/>
            </a:lnSpc>
            <a:defRPr sz="1000"/>
          </a:pPr>
          <a:endParaRPr lang="en-US" altLang="ja-JP" sz="900" b="0" i="0" u="none" strike="noStrike" baseline="0">
            <a:solidFill>
              <a:sysClr val="windowText" lastClr="000000"/>
            </a:solidFill>
            <a:latin typeface="ＭＳ 明朝"/>
            <a:ea typeface="ＭＳ 明朝"/>
          </a:endParaRPr>
        </a:p>
        <a:p>
          <a:pPr algn="l" rtl="0">
            <a:lnSpc>
              <a:spcPts val="1200"/>
            </a:lnSpc>
            <a:defRPr sz="1000"/>
          </a:pPr>
          <a:r>
            <a:rPr lang="en-US" altLang="ja-JP" sz="900" b="0" i="0" u="none" strike="noStrike" baseline="0">
              <a:solidFill>
                <a:sysClr val="windowText" lastClr="000000"/>
              </a:solidFill>
              <a:latin typeface="ＭＳ 明朝"/>
              <a:ea typeface="ＭＳ 明朝"/>
            </a:rPr>
            <a:t>A</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2</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B</a:t>
          </a:r>
          <a:r>
            <a:rPr lang="ja-JP" altLang="en-US" sz="900" b="0" i="0" u="none" strike="noStrike" baseline="0">
              <a:solidFill>
                <a:sysClr val="windowText" lastClr="000000"/>
              </a:solidFill>
              <a:latin typeface="ＭＳ 明朝"/>
              <a:ea typeface="ＭＳ 明朝"/>
            </a:rPr>
            <a:t>：確認観点</a:t>
          </a:r>
          <a:r>
            <a:rPr lang="en-US" altLang="ja-JP" sz="900" b="0" i="0" u="none" strike="noStrike" baseline="0">
              <a:solidFill>
                <a:sysClr val="windowText" lastClr="000000"/>
              </a:solidFill>
              <a:latin typeface="ＭＳ 明朝"/>
              <a:ea typeface="ＭＳ 明朝"/>
            </a:rPr>
            <a:t>3</a:t>
          </a:r>
          <a:r>
            <a:rPr lang="ja-JP" altLang="en-US" sz="900" b="0" i="0" u="none" strike="noStrike" baseline="0">
              <a:solidFill>
                <a:sysClr val="windowText" lastClr="000000"/>
              </a:solidFill>
              <a:latin typeface="ＭＳ 明朝"/>
              <a:ea typeface="ＭＳ 明朝"/>
            </a:rPr>
            <a:t>が変わったらインクリメント</a:t>
          </a:r>
        </a:p>
        <a:p>
          <a:pPr algn="l" rtl="0">
            <a:lnSpc>
              <a:spcPts val="1200"/>
            </a:lnSpc>
            <a:defRPr sz="1000"/>
          </a:pPr>
          <a:r>
            <a:rPr lang="en-US" altLang="ja-JP" sz="900" b="0" i="0" u="none" strike="noStrike" baseline="0">
              <a:solidFill>
                <a:sysClr val="windowText" lastClr="000000"/>
              </a:solidFill>
              <a:latin typeface="ＭＳ 明朝"/>
              <a:ea typeface="ＭＳ 明朝"/>
            </a:rPr>
            <a:t>C</a:t>
          </a:r>
          <a:r>
            <a:rPr lang="ja-JP" altLang="en-US" sz="900" b="0" i="0" u="none" strike="noStrike" baseline="0">
              <a:solidFill>
                <a:sysClr val="windowText" lastClr="000000"/>
              </a:solidFill>
              <a:latin typeface="ＭＳ 明朝"/>
              <a:ea typeface="ＭＳ 明朝"/>
            </a:rPr>
            <a:t>：テスト内容が変わったらインクリメント</a:t>
          </a:r>
        </a:p>
      </xdr:txBody>
    </xdr:sp>
    <xdr:clientData/>
  </xdr:twoCellAnchor>
  <xdr:oneCellAnchor>
    <xdr:from>
      <xdr:col>6</xdr:col>
      <xdr:colOff>0</xdr:colOff>
      <xdr:row>0</xdr:row>
      <xdr:rowOff>0</xdr:rowOff>
    </xdr:from>
    <xdr:ext cx="3067050" cy="1104900"/>
    <xdr:sp macro="" textlink="">
      <xdr:nvSpPr>
        <xdr:cNvPr id="7" name="正方形/長方形 6">
          <a:extLst>
            <a:ext uri="{FF2B5EF4-FFF2-40B4-BE49-F238E27FC236}">
              <a16:creationId xmlns:a16="http://schemas.microsoft.com/office/drawing/2014/main" id="{E7696AA8-BF62-48C6-A117-81A1A6AFA809}"/>
            </a:ext>
          </a:extLst>
        </xdr:cNvPr>
        <xdr:cNvSpPr/>
      </xdr:nvSpPr>
      <xdr:spPr>
        <a:xfrm>
          <a:off x="7048500" y="0"/>
          <a:ext cx="3067050" cy="1104900"/>
        </a:xfrm>
        <a:prstGeom prst="rect">
          <a:avLst/>
        </a:prstGeom>
        <a:noFill/>
      </xdr:spPr>
      <xdr:txBody>
        <a:bodyPr wrap="none" lIns="91440" tIns="45720" rIns="91440" bIns="45720">
          <a:noAutofit/>
        </a:bodyPr>
        <a:lstStyle/>
        <a:p>
          <a:pPr algn="ctr"/>
          <a:r>
            <a:rPr lang="en-US" altLang="ja-JP"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rPr>
            <a:t>SAMPLE</a:t>
          </a:r>
          <a:endParaRPr lang="ja-JP" altLang="en-US" sz="4800" b="1" cap="none" spc="50">
            <a:ln w="12700" cmpd="sng">
              <a:noFill/>
              <a:prstDash val="solid"/>
            </a:ln>
            <a:solidFill>
              <a:schemeClr val="accent6">
                <a:alpha val="30000"/>
              </a:schemeClr>
            </a:solidFill>
            <a:effectLst/>
            <a:latin typeface="Meiryo UI" panose="020B0604030504040204" pitchFamily="50" charset="-128"/>
            <a:ea typeface="Meiryo UI" panose="020B0604030504040204" pitchFamily="50" charset="-128"/>
          </a:endParaRPr>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513"/>
  <sheetViews>
    <sheetView showGridLines="0" tabSelected="1" view="pageBreakPreview" zoomScaleNormal="100" zoomScaleSheetLayoutView="100" workbookViewId="0"/>
  </sheetViews>
  <sheetFormatPr defaultColWidth="6.58203125" defaultRowHeight="13"/>
  <cols>
    <col min="1" max="16384" width="6.58203125" style="3"/>
  </cols>
  <sheetData>
    <row r="1" spans="1:3" ht="13.5" customHeight="1">
      <c r="B1" s="4"/>
      <c r="C1" s="5"/>
    </row>
    <row r="2" spans="1:3" ht="19.5" customHeight="1">
      <c r="A2" s="6"/>
    </row>
    <row r="3" spans="1:3" ht="13.5" customHeight="1"/>
    <row r="4" spans="1:3" ht="13.5" customHeight="1"/>
    <row r="5" spans="1:3" ht="13.5" customHeight="1"/>
    <row r="6" spans="1:3" ht="13.5" customHeight="1"/>
    <row r="7" spans="1:3" ht="13.5" customHeight="1"/>
    <row r="8" spans="1:3" ht="13.5" customHeight="1"/>
    <row r="9" spans="1:3" ht="13.5" customHeight="1"/>
    <row r="10" spans="1:3" ht="13.5" customHeight="1"/>
    <row r="11" spans="1:3" ht="13.5" customHeight="1"/>
    <row r="12" spans="1:3" ht="13.5" customHeight="1"/>
    <row r="13" spans="1:3" ht="13.5" customHeight="1"/>
    <row r="14" spans="1:3" ht="13.5" customHeight="1"/>
    <row r="15" spans="1:3" ht="13.5" customHeight="1"/>
    <row r="16" spans="1:3" ht="13.5" customHeight="1"/>
    <row r="17" spans="6:11" ht="13.5" customHeight="1"/>
    <row r="18" spans="6:11" ht="13.5" customHeight="1"/>
    <row r="19" spans="6:11" ht="13.5" customHeight="1"/>
    <row r="20" spans="6:11" ht="13.5" customHeight="1"/>
    <row r="21" spans="6:11" ht="13.5" customHeight="1"/>
    <row r="22" spans="6:11" ht="13.5" customHeight="1">
      <c r="F22" s="7"/>
      <c r="H22" s="7"/>
    </row>
    <row r="23" spans="6:11" ht="17.25" customHeight="1">
      <c r="F23" s="7"/>
      <c r="G23" s="7"/>
      <c r="H23" s="7"/>
      <c r="J23" s="8" t="s">
        <v>82</v>
      </c>
    </row>
    <row r="24" spans="6:11" ht="13.5" customHeight="1">
      <c r="F24" s="7"/>
      <c r="G24" s="7"/>
      <c r="H24" s="7"/>
    </row>
    <row r="25" spans="6:11" ht="18" customHeight="1">
      <c r="F25" s="7"/>
      <c r="G25" s="7"/>
      <c r="H25" s="7"/>
      <c r="I25" s="278">
        <f ca="1">IF(INDIRECT("変更履歴!D8")="","",MAX(INDIRECT("変更履歴!D8"):INDIRECT("変更履歴!F33")))</f>
        <v>44852</v>
      </c>
      <c r="J25" s="278"/>
      <c r="K25" s="278"/>
    </row>
    <row r="26" spans="6:11" ht="13.5" customHeight="1">
      <c r="F26" s="7"/>
      <c r="G26" s="7"/>
      <c r="H26" s="7"/>
    </row>
    <row r="27" spans="6:11" ht="13.5" customHeight="1">
      <c r="F27" s="7"/>
      <c r="G27" s="7"/>
      <c r="H27" s="7"/>
    </row>
    <row r="28" spans="6:11" ht="13.5" customHeight="1">
      <c r="F28" s="9"/>
      <c r="G28" s="7"/>
      <c r="H28" s="7"/>
    </row>
    <row r="29" spans="6:11" ht="15" customHeight="1">
      <c r="F29" s="7"/>
      <c r="H29" s="7"/>
    </row>
    <row r="30" spans="6:11" ht="13.5" customHeight="1">
      <c r="F30" s="7"/>
      <c r="G30" s="10"/>
      <c r="H30" s="7"/>
    </row>
    <row r="31" spans="6:11" ht="18.75" customHeight="1">
      <c r="F31" s="7"/>
      <c r="G31" s="10"/>
      <c r="H31" s="7"/>
    </row>
    <row r="32" spans="6:11" ht="19">
      <c r="F32" s="7"/>
      <c r="G32" s="10"/>
      <c r="H32" s="7"/>
      <c r="J32" s="11"/>
    </row>
    <row r="33" spans="6:10" ht="19">
      <c r="F33" s="7"/>
      <c r="H33" s="7"/>
      <c r="J33" s="12"/>
    </row>
    <row r="34" spans="6:10" ht="19">
      <c r="F34" s="7"/>
      <c r="H34" s="7"/>
      <c r="J34" s="11"/>
    </row>
    <row r="35" spans="6:10" ht="13.5" customHeight="1"/>
    <row r="36" spans="6:10" ht="13.5" customHeight="1"/>
    <row r="37" spans="6:10" ht="13.5" customHeight="1"/>
    <row r="38" spans="6:10" ht="13.5" customHeight="1"/>
    <row r="39" spans="6:10" ht="13.5" customHeight="1"/>
    <row r="40" spans="6:10" ht="13.5" customHeight="1"/>
    <row r="41" spans="6:10" ht="13.5" customHeight="1"/>
    <row r="42" spans="6:10" ht="13.5" customHeight="1"/>
    <row r="43" spans="6:10" ht="13.5" customHeight="1"/>
    <row r="44" spans="6:10" ht="13.5" customHeight="1"/>
    <row r="45" spans="6:10" ht="13.5" customHeight="1"/>
    <row r="46" spans="6:10" ht="13.5" customHeight="1"/>
    <row r="47" spans="6:10" ht="13.5" customHeight="1"/>
    <row r="48" spans="6:10"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sheetData>
  <mergeCells count="1">
    <mergeCell ref="I25:K25"/>
  </mergeCells>
  <phoneticPr fontId="2"/>
  <printOptions horizontalCentered="1"/>
  <pageMargins left="0.39370078740157483" right="0.39370078740157483" top="0.39370078740157483" bottom="0.39370078740157483" header="0.19685039370078741" footer="0.19685039370078741"/>
  <pageSetup paperSize="9" fitToHeight="0" orientation="landscape"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N34"/>
  <sheetViews>
    <sheetView showGridLines="0" view="pageBreakPreview" zoomScaleNormal="100" zoomScaleSheetLayoutView="100" workbookViewId="0">
      <selection sqref="A1:D1"/>
    </sheetView>
  </sheetViews>
  <sheetFormatPr defaultColWidth="3.58203125" defaultRowHeight="11"/>
  <cols>
    <col min="1" max="16384" width="3.58203125" style="24"/>
  </cols>
  <sheetData>
    <row r="1" spans="1:40" s="15" customFormat="1" ht="12" customHeight="1">
      <c r="A1" s="319" t="s">
        <v>58</v>
      </c>
      <c r="B1" s="320"/>
      <c r="C1" s="320"/>
      <c r="D1" s="321"/>
      <c r="E1" s="322" t="s">
        <v>72</v>
      </c>
      <c r="F1" s="323"/>
      <c r="G1" s="323"/>
      <c r="H1" s="323"/>
      <c r="I1" s="323"/>
      <c r="J1" s="323"/>
      <c r="K1" s="323"/>
      <c r="L1" s="323"/>
      <c r="M1" s="323"/>
      <c r="N1" s="324"/>
      <c r="O1" s="328" t="s">
        <v>59</v>
      </c>
      <c r="P1" s="329"/>
      <c r="Q1" s="329"/>
      <c r="R1" s="330"/>
      <c r="S1" s="337" t="s">
        <v>74</v>
      </c>
      <c r="T1" s="338"/>
      <c r="U1" s="338"/>
      <c r="V1" s="338"/>
      <c r="W1" s="338"/>
      <c r="X1" s="338"/>
      <c r="Y1" s="338"/>
      <c r="Z1" s="339"/>
      <c r="AA1" s="319" t="s">
        <v>60</v>
      </c>
      <c r="AB1" s="321"/>
      <c r="AC1" s="346" t="str">
        <f>IF(AF8="","",AF8)</f>
        <v>TIS</v>
      </c>
      <c r="AD1" s="347"/>
      <c r="AE1" s="347"/>
      <c r="AF1" s="348"/>
      <c r="AG1" s="313">
        <f>IF(D8="","",D8)</f>
        <v>43336</v>
      </c>
      <c r="AH1" s="314"/>
      <c r="AI1" s="315"/>
      <c r="AJ1" s="13"/>
      <c r="AK1" s="13"/>
      <c r="AL1" s="13"/>
      <c r="AM1" s="13"/>
      <c r="AN1" s="14"/>
    </row>
    <row r="2" spans="1:40" s="15" customFormat="1" ht="12" customHeight="1">
      <c r="A2" s="319" t="s">
        <v>61</v>
      </c>
      <c r="B2" s="320"/>
      <c r="C2" s="320"/>
      <c r="D2" s="321"/>
      <c r="E2" s="322" t="s">
        <v>73</v>
      </c>
      <c r="F2" s="323"/>
      <c r="G2" s="323"/>
      <c r="H2" s="323"/>
      <c r="I2" s="323"/>
      <c r="J2" s="323"/>
      <c r="K2" s="323"/>
      <c r="L2" s="323"/>
      <c r="M2" s="323"/>
      <c r="N2" s="324"/>
      <c r="O2" s="331"/>
      <c r="P2" s="332"/>
      <c r="Q2" s="332"/>
      <c r="R2" s="333"/>
      <c r="S2" s="340"/>
      <c r="T2" s="341"/>
      <c r="U2" s="341"/>
      <c r="V2" s="341"/>
      <c r="W2" s="341"/>
      <c r="X2" s="341"/>
      <c r="Y2" s="341"/>
      <c r="Z2" s="342"/>
      <c r="AA2" s="319" t="s">
        <v>62</v>
      </c>
      <c r="AB2" s="321"/>
      <c r="AC2" s="325" t="str">
        <f ca="1">IF(COUNTA(AF9:AF33)&lt;&gt;0,INDIRECT("AF"&amp;(COUNTA(AF9:AF33)+8)),"")</f>
        <v>TIS</v>
      </c>
      <c r="AD2" s="326"/>
      <c r="AE2" s="326"/>
      <c r="AF2" s="327"/>
      <c r="AG2" s="313">
        <f>IF(D9="","",MAX(D9:F33))</f>
        <v>44852</v>
      </c>
      <c r="AH2" s="314"/>
      <c r="AI2" s="315"/>
      <c r="AJ2" s="13"/>
      <c r="AK2" s="13"/>
      <c r="AL2" s="13"/>
      <c r="AM2" s="13"/>
      <c r="AN2" s="13"/>
    </row>
    <row r="3" spans="1:40" s="15" customFormat="1" ht="12" customHeight="1">
      <c r="A3" s="319" t="s">
        <v>63</v>
      </c>
      <c r="B3" s="320"/>
      <c r="C3" s="320"/>
      <c r="D3" s="321"/>
      <c r="E3" s="322" t="s">
        <v>71</v>
      </c>
      <c r="F3" s="323"/>
      <c r="G3" s="323"/>
      <c r="H3" s="323"/>
      <c r="I3" s="323"/>
      <c r="J3" s="323"/>
      <c r="K3" s="323"/>
      <c r="L3" s="323"/>
      <c r="M3" s="323"/>
      <c r="N3" s="324"/>
      <c r="O3" s="334"/>
      <c r="P3" s="335"/>
      <c r="Q3" s="335"/>
      <c r="R3" s="336"/>
      <c r="S3" s="343"/>
      <c r="T3" s="344"/>
      <c r="U3" s="344"/>
      <c r="V3" s="344"/>
      <c r="W3" s="344"/>
      <c r="X3" s="344"/>
      <c r="Y3" s="344"/>
      <c r="Z3" s="345"/>
      <c r="AA3" s="319"/>
      <c r="AB3" s="321"/>
      <c r="AC3" s="346"/>
      <c r="AD3" s="347"/>
      <c r="AE3" s="347"/>
      <c r="AF3" s="348"/>
      <c r="AG3" s="313"/>
      <c r="AH3" s="314"/>
      <c r="AI3" s="315"/>
      <c r="AJ3" s="13"/>
      <c r="AK3" s="13"/>
      <c r="AL3" s="13"/>
      <c r="AM3" s="13"/>
      <c r="AN3" s="13"/>
    </row>
    <row r="5" spans="1:40" s="16" customFormat="1" ht="22.5" customHeight="1">
      <c r="N5" s="17" t="s">
        <v>64</v>
      </c>
      <c r="AA5" s="18"/>
      <c r="AB5" s="18"/>
      <c r="AC5" s="19"/>
      <c r="AD5" s="20"/>
      <c r="AE5" s="20"/>
      <c r="AF5" s="20"/>
      <c r="AG5" s="18"/>
      <c r="AH5" s="18"/>
      <c r="AI5" s="18"/>
    </row>
    <row r="6" spans="1:40" s="16" customFormat="1" ht="15" customHeight="1">
      <c r="N6" s="17"/>
      <c r="AA6" s="18"/>
      <c r="AB6" s="18"/>
      <c r="AC6" s="19"/>
      <c r="AD6" s="20"/>
      <c r="AE6" s="20"/>
      <c r="AF6" s="20"/>
      <c r="AG6" s="18"/>
      <c r="AH6" s="18"/>
      <c r="AI6" s="18"/>
    </row>
    <row r="7" spans="1:40" s="22" customFormat="1" ht="15" customHeight="1" thickBot="1">
      <c r="A7" s="21" t="s">
        <v>65</v>
      </c>
      <c r="B7" s="316" t="s">
        <v>66</v>
      </c>
      <c r="C7" s="317"/>
      <c r="D7" s="316" t="s">
        <v>67</v>
      </c>
      <c r="E7" s="318"/>
      <c r="F7" s="317"/>
      <c r="G7" s="316" t="s">
        <v>10</v>
      </c>
      <c r="H7" s="318"/>
      <c r="I7" s="317"/>
      <c r="J7" s="316" t="s">
        <v>68</v>
      </c>
      <c r="K7" s="318"/>
      <c r="L7" s="318"/>
      <c r="M7" s="318"/>
      <c r="N7" s="318"/>
      <c r="O7" s="318"/>
      <c r="P7" s="317"/>
      <c r="Q7" s="316" t="s">
        <v>69</v>
      </c>
      <c r="R7" s="318"/>
      <c r="S7" s="318"/>
      <c r="T7" s="318"/>
      <c r="U7" s="318"/>
      <c r="V7" s="318"/>
      <c r="W7" s="318"/>
      <c r="X7" s="318"/>
      <c r="Y7" s="318"/>
      <c r="Z7" s="318"/>
      <c r="AA7" s="318"/>
      <c r="AB7" s="318"/>
      <c r="AC7" s="318"/>
      <c r="AD7" s="318"/>
      <c r="AE7" s="317"/>
      <c r="AF7" s="316" t="s">
        <v>70</v>
      </c>
      <c r="AG7" s="318"/>
      <c r="AH7" s="318"/>
      <c r="AI7" s="317"/>
    </row>
    <row r="8" spans="1:40" s="22" customFormat="1" ht="15" customHeight="1" thickTop="1">
      <c r="A8" s="26">
        <v>1</v>
      </c>
      <c r="B8" s="304" t="s">
        <v>75</v>
      </c>
      <c r="C8" s="305"/>
      <c r="D8" s="306">
        <v>43336</v>
      </c>
      <c r="E8" s="307"/>
      <c r="F8" s="308"/>
      <c r="G8" s="304" t="s">
        <v>76</v>
      </c>
      <c r="H8" s="309"/>
      <c r="I8" s="305"/>
      <c r="J8" s="310" t="s">
        <v>77</v>
      </c>
      <c r="K8" s="311"/>
      <c r="L8" s="311"/>
      <c r="M8" s="311"/>
      <c r="N8" s="311"/>
      <c r="O8" s="311"/>
      <c r="P8" s="312"/>
      <c r="Q8" s="310" t="s">
        <v>78</v>
      </c>
      <c r="R8" s="311"/>
      <c r="S8" s="311"/>
      <c r="T8" s="311"/>
      <c r="U8" s="311"/>
      <c r="V8" s="311"/>
      <c r="W8" s="311"/>
      <c r="X8" s="311"/>
      <c r="Y8" s="311"/>
      <c r="Z8" s="311"/>
      <c r="AA8" s="311"/>
      <c r="AB8" s="311"/>
      <c r="AC8" s="311"/>
      <c r="AD8" s="311"/>
      <c r="AE8" s="312"/>
      <c r="AF8" s="27" t="s">
        <v>79</v>
      </c>
      <c r="AG8" s="28"/>
      <c r="AH8" s="28"/>
      <c r="AI8" s="29"/>
    </row>
    <row r="9" spans="1:40" s="22" customFormat="1" ht="36.75" customHeight="1">
      <c r="A9" s="26">
        <v>2</v>
      </c>
      <c r="B9" s="292" t="s">
        <v>83</v>
      </c>
      <c r="C9" s="293"/>
      <c r="D9" s="294">
        <v>44852</v>
      </c>
      <c r="E9" s="295"/>
      <c r="F9" s="296"/>
      <c r="G9" s="294" t="s">
        <v>84</v>
      </c>
      <c r="H9" s="297"/>
      <c r="I9" s="293"/>
      <c r="J9" s="298" t="s">
        <v>740</v>
      </c>
      <c r="K9" s="299"/>
      <c r="L9" s="299"/>
      <c r="M9" s="299"/>
      <c r="N9" s="299"/>
      <c r="O9" s="299"/>
      <c r="P9" s="300"/>
      <c r="Q9" s="298" t="s">
        <v>741</v>
      </c>
      <c r="R9" s="301"/>
      <c r="S9" s="301"/>
      <c r="T9" s="301"/>
      <c r="U9" s="301"/>
      <c r="V9" s="301"/>
      <c r="W9" s="301"/>
      <c r="X9" s="301"/>
      <c r="Y9" s="301"/>
      <c r="Z9" s="301"/>
      <c r="AA9" s="301"/>
      <c r="AB9" s="301"/>
      <c r="AC9" s="301"/>
      <c r="AD9" s="301"/>
      <c r="AE9" s="302"/>
      <c r="AF9" s="303" t="s">
        <v>79</v>
      </c>
      <c r="AG9" s="299"/>
      <c r="AH9" s="299"/>
      <c r="AI9" s="300"/>
    </row>
    <row r="10" spans="1:40" s="22" customFormat="1" ht="15" customHeight="1">
      <c r="A10" s="23"/>
      <c r="B10" s="279"/>
      <c r="C10" s="280"/>
      <c r="D10" s="281"/>
      <c r="E10" s="282"/>
      <c r="F10" s="283"/>
      <c r="G10" s="279"/>
      <c r="H10" s="284"/>
      <c r="I10" s="280"/>
      <c r="J10" s="285"/>
      <c r="K10" s="286"/>
      <c r="L10" s="286"/>
      <c r="M10" s="286"/>
      <c r="N10" s="286"/>
      <c r="O10" s="286"/>
      <c r="P10" s="287"/>
      <c r="Q10" s="288"/>
      <c r="R10" s="289"/>
      <c r="S10" s="289"/>
      <c r="T10" s="289"/>
      <c r="U10" s="289"/>
      <c r="V10" s="289"/>
      <c r="W10" s="289"/>
      <c r="X10" s="289"/>
      <c r="Y10" s="289"/>
      <c r="Z10" s="289"/>
      <c r="AA10" s="289"/>
      <c r="AB10" s="289"/>
      <c r="AC10" s="289"/>
      <c r="AD10" s="289"/>
      <c r="AE10" s="290"/>
      <c r="AF10" s="285"/>
      <c r="AG10" s="286"/>
      <c r="AH10" s="286"/>
      <c r="AI10" s="287"/>
    </row>
    <row r="11" spans="1:40" s="22" customFormat="1" ht="15" customHeight="1">
      <c r="A11" s="23"/>
      <c r="B11" s="279"/>
      <c r="C11" s="280"/>
      <c r="D11" s="281"/>
      <c r="E11" s="282"/>
      <c r="F11" s="283"/>
      <c r="G11" s="279"/>
      <c r="H11" s="284"/>
      <c r="I11" s="280"/>
      <c r="J11" s="285"/>
      <c r="K11" s="286"/>
      <c r="L11" s="286"/>
      <c r="M11" s="286"/>
      <c r="N11" s="286"/>
      <c r="O11" s="286"/>
      <c r="P11" s="287"/>
      <c r="Q11" s="288"/>
      <c r="R11" s="289"/>
      <c r="S11" s="289"/>
      <c r="T11" s="289"/>
      <c r="U11" s="289"/>
      <c r="V11" s="289"/>
      <c r="W11" s="289"/>
      <c r="X11" s="289"/>
      <c r="Y11" s="289"/>
      <c r="Z11" s="289"/>
      <c r="AA11" s="289"/>
      <c r="AB11" s="289"/>
      <c r="AC11" s="289"/>
      <c r="AD11" s="289"/>
      <c r="AE11" s="290"/>
      <c r="AF11" s="285"/>
      <c r="AG11" s="286"/>
      <c r="AH11" s="286"/>
      <c r="AI11" s="287"/>
    </row>
    <row r="12" spans="1:40" s="22" customFormat="1" ht="15" customHeight="1">
      <c r="A12" s="23"/>
      <c r="B12" s="279"/>
      <c r="C12" s="280"/>
      <c r="D12" s="281"/>
      <c r="E12" s="282"/>
      <c r="F12" s="283"/>
      <c r="G12" s="279"/>
      <c r="H12" s="284"/>
      <c r="I12" s="280"/>
      <c r="J12" s="285"/>
      <c r="K12" s="286"/>
      <c r="L12" s="286"/>
      <c r="M12" s="286"/>
      <c r="N12" s="286"/>
      <c r="O12" s="286"/>
      <c r="P12" s="287"/>
      <c r="Q12" s="288"/>
      <c r="R12" s="289"/>
      <c r="S12" s="289"/>
      <c r="T12" s="289"/>
      <c r="U12" s="289"/>
      <c r="V12" s="289"/>
      <c r="W12" s="289"/>
      <c r="X12" s="289"/>
      <c r="Y12" s="289"/>
      <c r="Z12" s="289"/>
      <c r="AA12" s="289"/>
      <c r="AB12" s="289"/>
      <c r="AC12" s="289"/>
      <c r="AD12" s="289"/>
      <c r="AE12" s="290"/>
      <c r="AF12" s="285"/>
      <c r="AG12" s="286"/>
      <c r="AH12" s="286"/>
      <c r="AI12" s="287"/>
    </row>
    <row r="13" spans="1:40" s="22" customFormat="1" ht="15" customHeight="1">
      <c r="A13" s="23"/>
      <c r="B13" s="279"/>
      <c r="C13" s="280"/>
      <c r="D13" s="281"/>
      <c r="E13" s="282"/>
      <c r="F13" s="283"/>
      <c r="G13" s="279"/>
      <c r="H13" s="284"/>
      <c r="I13" s="280"/>
      <c r="J13" s="285"/>
      <c r="K13" s="286"/>
      <c r="L13" s="286"/>
      <c r="M13" s="286"/>
      <c r="N13" s="286"/>
      <c r="O13" s="286"/>
      <c r="P13" s="287"/>
      <c r="Q13" s="288"/>
      <c r="R13" s="289"/>
      <c r="S13" s="289"/>
      <c r="T13" s="289"/>
      <c r="U13" s="289"/>
      <c r="V13" s="289"/>
      <c r="W13" s="289"/>
      <c r="X13" s="289"/>
      <c r="Y13" s="289"/>
      <c r="Z13" s="289"/>
      <c r="AA13" s="289"/>
      <c r="AB13" s="289"/>
      <c r="AC13" s="289"/>
      <c r="AD13" s="289"/>
      <c r="AE13" s="290"/>
      <c r="AF13" s="285"/>
      <c r="AG13" s="286"/>
      <c r="AH13" s="286"/>
      <c r="AI13" s="287"/>
    </row>
    <row r="14" spans="1:40" s="22" customFormat="1" ht="15" customHeight="1">
      <c r="A14" s="23"/>
      <c r="B14" s="279"/>
      <c r="C14" s="280"/>
      <c r="D14" s="281"/>
      <c r="E14" s="282"/>
      <c r="F14" s="283"/>
      <c r="G14" s="279"/>
      <c r="H14" s="284"/>
      <c r="I14" s="280"/>
      <c r="J14" s="285"/>
      <c r="K14" s="286"/>
      <c r="L14" s="286"/>
      <c r="M14" s="286"/>
      <c r="N14" s="286"/>
      <c r="O14" s="286"/>
      <c r="P14" s="287"/>
      <c r="Q14" s="288"/>
      <c r="R14" s="289"/>
      <c r="S14" s="289"/>
      <c r="T14" s="289"/>
      <c r="U14" s="289"/>
      <c r="V14" s="289"/>
      <c r="W14" s="289"/>
      <c r="X14" s="289"/>
      <c r="Y14" s="289"/>
      <c r="Z14" s="289"/>
      <c r="AA14" s="289"/>
      <c r="AB14" s="289"/>
      <c r="AC14" s="289"/>
      <c r="AD14" s="289"/>
      <c r="AE14" s="290"/>
      <c r="AF14" s="285"/>
      <c r="AG14" s="286"/>
      <c r="AH14" s="286"/>
      <c r="AI14" s="287"/>
    </row>
    <row r="15" spans="1:40" s="22" customFormat="1" ht="15" customHeight="1">
      <c r="A15" s="23"/>
      <c r="B15" s="279"/>
      <c r="C15" s="280"/>
      <c r="D15" s="281"/>
      <c r="E15" s="282"/>
      <c r="F15" s="283"/>
      <c r="G15" s="279"/>
      <c r="H15" s="284"/>
      <c r="I15" s="280"/>
      <c r="J15" s="285"/>
      <c r="K15" s="286"/>
      <c r="L15" s="286"/>
      <c r="M15" s="286"/>
      <c r="N15" s="286"/>
      <c r="O15" s="286"/>
      <c r="P15" s="287"/>
      <c r="Q15" s="288"/>
      <c r="R15" s="289"/>
      <c r="S15" s="289"/>
      <c r="T15" s="289"/>
      <c r="U15" s="289"/>
      <c r="V15" s="289"/>
      <c r="W15" s="289"/>
      <c r="X15" s="289"/>
      <c r="Y15" s="289"/>
      <c r="Z15" s="289"/>
      <c r="AA15" s="289"/>
      <c r="AB15" s="289"/>
      <c r="AC15" s="289"/>
      <c r="AD15" s="289"/>
      <c r="AE15" s="290"/>
      <c r="AF15" s="285"/>
      <c r="AG15" s="286"/>
      <c r="AH15" s="286"/>
      <c r="AI15" s="287"/>
    </row>
    <row r="16" spans="1:40" s="22" customFormat="1" ht="15" customHeight="1">
      <c r="A16" s="23"/>
      <c r="B16" s="279"/>
      <c r="C16" s="280"/>
      <c r="D16" s="281"/>
      <c r="E16" s="282"/>
      <c r="F16" s="283"/>
      <c r="G16" s="279"/>
      <c r="H16" s="284"/>
      <c r="I16" s="280"/>
      <c r="J16" s="285"/>
      <c r="K16" s="286"/>
      <c r="L16" s="286"/>
      <c r="M16" s="286"/>
      <c r="N16" s="286"/>
      <c r="O16" s="286"/>
      <c r="P16" s="287"/>
      <c r="Q16" s="288"/>
      <c r="R16" s="289"/>
      <c r="S16" s="289"/>
      <c r="T16" s="289"/>
      <c r="U16" s="289"/>
      <c r="V16" s="289"/>
      <c r="W16" s="289"/>
      <c r="X16" s="289"/>
      <c r="Y16" s="289"/>
      <c r="Z16" s="289"/>
      <c r="AA16" s="289"/>
      <c r="AB16" s="289"/>
      <c r="AC16" s="289"/>
      <c r="AD16" s="289"/>
      <c r="AE16" s="290"/>
      <c r="AF16" s="285"/>
      <c r="AG16" s="286"/>
      <c r="AH16" s="286"/>
      <c r="AI16" s="287"/>
    </row>
    <row r="17" spans="1:35" s="22" customFormat="1" ht="15" customHeight="1">
      <c r="A17" s="23"/>
      <c r="B17" s="279"/>
      <c r="C17" s="280"/>
      <c r="D17" s="281"/>
      <c r="E17" s="282"/>
      <c r="F17" s="283"/>
      <c r="G17" s="279"/>
      <c r="H17" s="284"/>
      <c r="I17" s="280"/>
      <c r="J17" s="285"/>
      <c r="K17" s="286"/>
      <c r="L17" s="286"/>
      <c r="M17" s="286"/>
      <c r="N17" s="286"/>
      <c r="O17" s="286"/>
      <c r="P17" s="287"/>
      <c r="Q17" s="288"/>
      <c r="R17" s="289"/>
      <c r="S17" s="289"/>
      <c r="T17" s="289"/>
      <c r="U17" s="289"/>
      <c r="V17" s="289"/>
      <c r="W17" s="289"/>
      <c r="X17" s="289"/>
      <c r="Y17" s="289"/>
      <c r="Z17" s="289"/>
      <c r="AA17" s="289"/>
      <c r="AB17" s="289"/>
      <c r="AC17" s="289"/>
      <c r="AD17" s="289"/>
      <c r="AE17" s="290"/>
      <c r="AF17" s="285"/>
      <c r="AG17" s="286"/>
      <c r="AH17" s="286"/>
      <c r="AI17" s="287"/>
    </row>
    <row r="18" spans="1:35" s="22" customFormat="1" ht="15" customHeight="1">
      <c r="A18" s="23"/>
      <c r="B18" s="279"/>
      <c r="C18" s="280"/>
      <c r="D18" s="281"/>
      <c r="E18" s="282"/>
      <c r="F18" s="283"/>
      <c r="G18" s="279"/>
      <c r="H18" s="284"/>
      <c r="I18" s="280"/>
      <c r="J18" s="285"/>
      <c r="K18" s="286"/>
      <c r="L18" s="286"/>
      <c r="M18" s="286"/>
      <c r="N18" s="286"/>
      <c r="O18" s="286"/>
      <c r="P18" s="287"/>
      <c r="Q18" s="288"/>
      <c r="R18" s="289"/>
      <c r="S18" s="289"/>
      <c r="T18" s="289"/>
      <c r="U18" s="289"/>
      <c r="V18" s="289"/>
      <c r="W18" s="289"/>
      <c r="X18" s="289"/>
      <c r="Y18" s="289"/>
      <c r="Z18" s="289"/>
      <c r="AA18" s="289"/>
      <c r="AB18" s="289"/>
      <c r="AC18" s="289"/>
      <c r="AD18" s="289"/>
      <c r="AE18" s="290"/>
      <c r="AF18" s="285"/>
      <c r="AG18" s="286"/>
      <c r="AH18" s="286"/>
      <c r="AI18" s="287"/>
    </row>
    <row r="19" spans="1:35" s="22" customFormat="1" ht="15" customHeight="1">
      <c r="A19" s="23"/>
      <c r="B19" s="279"/>
      <c r="C19" s="280"/>
      <c r="D19" s="281"/>
      <c r="E19" s="282"/>
      <c r="F19" s="283"/>
      <c r="G19" s="279"/>
      <c r="H19" s="284"/>
      <c r="I19" s="280"/>
      <c r="J19" s="285"/>
      <c r="K19" s="286"/>
      <c r="L19" s="286"/>
      <c r="M19" s="286"/>
      <c r="N19" s="286"/>
      <c r="O19" s="286"/>
      <c r="P19" s="287"/>
      <c r="Q19" s="288"/>
      <c r="R19" s="289"/>
      <c r="S19" s="289"/>
      <c r="T19" s="289"/>
      <c r="U19" s="289"/>
      <c r="V19" s="289"/>
      <c r="W19" s="289"/>
      <c r="X19" s="289"/>
      <c r="Y19" s="289"/>
      <c r="Z19" s="289"/>
      <c r="AA19" s="289"/>
      <c r="AB19" s="289"/>
      <c r="AC19" s="289"/>
      <c r="AD19" s="289"/>
      <c r="AE19" s="290"/>
      <c r="AF19" s="285"/>
      <c r="AG19" s="286"/>
      <c r="AH19" s="286"/>
      <c r="AI19" s="287"/>
    </row>
    <row r="20" spans="1:35" s="22" customFormat="1" ht="15" customHeight="1">
      <c r="A20" s="23"/>
      <c r="B20" s="279"/>
      <c r="C20" s="280"/>
      <c r="D20" s="281"/>
      <c r="E20" s="282"/>
      <c r="F20" s="283"/>
      <c r="G20" s="279"/>
      <c r="H20" s="284"/>
      <c r="I20" s="280"/>
      <c r="J20" s="285"/>
      <c r="K20" s="286"/>
      <c r="L20" s="286"/>
      <c r="M20" s="286"/>
      <c r="N20" s="286"/>
      <c r="O20" s="286"/>
      <c r="P20" s="287"/>
      <c r="Q20" s="288"/>
      <c r="R20" s="289"/>
      <c r="S20" s="289"/>
      <c r="T20" s="289"/>
      <c r="U20" s="289"/>
      <c r="V20" s="289"/>
      <c r="W20" s="289"/>
      <c r="X20" s="289"/>
      <c r="Y20" s="289"/>
      <c r="Z20" s="289"/>
      <c r="AA20" s="289"/>
      <c r="AB20" s="289"/>
      <c r="AC20" s="289"/>
      <c r="AD20" s="289"/>
      <c r="AE20" s="290"/>
      <c r="AF20" s="285"/>
      <c r="AG20" s="286"/>
      <c r="AH20" s="286"/>
      <c r="AI20" s="287"/>
    </row>
    <row r="21" spans="1:35" s="22" customFormat="1" ht="15" customHeight="1">
      <c r="A21" s="23"/>
      <c r="B21" s="279"/>
      <c r="C21" s="280"/>
      <c r="D21" s="281"/>
      <c r="E21" s="282"/>
      <c r="F21" s="283"/>
      <c r="G21" s="279"/>
      <c r="H21" s="284"/>
      <c r="I21" s="280"/>
      <c r="J21" s="285"/>
      <c r="K21" s="286"/>
      <c r="L21" s="286"/>
      <c r="M21" s="286"/>
      <c r="N21" s="286"/>
      <c r="O21" s="286"/>
      <c r="P21" s="287"/>
      <c r="Q21" s="288"/>
      <c r="R21" s="289"/>
      <c r="S21" s="289"/>
      <c r="T21" s="289"/>
      <c r="U21" s="289"/>
      <c r="V21" s="289"/>
      <c r="W21" s="289"/>
      <c r="X21" s="289"/>
      <c r="Y21" s="289"/>
      <c r="Z21" s="289"/>
      <c r="AA21" s="289"/>
      <c r="AB21" s="289"/>
      <c r="AC21" s="289"/>
      <c r="AD21" s="289"/>
      <c r="AE21" s="290"/>
      <c r="AF21" s="285"/>
      <c r="AG21" s="286"/>
      <c r="AH21" s="286"/>
      <c r="AI21" s="287"/>
    </row>
    <row r="22" spans="1:35" s="22" customFormat="1" ht="15" customHeight="1">
      <c r="A22" s="23"/>
      <c r="B22" s="279"/>
      <c r="C22" s="280"/>
      <c r="D22" s="281"/>
      <c r="E22" s="282"/>
      <c r="F22" s="283"/>
      <c r="G22" s="279"/>
      <c r="H22" s="284"/>
      <c r="I22" s="280"/>
      <c r="J22" s="285"/>
      <c r="K22" s="286"/>
      <c r="L22" s="286"/>
      <c r="M22" s="286"/>
      <c r="N22" s="286"/>
      <c r="O22" s="286"/>
      <c r="P22" s="287"/>
      <c r="Q22" s="288"/>
      <c r="R22" s="289"/>
      <c r="S22" s="289"/>
      <c r="T22" s="289"/>
      <c r="U22" s="289"/>
      <c r="V22" s="289"/>
      <c r="W22" s="289"/>
      <c r="X22" s="289"/>
      <c r="Y22" s="289"/>
      <c r="Z22" s="289"/>
      <c r="AA22" s="289"/>
      <c r="AB22" s="289"/>
      <c r="AC22" s="289"/>
      <c r="AD22" s="289"/>
      <c r="AE22" s="290"/>
      <c r="AF22" s="285"/>
      <c r="AG22" s="286"/>
      <c r="AH22" s="286"/>
      <c r="AI22" s="287"/>
    </row>
    <row r="23" spans="1:35" s="22" customFormat="1" ht="15" customHeight="1">
      <c r="A23" s="23"/>
      <c r="B23" s="279"/>
      <c r="C23" s="280"/>
      <c r="D23" s="281"/>
      <c r="E23" s="282"/>
      <c r="F23" s="283"/>
      <c r="G23" s="279"/>
      <c r="H23" s="284"/>
      <c r="I23" s="280"/>
      <c r="J23" s="285"/>
      <c r="K23" s="286"/>
      <c r="L23" s="286"/>
      <c r="M23" s="286"/>
      <c r="N23" s="286"/>
      <c r="O23" s="286"/>
      <c r="P23" s="287"/>
      <c r="Q23" s="288"/>
      <c r="R23" s="289"/>
      <c r="S23" s="289"/>
      <c r="T23" s="289"/>
      <c r="U23" s="289"/>
      <c r="V23" s="289"/>
      <c r="W23" s="289"/>
      <c r="X23" s="289"/>
      <c r="Y23" s="289"/>
      <c r="Z23" s="289"/>
      <c r="AA23" s="289"/>
      <c r="AB23" s="289"/>
      <c r="AC23" s="289"/>
      <c r="AD23" s="289"/>
      <c r="AE23" s="290"/>
      <c r="AF23" s="285"/>
      <c r="AG23" s="286"/>
      <c r="AH23" s="286"/>
      <c r="AI23" s="287"/>
    </row>
    <row r="24" spans="1:35" s="22" customFormat="1" ht="15" customHeight="1">
      <c r="A24" s="23"/>
      <c r="B24" s="279"/>
      <c r="C24" s="280"/>
      <c r="D24" s="281"/>
      <c r="E24" s="282"/>
      <c r="F24" s="283"/>
      <c r="G24" s="279"/>
      <c r="H24" s="284"/>
      <c r="I24" s="280"/>
      <c r="J24" s="285"/>
      <c r="K24" s="286"/>
      <c r="L24" s="286"/>
      <c r="M24" s="286"/>
      <c r="N24" s="286"/>
      <c r="O24" s="286"/>
      <c r="P24" s="287"/>
      <c r="Q24" s="288"/>
      <c r="R24" s="289"/>
      <c r="S24" s="289"/>
      <c r="T24" s="289"/>
      <c r="U24" s="289"/>
      <c r="V24" s="289"/>
      <c r="W24" s="289"/>
      <c r="X24" s="289"/>
      <c r="Y24" s="289"/>
      <c r="Z24" s="289"/>
      <c r="AA24" s="289"/>
      <c r="AB24" s="289"/>
      <c r="AC24" s="289"/>
      <c r="AD24" s="289"/>
      <c r="AE24" s="290"/>
      <c r="AF24" s="285"/>
      <c r="AG24" s="286"/>
      <c r="AH24" s="286"/>
      <c r="AI24" s="287"/>
    </row>
    <row r="25" spans="1:35" s="22" customFormat="1" ht="15" customHeight="1">
      <c r="A25" s="23"/>
      <c r="B25" s="279"/>
      <c r="C25" s="280"/>
      <c r="D25" s="281"/>
      <c r="E25" s="282"/>
      <c r="F25" s="283"/>
      <c r="G25" s="279"/>
      <c r="H25" s="284"/>
      <c r="I25" s="280"/>
      <c r="J25" s="285"/>
      <c r="K25" s="286"/>
      <c r="L25" s="286"/>
      <c r="M25" s="286"/>
      <c r="N25" s="286"/>
      <c r="O25" s="286"/>
      <c r="P25" s="287"/>
      <c r="Q25" s="288"/>
      <c r="R25" s="289"/>
      <c r="S25" s="289"/>
      <c r="T25" s="289"/>
      <c r="U25" s="289"/>
      <c r="V25" s="289"/>
      <c r="W25" s="289"/>
      <c r="X25" s="289"/>
      <c r="Y25" s="289"/>
      <c r="Z25" s="289"/>
      <c r="AA25" s="289"/>
      <c r="AB25" s="289"/>
      <c r="AC25" s="289"/>
      <c r="AD25" s="289"/>
      <c r="AE25" s="290"/>
      <c r="AF25" s="285"/>
      <c r="AG25" s="286"/>
      <c r="AH25" s="286"/>
      <c r="AI25" s="287"/>
    </row>
    <row r="26" spans="1:35" s="22" customFormat="1" ht="15" customHeight="1">
      <c r="A26" s="23"/>
      <c r="B26" s="279"/>
      <c r="C26" s="280"/>
      <c r="D26" s="281"/>
      <c r="E26" s="282"/>
      <c r="F26" s="283"/>
      <c r="G26" s="279"/>
      <c r="H26" s="284"/>
      <c r="I26" s="280"/>
      <c r="J26" s="285"/>
      <c r="K26" s="286"/>
      <c r="L26" s="286"/>
      <c r="M26" s="286"/>
      <c r="N26" s="286"/>
      <c r="O26" s="286"/>
      <c r="P26" s="287"/>
      <c r="Q26" s="288"/>
      <c r="R26" s="289"/>
      <c r="S26" s="289"/>
      <c r="T26" s="289"/>
      <c r="U26" s="289"/>
      <c r="V26" s="289"/>
      <c r="W26" s="289"/>
      <c r="X26" s="289"/>
      <c r="Y26" s="289"/>
      <c r="Z26" s="289"/>
      <c r="AA26" s="289"/>
      <c r="AB26" s="289"/>
      <c r="AC26" s="289"/>
      <c r="AD26" s="289"/>
      <c r="AE26" s="290"/>
      <c r="AF26" s="285"/>
      <c r="AG26" s="286"/>
      <c r="AH26" s="286"/>
      <c r="AI26" s="287"/>
    </row>
    <row r="27" spans="1:35" s="22" customFormat="1" ht="15" customHeight="1">
      <c r="A27" s="23"/>
      <c r="B27" s="279"/>
      <c r="C27" s="280"/>
      <c r="D27" s="281"/>
      <c r="E27" s="282"/>
      <c r="F27" s="283"/>
      <c r="G27" s="279"/>
      <c r="H27" s="284"/>
      <c r="I27" s="280"/>
      <c r="J27" s="285"/>
      <c r="K27" s="286"/>
      <c r="L27" s="286"/>
      <c r="M27" s="286"/>
      <c r="N27" s="286"/>
      <c r="O27" s="286"/>
      <c r="P27" s="287"/>
      <c r="Q27" s="288"/>
      <c r="R27" s="289"/>
      <c r="S27" s="289"/>
      <c r="T27" s="289"/>
      <c r="U27" s="289"/>
      <c r="V27" s="289"/>
      <c r="W27" s="289"/>
      <c r="X27" s="289"/>
      <c r="Y27" s="289"/>
      <c r="Z27" s="289"/>
      <c r="AA27" s="289"/>
      <c r="AB27" s="289"/>
      <c r="AC27" s="289"/>
      <c r="AD27" s="289"/>
      <c r="AE27" s="290"/>
      <c r="AF27" s="285"/>
      <c r="AG27" s="286"/>
      <c r="AH27" s="286"/>
      <c r="AI27" s="287"/>
    </row>
    <row r="28" spans="1:35" s="22" customFormat="1" ht="15" customHeight="1">
      <c r="A28" s="23"/>
      <c r="B28" s="279"/>
      <c r="C28" s="280"/>
      <c r="D28" s="281"/>
      <c r="E28" s="282"/>
      <c r="F28" s="283"/>
      <c r="G28" s="279"/>
      <c r="H28" s="284"/>
      <c r="I28" s="280"/>
      <c r="J28" s="285"/>
      <c r="K28" s="286"/>
      <c r="L28" s="286"/>
      <c r="M28" s="286"/>
      <c r="N28" s="286"/>
      <c r="O28" s="286"/>
      <c r="P28" s="287"/>
      <c r="Q28" s="288"/>
      <c r="R28" s="289"/>
      <c r="S28" s="289"/>
      <c r="T28" s="289"/>
      <c r="U28" s="289"/>
      <c r="V28" s="289"/>
      <c r="W28" s="289"/>
      <c r="X28" s="289"/>
      <c r="Y28" s="289"/>
      <c r="Z28" s="289"/>
      <c r="AA28" s="289"/>
      <c r="AB28" s="289"/>
      <c r="AC28" s="289"/>
      <c r="AD28" s="289"/>
      <c r="AE28" s="290"/>
      <c r="AF28" s="285"/>
      <c r="AG28" s="286"/>
      <c r="AH28" s="286"/>
      <c r="AI28" s="287"/>
    </row>
    <row r="29" spans="1:35" s="22" customFormat="1" ht="15" customHeight="1">
      <c r="A29" s="23"/>
      <c r="B29" s="279"/>
      <c r="C29" s="280"/>
      <c r="D29" s="281"/>
      <c r="E29" s="282"/>
      <c r="F29" s="283"/>
      <c r="G29" s="279"/>
      <c r="H29" s="284"/>
      <c r="I29" s="280"/>
      <c r="J29" s="285"/>
      <c r="K29" s="286"/>
      <c r="L29" s="286"/>
      <c r="M29" s="286"/>
      <c r="N29" s="286"/>
      <c r="O29" s="286"/>
      <c r="P29" s="287"/>
      <c r="Q29" s="288"/>
      <c r="R29" s="289"/>
      <c r="S29" s="289"/>
      <c r="T29" s="289"/>
      <c r="U29" s="289"/>
      <c r="V29" s="289"/>
      <c r="W29" s="289"/>
      <c r="X29" s="289"/>
      <c r="Y29" s="289"/>
      <c r="Z29" s="289"/>
      <c r="AA29" s="289"/>
      <c r="AB29" s="289"/>
      <c r="AC29" s="289"/>
      <c r="AD29" s="289"/>
      <c r="AE29" s="290"/>
      <c r="AF29" s="285"/>
      <c r="AG29" s="286"/>
      <c r="AH29" s="286"/>
      <c r="AI29" s="287"/>
    </row>
    <row r="30" spans="1:35" s="22" customFormat="1" ht="15" customHeight="1">
      <c r="A30" s="23"/>
      <c r="B30" s="279"/>
      <c r="C30" s="280"/>
      <c r="D30" s="281"/>
      <c r="E30" s="282"/>
      <c r="F30" s="283"/>
      <c r="G30" s="279"/>
      <c r="H30" s="284"/>
      <c r="I30" s="280"/>
      <c r="J30" s="285"/>
      <c r="K30" s="286"/>
      <c r="L30" s="286"/>
      <c r="M30" s="286"/>
      <c r="N30" s="286"/>
      <c r="O30" s="286"/>
      <c r="P30" s="287"/>
      <c r="Q30" s="288"/>
      <c r="R30" s="289"/>
      <c r="S30" s="289"/>
      <c r="T30" s="289"/>
      <c r="U30" s="289"/>
      <c r="V30" s="289"/>
      <c r="W30" s="289"/>
      <c r="X30" s="289"/>
      <c r="Y30" s="289"/>
      <c r="Z30" s="289"/>
      <c r="AA30" s="289"/>
      <c r="AB30" s="289"/>
      <c r="AC30" s="289"/>
      <c r="AD30" s="289"/>
      <c r="AE30" s="290"/>
      <c r="AF30" s="285"/>
      <c r="AG30" s="286"/>
      <c r="AH30" s="286"/>
      <c r="AI30" s="287"/>
    </row>
    <row r="31" spans="1:35" s="22" customFormat="1" ht="15" customHeight="1">
      <c r="A31" s="23"/>
      <c r="B31" s="279"/>
      <c r="C31" s="280"/>
      <c r="D31" s="281"/>
      <c r="E31" s="282"/>
      <c r="F31" s="283"/>
      <c r="G31" s="279"/>
      <c r="H31" s="284"/>
      <c r="I31" s="280"/>
      <c r="J31" s="285"/>
      <c r="K31" s="286"/>
      <c r="L31" s="286"/>
      <c r="M31" s="286"/>
      <c r="N31" s="286"/>
      <c r="O31" s="286"/>
      <c r="P31" s="287"/>
      <c r="Q31" s="288"/>
      <c r="R31" s="289"/>
      <c r="S31" s="289"/>
      <c r="T31" s="289"/>
      <c r="U31" s="289"/>
      <c r="V31" s="289"/>
      <c r="W31" s="289"/>
      <c r="X31" s="289"/>
      <c r="Y31" s="289"/>
      <c r="Z31" s="289"/>
      <c r="AA31" s="289"/>
      <c r="AB31" s="289"/>
      <c r="AC31" s="289"/>
      <c r="AD31" s="289"/>
      <c r="AE31" s="290"/>
      <c r="AF31" s="285"/>
      <c r="AG31" s="286"/>
      <c r="AH31" s="286"/>
      <c r="AI31" s="287"/>
    </row>
    <row r="32" spans="1:35" s="22" customFormat="1" ht="15" customHeight="1">
      <c r="A32" s="23"/>
      <c r="B32" s="279"/>
      <c r="C32" s="280"/>
      <c r="D32" s="281"/>
      <c r="E32" s="282"/>
      <c r="F32" s="283"/>
      <c r="G32" s="279"/>
      <c r="H32" s="284"/>
      <c r="I32" s="280"/>
      <c r="J32" s="285"/>
      <c r="K32" s="291"/>
      <c r="L32" s="286"/>
      <c r="M32" s="286"/>
      <c r="N32" s="286"/>
      <c r="O32" s="286"/>
      <c r="P32" s="287"/>
      <c r="Q32" s="288"/>
      <c r="R32" s="289"/>
      <c r="S32" s="289"/>
      <c r="T32" s="289"/>
      <c r="U32" s="289"/>
      <c r="V32" s="289"/>
      <c r="W32" s="289"/>
      <c r="X32" s="289"/>
      <c r="Y32" s="289"/>
      <c r="Z32" s="289"/>
      <c r="AA32" s="289"/>
      <c r="AB32" s="289"/>
      <c r="AC32" s="289"/>
      <c r="AD32" s="289"/>
      <c r="AE32" s="290"/>
      <c r="AF32" s="285"/>
      <c r="AG32" s="286"/>
      <c r="AH32" s="286"/>
      <c r="AI32" s="287"/>
    </row>
    <row r="33" spans="1:35" s="22" customFormat="1" ht="15" customHeight="1">
      <c r="A33" s="23"/>
      <c r="B33" s="279"/>
      <c r="C33" s="280"/>
      <c r="D33" s="281"/>
      <c r="E33" s="282"/>
      <c r="F33" s="283"/>
      <c r="G33" s="279"/>
      <c r="H33" s="284"/>
      <c r="I33" s="280"/>
      <c r="J33" s="285"/>
      <c r="K33" s="286"/>
      <c r="L33" s="286"/>
      <c r="M33" s="286"/>
      <c r="N33" s="286"/>
      <c r="O33" s="286"/>
      <c r="P33" s="287"/>
      <c r="Q33" s="288"/>
      <c r="R33" s="289"/>
      <c r="S33" s="289"/>
      <c r="T33" s="289"/>
      <c r="U33" s="289"/>
      <c r="V33" s="289"/>
      <c r="W33" s="289"/>
      <c r="X33" s="289"/>
      <c r="Y33" s="289"/>
      <c r="Z33" s="289"/>
      <c r="AA33" s="289"/>
      <c r="AB33" s="289"/>
      <c r="AC33" s="289"/>
      <c r="AD33" s="289"/>
      <c r="AE33" s="290"/>
      <c r="AF33" s="285"/>
      <c r="AG33" s="286"/>
      <c r="AH33" s="286"/>
      <c r="AI33" s="287"/>
    </row>
    <row r="34" spans="1:35" ht="14">
      <c r="K34" s="25"/>
    </row>
  </sheetData>
  <mergeCells count="178">
    <mergeCell ref="AG3:AI3"/>
    <mergeCell ref="B7:C7"/>
    <mergeCell ref="D7:F7"/>
    <mergeCell ref="G7:I7"/>
    <mergeCell ref="J7:P7"/>
    <mergeCell ref="Q7:AE7"/>
    <mergeCell ref="AF7:AI7"/>
    <mergeCell ref="AG1:AI1"/>
    <mergeCell ref="A2:D2"/>
    <mergeCell ref="E2:N2"/>
    <mergeCell ref="AA2:AB2"/>
    <mergeCell ref="AC2:AF2"/>
    <mergeCell ref="AG2:AI2"/>
    <mergeCell ref="A1:D1"/>
    <mergeCell ref="E1:N1"/>
    <mergeCell ref="O1:R3"/>
    <mergeCell ref="S1:Z3"/>
    <mergeCell ref="AA1:AB1"/>
    <mergeCell ref="AC1:AF1"/>
    <mergeCell ref="A3:D3"/>
    <mergeCell ref="E3:N3"/>
    <mergeCell ref="AA3:AB3"/>
    <mergeCell ref="AC3:AF3"/>
    <mergeCell ref="B9:C9"/>
    <mergeCell ref="D9:F9"/>
    <mergeCell ref="G9:I9"/>
    <mergeCell ref="J9:P9"/>
    <mergeCell ref="Q9:AE9"/>
    <mergeCell ref="AF9:AI9"/>
    <mergeCell ref="B8:C8"/>
    <mergeCell ref="D8:F8"/>
    <mergeCell ref="G8:I8"/>
    <mergeCell ref="J8:P8"/>
    <mergeCell ref="Q8:AE8"/>
    <mergeCell ref="B11:C11"/>
    <mergeCell ref="D11:F11"/>
    <mergeCell ref="G11:I11"/>
    <mergeCell ref="J11:P11"/>
    <mergeCell ref="Q11:AE11"/>
    <mergeCell ref="AF11:AI11"/>
    <mergeCell ref="B10:C10"/>
    <mergeCell ref="D10:F10"/>
    <mergeCell ref="G10:I10"/>
    <mergeCell ref="J10:P10"/>
    <mergeCell ref="Q10:AE10"/>
    <mergeCell ref="AF10:AI10"/>
    <mergeCell ref="B13:C13"/>
    <mergeCell ref="D13:F13"/>
    <mergeCell ref="G13:I13"/>
    <mergeCell ref="J13:P13"/>
    <mergeCell ref="Q13:AE13"/>
    <mergeCell ref="AF13:AI13"/>
    <mergeCell ref="B12:C12"/>
    <mergeCell ref="D12:F12"/>
    <mergeCell ref="G12:I12"/>
    <mergeCell ref="J12:P12"/>
    <mergeCell ref="Q12:AE12"/>
    <mergeCell ref="AF12:AI12"/>
    <mergeCell ref="B15:C15"/>
    <mergeCell ref="D15:F15"/>
    <mergeCell ref="G15:I15"/>
    <mergeCell ref="J15:P15"/>
    <mergeCell ref="Q15:AE15"/>
    <mergeCell ref="AF15:AI15"/>
    <mergeCell ref="B14:C14"/>
    <mergeCell ref="D14:F14"/>
    <mergeCell ref="G14:I14"/>
    <mergeCell ref="J14:P14"/>
    <mergeCell ref="Q14:AE14"/>
    <mergeCell ref="AF14:AI14"/>
    <mergeCell ref="B17:C17"/>
    <mergeCell ref="D17:F17"/>
    <mergeCell ref="G17:I17"/>
    <mergeCell ref="J17:P17"/>
    <mergeCell ref="Q17:AE17"/>
    <mergeCell ref="AF17:AI17"/>
    <mergeCell ref="B16:C16"/>
    <mergeCell ref="D16:F16"/>
    <mergeCell ref="G16:I16"/>
    <mergeCell ref="J16:P16"/>
    <mergeCell ref="Q16:AE16"/>
    <mergeCell ref="AF16:AI16"/>
    <mergeCell ref="B19:C19"/>
    <mergeCell ref="D19:F19"/>
    <mergeCell ref="G19:I19"/>
    <mergeCell ref="J19:P19"/>
    <mergeCell ref="Q19:AE19"/>
    <mergeCell ref="AF19:AI19"/>
    <mergeCell ref="B18:C18"/>
    <mergeCell ref="D18:F18"/>
    <mergeCell ref="G18:I18"/>
    <mergeCell ref="J18:P18"/>
    <mergeCell ref="Q18:AE18"/>
    <mergeCell ref="AF18:AI18"/>
    <mergeCell ref="B21:C21"/>
    <mergeCell ref="D21:F21"/>
    <mergeCell ref="G21:I21"/>
    <mergeCell ref="J21:P21"/>
    <mergeCell ref="Q21:AE21"/>
    <mergeCell ref="AF21:AI21"/>
    <mergeCell ref="B20:C20"/>
    <mergeCell ref="D20:F20"/>
    <mergeCell ref="G20:I20"/>
    <mergeCell ref="J20:P20"/>
    <mergeCell ref="Q20:AE20"/>
    <mergeCell ref="AF20:AI20"/>
    <mergeCell ref="B23:C23"/>
    <mergeCell ref="D23:F23"/>
    <mergeCell ref="G23:I23"/>
    <mergeCell ref="J23:P23"/>
    <mergeCell ref="Q23:AE23"/>
    <mergeCell ref="AF23:AI23"/>
    <mergeCell ref="B22:C22"/>
    <mergeCell ref="D22:F22"/>
    <mergeCell ref="G22:I22"/>
    <mergeCell ref="J22:P22"/>
    <mergeCell ref="Q22:AE22"/>
    <mergeCell ref="AF22:AI22"/>
    <mergeCell ref="B25:C25"/>
    <mergeCell ref="D25:F25"/>
    <mergeCell ref="G25:I25"/>
    <mergeCell ref="J25:P25"/>
    <mergeCell ref="Q25:AE25"/>
    <mergeCell ref="AF25:AI25"/>
    <mergeCell ref="B24:C24"/>
    <mergeCell ref="D24:F24"/>
    <mergeCell ref="G24:I24"/>
    <mergeCell ref="J24:P24"/>
    <mergeCell ref="Q24:AE24"/>
    <mergeCell ref="AF24:AI24"/>
    <mergeCell ref="B27:C27"/>
    <mergeCell ref="D27:F27"/>
    <mergeCell ref="G27:I27"/>
    <mergeCell ref="J27:P27"/>
    <mergeCell ref="Q27:AE27"/>
    <mergeCell ref="AF27:AI27"/>
    <mergeCell ref="B26:C26"/>
    <mergeCell ref="D26:F26"/>
    <mergeCell ref="G26:I26"/>
    <mergeCell ref="J26:P26"/>
    <mergeCell ref="Q26:AE26"/>
    <mergeCell ref="AF26:AI26"/>
    <mergeCell ref="B29:C29"/>
    <mergeCell ref="D29:F29"/>
    <mergeCell ref="G29:I29"/>
    <mergeCell ref="J29:P29"/>
    <mergeCell ref="Q29:AE29"/>
    <mergeCell ref="AF29:AI29"/>
    <mergeCell ref="B28:C28"/>
    <mergeCell ref="D28:F28"/>
    <mergeCell ref="G28:I28"/>
    <mergeCell ref="J28:P28"/>
    <mergeCell ref="Q28:AE28"/>
    <mergeCell ref="AF28:AI28"/>
    <mergeCell ref="B31:C31"/>
    <mergeCell ref="D31:F31"/>
    <mergeCell ref="G31:I31"/>
    <mergeCell ref="J31:P31"/>
    <mergeCell ref="Q31:AE31"/>
    <mergeCell ref="AF31:AI31"/>
    <mergeCell ref="B30:C30"/>
    <mergeCell ref="D30:F30"/>
    <mergeCell ref="G30:I30"/>
    <mergeCell ref="J30:P30"/>
    <mergeCell ref="Q30:AE30"/>
    <mergeCell ref="AF30:AI30"/>
    <mergeCell ref="B33:C33"/>
    <mergeCell ref="D33:F33"/>
    <mergeCell ref="G33:I33"/>
    <mergeCell ref="J33:P33"/>
    <mergeCell ref="Q33:AE33"/>
    <mergeCell ref="AF33:AI33"/>
    <mergeCell ref="B32:C32"/>
    <mergeCell ref="D32:F32"/>
    <mergeCell ref="G32:I32"/>
    <mergeCell ref="J32:P32"/>
    <mergeCell ref="Q32:AE32"/>
    <mergeCell ref="AF32:AI32"/>
  </mergeCells>
  <phoneticPr fontId="2"/>
  <printOptions horizontalCentered="1"/>
  <pageMargins left="0.39370078740157483" right="0.39370078740157483" top="0.39370078740157483" bottom="0.39370078740157483" header="0.19685039370078741" footer="0.19685039370078741"/>
  <pageSetup paperSize="9" fitToHeight="0" orientation="landscape"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C6766-34F6-4AE7-B573-C5341D1F6769}">
  <sheetPr>
    <pageSetUpPr fitToPage="1"/>
  </sheetPr>
  <dimension ref="A1:R312"/>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2" width="8.58203125" style="30" customWidth="1"/>
    <col min="3" max="3" width="8.58203125" style="31" customWidth="1"/>
    <col min="4" max="5" width="8.58203125" style="30" customWidth="1"/>
    <col min="6" max="6" width="40.58203125" style="30" customWidth="1"/>
    <col min="7" max="7" width="28.08203125" style="30" customWidth="1" outlineLevel="1"/>
    <col min="8" max="9" width="16.33203125" style="30" customWidth="1"/>
    <col min="10" max="11" width="25.58203125" style="30" customWidth="1"/>
    <col min="12" max="12" width="19.25" style="30" bestFit="1" customWidth="1"/>
    <col min="13" max="13" width="12.58203125" style="30" customWidth="1"/>
    <col min="14" max="18" width="8.58203125" style="30" customWidth="1"/>
    <col min="19" max="16384" width="9" style="30"/>
  </cols>
  <sheetData>
    <row r="1" spans="1:18">
      <c r="A1" s="30" t="s">
        <v>72</v>
      </c>
    </row>
    <row r="2" spans="1:18">
      <c r="A2" s="30" t="s">
        <v>21</v>
      </c>
    </row>
    <row r="4" spans="1:18">
      <c r="A4" s="30" t="s">
        <v>81</v>
      </c>
    </row>
    <row r="5" spans="1:18">
      <c r="A5" s="30" t="s">
        <v>736</v>
      </c>
    </row>
    <row r="6" spans="1:18">
      <c r="A6" s="30" t="s">
        <v>737</v>
      </c>
      <c r="O6" s="30" t="s">
        <v>17</v>
      </c>
      <c r="Q6" s="30" t="s">
        <v>0</v>
      </c>
    </row>
    <row r="7" spans="1:18">
      <c r="A7" s="30" t="s">
        <v>742</v>
      </c>
      <c r="O7" s="30" t="s">
        <v>18</v>
      </c>
      <c r="Q7" s="30" t="s">
        <v>1</v>
      </c>
    </row>
    <row r="8" spans="1:18" ht="11.5" thickBot="1">
      <c r="A8" s="32"/>
      <c r="B8" s="32"/>
      <c r="C8" s="33"/>
      <c r="D8" s="32"/>
      <c r="E8" s="32"/>
      <c r="F8" s="32"/>
      <c r="G8" s="32"/>
      <c r="H8" s="32"/>
      <c r="I8" s="32"/>
      <c r="J8" s="32"/>
      <c r="K8" s="32"/>
      <c r="L8" s="32"/>
      <c r="M8" s="32"/>
      <c r="N8" s="32"/>
      <c r="O8" s="32"/>
      <c r="P8" s="32"/>
      <c r="Q8" s="32"/>
      <c r="R8" s="32"/>
    </row>
    <row r="9" spans="1:18" ht="12" customHeight="1" thickTop="1"/>
    <row r="10" spans="1:18" s="37" customFormat="1">
      <c r="A10" s="132" t="s">
        <v>85</v>
      </c>
      <c r="B10" s="68" t="s">
        <v>86</v>
      </c>
      <c r="C10" s="68" t="s">
        <v>87</v>
      </c>
      <c r="D10" s="68" t="s">
        <v>88</v>
      </c>
      <c r="E10" s="68" t="s">
        <v>89</v>
      </c>
      <c r="F10" s="68" t="s">
        <v>90</v>
      </c>
      <c r="G10" s="68" t="s">
        <v>91</v>
      </c>
      <c r="H10" s="68" t="s">
        <v>92</v>
      </c>
      <c r="I10" s="68" t="s">
        <v>93</v>
      </c>
      <c r="J10" s="69" t="s">
        <v>3</v>
      </c>
      <c r="K10" s="70" t="s">
        <v>4</v>
      </c>
      <c r="L10" s="71" t="s">
        <v>497</v>
      </c>
      <c r="M10" s="71" t="s">
        <v>15</v>
      </c>
      <c r="N10" s="72" t="s">
        <v>6</v>
      </c>
      <c r="O10" s="72" t="s">
        <v>16</v>
      </c>
      <c r="P10" s="72" t="s">
        <v>7</v>
      </c>
      <c r="Q10" s="72" t="s">
        <v>8</v>
      </c>
      <c r="R10" s="73" t="s">
        <v>9</v>
      </c>
    </row>
    <row r="11" spans="1:18" ht="22">
      <c r="A11" s="74"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13" t="s">
        <v>94</v>
      </c>
      <c r="C11" s="75" t="s">
        <v>95</v>
      </c>
      <c r="D11" s="76" t="s">
        <v>96</v>
      </c>
      <c r="E11" s="75" t="s">
        <v>97</v>
      </c>
      <c r="F11" s="75" t="s">
        <v>98</v>
      </c>
      <c r="G11" s="84" t="s">
        <v>743</v>
      </c>
      <c r="H11" s="126"/>
      <c r="I11" s="126"/>
      <c r="J11" s="126"/>
      <c r="K11" s="126"/>
      <c r="L11" s="125"/>
      <c r="M11" s="125"/>
      <c r="N11" s="133"/>
      <c r="O11" s="134"/>
      <c r="P11" s="134"/>
      <c r="Q11" s="133"/>
      <c r="R11" s="112"/>
    </row>
    <row r="12" spans="1:18" ht="22">
      <c r="A12" s="74"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83"/>
      <c r="C12" s="83"/>
      <c r="D12" s="76"/>
      <c r="E12" s="75" t="s">
        <v>99</v>
      </c>
      <c r="F12" s="75" t="s">
        <v>100</v>
      </c>
      <c r="G12" s="84" t="s">
        <v>743</v>
      </c>
      <c r="H12" s="77"/>
      <c r="I12" s="77"/>
      <c r="J12" s="77"/>
      <c r="K12" s="77"/>
      <c r="L12" s="78"/>
      <c r="M12" s="78"/>
      <c r="N12" s="79"/>
      <c r="O12" s="80"/>
      <c r="P12" s="80"/>
      <c r="Q12" s="79"/>
      <c r="R12" s="81"/>
    </row>
    <row r="13" spans="1:18" s="37" customFormat="1" ht="33">
      <c r="A13" s="74"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83"/>
      <c r="C13" s="83"/>
      <c r="D13" s="75" t="s">
        <v>101</v>
      </c>
      <c r="E13" s="75" t="s">
        <v>102</v>
      </c>
      <c r="F13" s="75" t="s">
        <v>103</v>
      </c>
      <c r="G13" s="84" t="s">
        <v>743</v>
      </c>
      <c r="H13" s="77"/>
      <c r="I13" s="77"/>
      <c r="J13" s="77"/>
      <c r="K13" s="77"/>
      <c r="L13" s="78"/>
      <c r="M13" s="78"/>
      <c r="N13" s="81"/>
      <c r="O13" s="80"/>
      <c r="P13" s="81"/>
      <c r="Q13" s="80"/>
      <c r="R13" s="79"/>
    </row>
    <row r="14" spans="1:18" s="37" customFormat="1" ht="22">
      <c r="A14" s="74"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83"/>
      <c r="C14" s="83"/>
      <c r="D14" s="76"/>
      <c r="E14" s="76"/>
      <c r="F14" s="75" t="s">
        <v>104</v>
      </c>
      <c r="G14" s="84" t="s">
        <v>743</v>
      </c>
      <c r="H14" s="77"/>
      <c r="I14" s="77"/>
      <c r="J14" s="77"/>
      <c r="K14" s="77"/>
      <c r="L14" s="78"/>
      <c r="M14" s="78"/>
      <c r="N14" s="81"/>
      <c r="O14" s="80"/>
      <c r="P14" s="81"/>
      <c r="Q14" s="80"/>
      <c r="R14" s="79"/>
    </row>
    <row r="15" spans="1:18" s="37" customFormat="1" ht="22">
      <c r="A15" s="74"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83"/>
      <c r="C15" s="83"/>
      <c r="D15" s="76"/>
      <c r="E15" s="76"/>
      <c r="F15" s="84" t="s">
        <v>105</v>
      </c>
      <c r="G15" s="84" t="s">
        <v>743</v>
      </c>
      <c r="H15" s="77"/>
      <c r="I15" s="85"/>
      <c r="J15" s="77"/>
      <c r="K15" s="77"/>
      <c r="L15" s="78"/>
      <c r="M15" s="78"/>
      <c r="N15" s="79"/>
      <c r="O15" s="79"/>
      <c r="P15" s="81"/>
      <c r="Q15" s="80"/>
      <c r="R15" s="79"/>
    </row>
    <row r="16" spans="1:18" s="37" customFormat="1" ht="22">
      <c r="A16" s="74"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83"/>
      <c r="C16" s="83"/>
      <c r="D16" s="76"/>
      <c r="E16" s="76"/>
      <c r="F16" s="84" t="s">
        <v>106</v>
      </c>
      <c r="G16" s="84" t="s">
        <v>743</v>
      </c>
      <c r="H16" s="77"/>
      <c r="I16" s="85"/>
      <c r="J16" s="77"/>
      <c r="K16" s="77"/>
      <c r="L16" s="78"/>
      <c r="M16" s="78"/>
      <c r="N16" s="79"/>
      <c r="O16" s="81"/>
      <c r="P16" s="80"/>
      <c r="Q16" s="79"/>
      <c r="R16" s="81"/>
    </row>
    <row r="17" spans="1:18" s="37" customFormat="1" ht="33">
      <c r="A17" s="74"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83"/>
      <c r="C17" s="83"/>
      <c r="D17" s="86"/>
      <c r="E17" s="87"/>
      <c r="F17" s="84" t="s">
        <v>107</v>
      </c>
      <c r="G17" s="84" t="s">
        <v>743</v>
      </c>
      <c r="H17" s="77"/>
      <c r="I17" s="85"/>
      <c r="J17" s="77"/>
      <c r="K17" s="88"/>
      <c r="L17" s="78"/>
      <c r="M17" s="78"/>
      <c r="N17" s="79"/>
      <c r="O17" s="81"/>
      <c r="P17" s="80"/>
      <c r="Q17" s="79"/>
      <c r="R17" s="81"/>
    </row>
    <row r="18" spans="1:18" ht="22">
      <c r="A18" s="74"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83"/>
      <c r="C18" s="83"/>
      <c r="D18" s="89" t="s">
        <v>108</v>
      </c>
      <c r="E18" s="76" t="s">
        <v>109</v>
      </c>
      <c r="F18" s="75" t="s">
        <v>110</v>
      </c>
      <c r="G18" s="84" t="s">
        <v>743</v>
      </c>
      <c r="H18" s="77"/>
      <c r="I18" s="77"/>
      <c r="J18" s="77"/>
      <c r="K18" s="77"/>
      <c r="L18" s="78"/>
      <c r="M18" s="78"/>
      <c r="N18" s="79"/>
      <c r="O18" s="81"/>
      <c r="P18" s="80"/>
      <c r="Q18" s="79"/>
      <c r="R18" s="81"/>
    </row>
    <row r="19" spans="1:18" ht="22">
      <c r="A19" s="74"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83"/>
      <c r="C19" s="83"/>
      <c r="D19" s="89"/>
      <c r="E19" s="76"/>
      <c r="F19" s="75" t="s">
        <v>111</v>
      </c>
      <c r="G19" s="84" t="s">
        <v>743</v>
      </c>
      <c r="H19" s="77"/>
      <c r="I19" s="77"/>
      <c r="J19" s="77"/>
      <c r="K19" s="77"/>
      <c r="L19" s="78"/>
      <c r="M19" s="78"/>
      <c r="N19" s="79"/>
      <c r="O19" s="81"/>
      <c r="P19" s="80"/>
      <c r="Q19" s="79"/>
      <c r="R19" s="81"/>
    </row>
    <row r="20" spans="1:18" ht="22">
      <c r="A20" s="74"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83"/>
      <c r="C20" s="83"/>
      <c r="D20" s="89"/>
      <c r="E20" s="87"/>
      <c r="F20" s="84" t="s">
        <v>112</v>
      </c>
      <c r="G20" s="84" t="s">
        <v>743</v>
      </c>
      <c r="H20" s="77"/>
      <c r="I20" s="85"/>
      <c r="J20" s="77"/>
      <c r="K20" s="77"/>
      <c r="L20" s="78"/>
      <c r="M20" s="78"/>
      <c r="N20" s="79"/>
      <c r="O20" s="81"/>
      <c r="P20" s="80"/>
      <c r="Q20" s="79"/>
      <c r="R20" s="81"/>
    </row>
    <row r="21" spans="1:18" ht="22">
      <c r="A21" s="74"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83"/>
      <c r="C21" s="83"/>
      <c r="D21" s="89"/>
      <c r="E21" s="76" t="s">
        <v>113</v>
      </c>
      <c r="F21" s="75" t="s">
        <v>114</v>
      </c>
      <c r="G21" s="84" t="s">
        <v>743</v>
      </c>
      <c r="H21" s="77"/>
      <c r="I21" s="77"/>
      <c r="J21" s="77"/>
      <c r="K21" s="77"/>
      <c r="L21" s="78"/>
      <c r="M21" s="78"/>
      <c r="N21" s="81"/>
      <c r="O21" s="80"/>
      <c r="P21" s="81"/>
      <c r="Q21" s="79"/>
      <c r="R21" s="81"/>
    </row>
    <row r="22" spans="1:18" ht="22">
      <c r="A22" s="74"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83"/>
      <c r="C22" s="83"/>
      <c r="D22" s="89"/>
      <c r="E22" s="76"/>
      <c r="F22" s="75" t="s">
        <v>115</v>
      </c>
      <c r="G22" s="84" t="s">
        <v>743</v>
      </c>
      <c r="H22" s="77"/>
      <c r="I22" s="77"/>
      <c r="J22" s="77"/>
      <c r="K22" s="77"/>
      <c r="L22" s="78"/>
      <c r="M22" s="78"/>
      <c r="N22" s="81"/>
      <c r="O22" s="80"/>
      <c r="P22" s="81"/>
      <c r="Q22" s="79"/>
      <c r="R22" s="81"/>
    </row>
    <row r="23" spans="1:18" ht="22">
      <c r="A23" s="74"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83"/>
      <c r="C23" s="83"/>
      <c r="D23" s="89"/>
      <c r="E23" s="76"/>
      <c r="F23" s="75" t="s">
        <v>116</v>
      </c>
      <c r="G23" s="84" t="s">
        <v>743</v>
      </c>
      <c r="H23" s="77"/>
      <c r="I23" s="77"/>
      <c r="J23" s="77"/>
      <c r="K23" s="77"/>
      <c r="L23" s="78"/>
      <c r="M23" s="78"/>
      <c r="N23" s="81"/>
      <c r="O23" s="80"/>
      <c r="P23" s="81"/>
      <c r="Q23" s="79"/>
      <c r="R23" s="81"/>
    </row>
    <row r="24" spans="1:18" ht="22">
      <c r="A24" s="74"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83"/>
      <c r="C24" s="83"/>
      <c r="D24" s="86"/>
      <c r="E24" s="87"/>
      <c r="F24" s="75" t="s">
        <v>117</v>
      </c>
      <c r="G24" s="84" t="s">
        <v>743</v>
      </c>
      <c r="H24" s="77"/>
      <c r="I24" s="77"/>
      <c r="J24" s="77"/>
      <c r="K24" s="77"/>
      <c r="L24" s="78"/>
      <c r="M24" s="78"/>
      <c r="N24" s="81"/>
      <c r="O24" s="80"/>
      <c r="P24" s="81"/>
      <c r="Q24" s="79"/>
      <c r="R24" s="81"/>
    </row>
    <row r="25" spans="1:18" s="37" customFormat="1" ht="22">
      <c r="A25" s="74"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83"/>
      <c r="C25" s="83"/>
      <c r="D25" s="89" t="s">
        <v>118</v>
      </c>
      <c r="E25" s="89" t="s">
        <v>102</v>
      </c>
      <c r="F25" s="75" t="s">
        <v>119</v>
      </c>
      <c r="G25" s="84" t="s">
        <v>743</v>
      </c>
      <c r="H25" s="77"/>
      <c r="I25" s="77"/>
      <c r="J25" s="77"/>
      <c r="K25" s="77"/>
      <c r="L25" s="78"/>
      <c r="M25" s="78"/>
      <c r="N25" s="81"/>
      <c r="O25" s="80"/>
      <c r="P25" s="81"/>
      <c r="Q25" s="80"/>
      <c r="R25" s="79"/>
    </row>
    <row r="26" spans="1:18" s="37" customFormat="1" ht="22">
      <c r="A26" s="74"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83"/>
      <c r="C26" s="83"/>
      <c r="D26" s="89"/>
      <c r="E26" s="76"/>
      <c r="F26" s="75" t="s">
        <v>120</v>
      </c>
      <c r="G26" s="84" t="s">
        <v>743</v>
      </c>
      <c r="H26" s="77"/>
      <c r="I26" s="77"/>
      <c r="J26" s="77"/>
      <c r="K26" s="77"/>
      <c r="L26" s="78"/>
      <c r="M26" s="78"/>
      <c r="N26" s="79"/>
      <c r="O26" s="79"/>
      <c r="P26" s="81"/>
      <c r="Q26" s="80"/>
      <c r="R26" s="79"/>
    </row>
    <row r="27" spans="1:18" s="37" customFormat="1" ht="33">
      <c r="A27" s="74"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83"/>
      <c r="C27" s="83"/>
      <c r="D27" s="90" t="s">
        <v>121</v>
      </c>
      <c r="E27" s="75" t="s">
        <v>122</v>
      </c>
      <c r="F27" s="75" t="s">
        <v>123</v>
      </c>
      <c r="G27" s="84" t="s">
        <v>743</v>
      </c>
      <c r="H27" s="77"/>
      <c r="I27" s="77"/>
      <c r="J27" s="77"/>
      <c r="K27" s="77"/>
      <c r="L27" s="78"/>
      <c r="M27" s="78"/>
      <c r="N27" s="81"/>
      <c r="O27" s="80"/>
      <c r="P27" s="81"/>
      <c r="Q27" s="80"/>
      <c r="R27" s="79"/>
    </row>
    <row r="28" spans="1:18" s="37" customFormat="1" ht="22">
      <c r="A28" s="74"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83"/>
      <c r="C28" s="83"/>
      <c r="D28" s="89"/>
      <c r="E28" s="76"/>
      <c r="F28" s="75" t="s">
        <v>124</v>
      </c>
      <c r="G28" s="84" t="s">
        <v>743</v>
      </c>
      <c r="H28" s="77"/>
      <c r="I28" s="77"/>
      <c r="J28" s="77"/>
      <c r="K28" s="77"/>
      <c r="L28" s="78"/>
      <c r="M28" s="78"/>
      <c r="N28" s="79"/>
      <c r="O28" s="79"/>
      <c r="P28" s="81"/>
      <c r="Q28" s="80"/>
      <c r="R28" s="79"/>
    </row>
    <row r="29" spans="1:18" ht="22">
      <c r="A29" s="74"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83"/>
      <c r="C29" s="83"/>
      <c r="D29" s="76"/>
      <c r="E29" s="75" t="s">
        <v>125</v>
      </c>
      <c r="F29" s="75" t="s">
        <v>126</v>
      </c>
      <c r="G29" s="84" t="s">
        <v>743</v>
      </c>
      <c r="H29" s="77"/>
      <c r="I29" s="77"/>
      <c r="J29" s="77"/>
      <c r="K29" s="77"/>
      <c r="L29" s="78"/>
      <c r="M29" s="78"/>
      <c r="N29" s="81"/>
      <c r="O29" s="80"/>
      <c r="P29" s="81"/>
      <c r="Q29" s="81"/>
      <c r="R29" s="81"/>
    </row>
    <row r="30" spans="1:18" ht="22">
      <c r="A30" s="74"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83"/>
      <c r="C30" s="83"/>
      <c r="D30" s="89"/>
      <c r="E30" s="76"/>
      <c r="F30" s="75" t="s">
        <v>127</v>
      </c>
      <c r="G30" s="84" t="s">
        <v>743</v>
      </c>
      <c r="H30" s="77"/>
      <c r="I30" s="77"/>
      <c r="J30" s="77"/>
      <c r="K30" s="77"/>
      <c r="L30" s="78"/>
      <c r="M30" s="78"/>
      <c r="N30" s="81"/>
      <c r="O30" s="81"/>
      <c r="P30" s="81"/>
      <c r="Q30" s="81"/>
      <c r="R30" s="81"/>
    </row>
    <row r="31" spans="1:18" ht="22">
      <c r="A31" s="74"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83"/>
      <c r="C31" s="83"/>
      <c r="D31" s="89"/>
      <c r="E31" s="76"/>
      <c r="F31" s="75" t="s">
        <v>128</v>
      </c>
      <c r="G31" s="84" t="s">
        <v>743</v>
      </c>
      <c r="H31" s="77"/>
      <c r="I31" s="77"/>
      <c r="J31" s="77"/>
      <c r="K31" s="77"/>
      <c r="L31" s="78"/>
      <c r="M31" s="78"/>
      <c r="N31" s="81"/>
      <c r="O31" s="80"/>
      <c r="P31" s="81"/>
      <c r="Q31" s="81"/>
      <c r="R31" s="81"/>
    </row>
    <row r="32" spans="1:18" ht="22">
      <c r="A32" s="74"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83"/>
      <c r="C32" s="83"/>
      <c r="D32" s="89"/>
      <c r="E32" s="76"/>
      <c r="F32" s="75" t="s">
        <v>129</v>
      </c>
      <c r="G32" s="84" t="s">
        <v>743</v>
      </c>
      <c r="H32" s="77"/>
      <c r="I32" s="77"/>
      <c r="J32" s="77"/>
      <c r="K32" s="77"/>
      <c r="L32" s="78"/>
      <c r="M32" s="78"/>
      <c r="N32" s="81"/>
      <c r="O32" s="81"/>
      <c r="P32" s="81"/>
      <c r="Q32" s="81"/>
      <c r="R32" s="81"/>
    </row>
    <row r="33" spans="1:18" ht="22">
      <c r="A33" s="74"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83"/>
      <c r="C33" s="83"/>
      <c r="D33" s="89"/>
      <c r="E33" s="75" t="s">
        <v>130</v>
      </c>
      <c r="F33" s="84" t="s">
        <v>131</v>
      </c>
      <c r="G33" s="84" t="s">
        <v>743</v>
      </c>
      <c r="H33" s="77"/>
      <c r="I33" s="85"/>
      <c r="J33" s="77"/>
      <c r="K33" s="77"/>
      <c r="L33" s="78"/>
      <c r="M33" s="78"/>
      <c r="N33" s="81"/>
      <c r="O33" s="81"/>
      <c r="P33" s="81"/>
      <c r="Q33" s="81"/>
      <c r="R33" s="81"/>
    </row>
    <row r="34" spans="1:18" ht="22">
      <c r="A34" s="74"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83"/>
      <c r="C34" s="83"/>
      <c r="D34" s="89"/>
      <c r="E34" s="87"/>
      <c r="F34" s="84" t="s">
        <v>132</v>
      </c>
      <c r="G34" s="84" t="s">
        <v>743</v>
      </c>
      <c r="H34" s="77"/>
      <c r="I34" s="85"/>
      <c r="J34" s="77"/>
      <c r="K34" s="77"/>
      <c r="L34" s="78"/>
      <c r="M34" s="78"/>
      <c r="N34" s="81"/>
      <c r="O34" s="81"/>
      <c r="P34" s="81"/>
      <c r="Q34" s="81"/>
      <c r="R34" s="81"/>
    </row>
    <row r="35" spans="1:18" ht="44">
      <c r="A35" s="74"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83"/>
      <c r="C35" s="91"/>
      <c r="D35" s="76"/>
      <c r="E35" s="75" t="s">
        <v>133</v>
      </c>
      <c r="F35" s="75" t="s">
        <v>134</v>
      </c>
      <c r="G35" s="84" t="s">
        <v>743</v>
      </c>
      <c r="H35" s="85"/>
      <c r="I35" s="85"/>
      <c r="J35" s="85"/>
      <c r="K35" s="77"/>
      <c r="L35" s="78"/>
      <c r="M35" s="78"/>
      <c r="N35" s="81"/>
      <c r="O35" s="80"/>
      <c r="P35" s="81"/>
      <c r="Q35" s="81"/>
      <c r="R35" s="81"/>
    </row>
    <row r="36" spans="1:18" ht="33">
      <c r="A36" s="74"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83"/>
      <c r="C36" s="90" t="s">
        <v>135</v>
      </c>
      <c r="D36" s="90" t="s">
        <v>38</v>
      </c>
      <c r="E36" s="75" t="s">
        <v>38</v>
      </c>
      <c r="F36" s="84" t="s">
        <v>136</v>
      </c>
      <c r="G36" s="84" t="s">
        <v>743</v>
      </c>
      <c r="H36" s="84"/>
      <c r="I36" s="84"/>
      <c r="J36" s="126"/>
      <c r="K36" s="135"/>
      <c r="L36" s="125"/>
      <c r="M36" s="125"/>
      <c r="N36" s="112"/>
      <c r="O36" s="112"/>
      <c r="P36" s="112"/>
      <c r="Q36" s="112"/>
      <c r="R36" s="112"/>
    </row>
    <row r="37" spans="1:18" ht="33">
      <c r="A37" s="74"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83"/>
      <c r="C37" s="83"/>
      <c r="D37" s="89"/>
      <c r="E37" s="76"/>
      <c r="F37" s="84" t="s">
        <v>137</v>
      </c>
      <c r="G37" s="84" t="s">
        <v>743</v>
      </c>
      <c r="H37" s="84"/>
      <c r="I37" s="84"/>
      <c r="J37" s="126"/>
      <c r="K37" s="135"/>
      <c r="L37" s="125"/>
      <c r="M37" s="125"/>
      <c r="N37" s="112"/>
      <c r="O37" s="112"/>
      <c r="P37" s="112"/>
      <c r="Q37" s="112"/>
      <c r="R37" s="112"/>
    </row>
    <row r="38" spans="1:18" ht="22">
      <c r="A38" s="74"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83"/>
      <c r="C38" s="83"/>
      <c r="D38" s="89"/>
      <c r="E38" s="76"/>
      <c r="F38" s="75" t="s">
        <v>138</v>
      </c>
      <c r="G38" s="84" t="s">
        <v>743</v>
      </c>
      <c r="H38" s="84"/>
      <c r="I38" s="126"/>
      <c r="J38" s="126"/>
      <c r="K38" s="126"/>
      <c r="L38" s="125"/>
      <c r="M38" s="125"/>
      <c r="N38" s="112"/>
      <c r="O38" s="134"/>
      <c r="P38" s="112"/>
      <c r="Q38" s="112"/>
      <c r="R38" s="112"/>
    </row>
    <row r="39" spans="1:18" s="37" customFormat="1" ht="22">
      <c r="A39" s="74"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83"/>
      <c r="C39" s="83"/>
      <c r="D39" s="86"/>
      <c r="E39" s="87"/>
      <c r="F39" s="136" t="s">
        <v>139</v>
      </c>
      <c r="G39" s="84" t="s">
        <v>743</v>
      </c>
      <c r="H39" s="84"/>
      <c r="I39" s="126"/>
      <c r="J39" s="126"/>
      <c r="K39" s="126"/>
      <c r="L39" s="125"/>
      <c r="M39" s="125"/>
      <c r="N39" s="133"/>
      <c r="O39" s="134"/>
      <c r="P39" s="134"/>
      <c r="Q39" s="133"/>
      <c r="R39" s="112"/>
    </row>
    <row r="40" spans="1:18" s="37" customFormat="1" ht="33">
      <c r="A40" s="74"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83"/>
      <c r="C40" s="83"/>
      <c r="D40" s="89" t="s">
        <v>140</v>
      </c>
      <c r="E40" s="76" t="s">
        <v>102</v>
      </c>
      <c r="F40" s="84" t="s">
        <v>141</v>
      </c>
      <c r="G40" s="84" t="s">
        <v>743</v>
      </c>
      <c r="H40" s="84"/>
      <c r="I40" s="84"/>
      <c r="J40" s="126"/>
      <c r="K40" s="128"/>
      <c r="L40" s="125"/>
      <c r="M40" s="125"/>
      <c r="N40" s="133"/>
      <c r="O40" s="112"/>
      <c r="P40" s="134"/>
      <c r="Q40" s="133"/>
      <c r="R40" s="112"/>
    </row>
    <row r="41" spans="1:18" s="37" customFormat="1" ht="22">
      <c r="A41" s="74"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37"/>
      <c r="C41" s="137"/>
      <c r="D41" s="86"/>
      <c r="E41" s="87"/>
      <c r="F41" s="84" t="s">
        <v>142</v>
      </c>
      <c r="G41" s="84" t="s">
        <v>743</v>
      </c>
      <c r="H41" s="84"/>
      <c r="I41" s="84"/>
      <c r="J41" s="126"/>
      <c r="K41" s="128"/>
      <c r="L41" s="125"/>
      <c r="M41" s="125"/>
      <c r="N41" s="133"/>
      <c r="O41" s="112"/>
      <c r="P41" s="134"/>
      <c r="Q41" s="133"/>
      <c r="R41" s="112"/>
    </row>
    <row r="42" spans="1:18" s="37" customFormat="1" ht="44">
      <c r="A42" s="74"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61" t="s">
        <v>143</v>
      </c>
      <c r="C42" s="162" t="s">
        <v>144</v>
      </c>
      <c r="D42" s="162" t="s">
        <v>145</v>
      </c>
      <c r="E42" s="162" t="s">
        <v>146</v>
      </c>
      <c r="F42" s="163" t="s">
        <v>147</v>
      </c>
      <c r="G42" s="163"/>
      <c r="H42" s="93" t="s">
        <v>499</v>
      </c>
      <c r="I42" s="93" t="s">
        <v>27</v>
      </c>
      <c r="J42" s="39" t="s">
        <v>746</v>
      </c>
      <c r="K42" s="164" t="s">
        <v>744</v>
      </c>
      <c r="L42" s="165" t="s">
        <v>515</v>
      </c>
      <c r="M42" s="165" t="s">
        <v>501</v>
      </c>
      <c r="N42" s="166"/>
      <c r="O42" s="167"/>
      <c r="P42" s="166"/>
      <c r="Q42" s="168"/>
      <c r="R42" s="166"/>
    </row>
    <row r="43" spans="1:18" s="37" customFormat="1" ht="33">
      <c r="A43" s="74"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69"/>
      <c r="C43" s="176"/>
      <c r="D43" s="171"/>
      <c r="E43" s="171"/>
      <c r="F43" s="172" t="s">
        <v>148</v>
      </c>
      <c r="G43" s="163"/>
      <c r="H43" s="163" t="s">
        <v>499</v>
      </c>
      <c r="I43" s="163" t="s">
        <v>27</v>
      </c>
      <c r="J43" s="39" t="s">
        <v>745</v>
      </c>
      <c r="K43" s="164" t="s">
        <v>735</v>
      </c>
      <c r="L43" s="165" t="s">
        <v>515</v>
      </c>
      <c r="M43" s="165" t="s">
        <v>723</v>
      </c>
      <c r="N43" s="166"/>
      <c r="O43" s="167"/>
      <c r="P43" s="166"/>
      <c r="Q43" s="168"/>
      <c r="R43" s="166"/>
    </row>
    <row r="44" spans="1:18" s="37" customFormat="1" ht="33">
      <c r="A44" s="74"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69"/>
      <c r="C44" s="176"/>
      <c r="D44" s="171"/>
      <c r="E44" s="174"/>
      <c r="F44" s="85" t="s">
        <v>149</v>
      </c>
      <c r="G44" s="84" t="s">
        <v>502</v>
      </c>
      <c r="H44" s="85"/>
      <c r="I44" s="85"/>
      <c r="J44" s="101"/>
      <c r="K44" s="88"/>
      <c r="L44" s="78"/>
      <c r="M44" s="78"/>
      <c r="N44" s="79"/>
      <c r="O44" s="81"/>
      <c r="P44" s="80"/>
      <c r="Q44" s="79"/>
      <c r="R44" s="81"/>
    </row>
    <row r="45" spans="1:18" s="37" customFormat="1" ht="22">
      <c r="A45" s="74"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69"/>
      <c r="C45" s="176"/>
      <c r="D45" s="171"/>
      <c r="E45" s="103" t="s">
        <v>150</v>
      </c>
      <c r="F45" s="85" t="s">
        <v>151</v>
      </c>
      <c r="G45" s="84" t="s">
        <v>502</v>
      </c>
      <c r="H45" s="85"/>
      <c r="I45" s="85"/>
      <c r="J45" s="101"/>
      <c r="K45" s="88"/>
      <c r="L45" s="78"/>
      <c r="M45" s="78"/>
      <c r="N45" s="79"/>
      <c r="O45" s="81"/>
      <c r="P45" s="80"/>
      <c r="Q45" s="79"/>
      <c r="R45" s="81"/>
    </row>
    <row r="46" spans="1:18" s="37" customFormat="1" ht="22">
      <c r="A46" s="74"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69"/>
      <c r="C46" s="176"/>
      <c r="D46" s="171"/>
      <c r="E46" s="103"/>
      <c r="F46" s="85" t="s">
        <v>152</v>
      </c>
      <c r="G46" s="84" t="s">
        <v>502</v>
      </c>
      <c r="H46" s="85"/>
      <c r="I46" s="85"/>
      <c r="J46" s="101"/>
      <c r="K46" s="88"/>
      <c r="L46" s="78"/>
      <c r="M46" s="78"/>
      <c r="N46" s="79"/>
      <c r="O46" s="81"/>
      <c r="P46" s="80"/>
      <c r="Q46" s="79"/>
      <c r="R46" s="81"/>
    </row>
    <row r="47" spans="1:18" s="37" customFormat="1" ht="33">
      <c r="A47" s="74"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69"/>
      <c r="C47" s="176"/>
      <c r="D47" s="171"/>
      <c r="E47" s="105"/>
      <c r="F47" s="85" t="s">
        <v>149</v>
      </c>
      <c r="G47" s="84" t="s">
        <v>502</v>
      </c>
      <c r="H47" s="85"/>
      <c r="I47" s="85"/>
      <c r="J47" s="101"/>
      <c r="K47" s="88"/>
      <c r="L47" s="78"/>
      <c r="M47" s="78"/>
      <c r="N47" s="79"/>
      <c r="O47" s="81"/>
      <c r="P47" s="80"/>
      <c r="Q47" s="79"/>
      <c r="R47" s="81"/>
    </row>
    <row r="48" spans="1:18" s="37" customFormat="1" ht="44">
      <c r="A48" s="74"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69"/>
      <c r="C48" s="176"/>
      <c r="D48" s="171"/>
      <c r="E48" s="171" t="s">
        <v>153</v>
      </c>
      <c r="F48" s="172" t="s">
        <v>154</v>
      </c>
      <c r="G48" s="163"/>
      <c r="H48" s="93" t="s">
        <v>499</v>
      </c>
      <c r="I48" s="93" t="s">
        <v>27</v>
      </c>
      <c r="J48" s="39" t="s">
        <v>746</v>
      </c>
      <c r="K48" s="164" t="s">
        <v>744</v>
      </c>
      <c r="L48" s="165" t="s">
        <v>515</v>
      </c>
      <c r="M48" s="165" t="s">
        <v>501</v>
      </c>
      <c r="N48" s="166"/>
      <c r="O48" s="167"/>
      <c r="P48" s="166"/>
      <c r="Q48" s="168"/>
      <c r="R48" s="166"/>
    </row>
    <row r="49" spans="1:18" s="37" customFormat="1" ht="33">
      <c r="A49" s="74"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69"/>
      <c r="C49" s="176"/>
      <c r="D49" s="171"/>
      <c r="E49" s="171"/>
      <c r="F49" s="172" t="s">
        <v>155</v>
      </c>
      <c r="G49" s="163"/>
      <c r="H49" s="163" t="s">
        <v>499</v>
      </c>
      <c r="I49" s="163" t="s">
        <v>27</v>
      </c>
      <c r="J49" s="39" t="s">
        <v>745</v>
      </c>
      <c r="K49" s="164" t="s">
        <v>735</v>
      </c>
      <c r="L49" s="165" t="s">
        <v>515</v>
      </c>
      <c r="M49" s="165" t="s">
        <v>723</v>
      </c>
      <c r="N49" s="166"/>
      <c r="O49" s="167"/>
      <c r="P49" s="166"/>
      <c r="Q49" s="168"/>
      <c r="R49" s="166"/>
    </row>
    <row r="50" spans="1:18" s="37" customFormat="1" ht="22">
      <c r="A50" s="74"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69"/>
      <c r="C50" s="176"/>
      <c r="D50" s="171"/>
      <c r="E50" s="104" t="s">
        <v>156</v>
      </c>
      <c r="F50" s="85" t="s">
        <v>157</v>
      </c>
      <c r="G50" s="84" t="s">
        <v>502</v>
      </c>
      <c r="H50" s="85"/>
      <c r="I50" s="85"/>
      <c r="J50" s="101"/>
      <c r="K50" s="88"/>
      <c r="L50" s="78"/>
      <c r="M50" s="78"/>
      <c r="N50" s="79"/>
      <c r="O50" s="81"/>
      <c r="P50" s="80"/>
      <c r="Q50" s="79"/>
      <c r="R50" s="81"/>
    </row>
    <row r="51" spans="1:18" s="37" customFormat="1" ht="22">
      <c r="A51" s="74"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69"/>
      <c r="C51" s="176"/>
      <c r="D51" s="171"/>
      <c r="E51" s="103"/>
      <c r="F51" s="85" t="s">
        <v>158</v>
      </c>
      <c r="G51" s="84" t="s">
        <v>502</v>
      </c>
      <c r="H51" s="85"/>
      <c r="I51" s="85"/>
      <c r="J51" s="101"/>
      <c r="K51" s="88"/>
      <c r="L51" s="78"/>
      <c r="M51" s="78"/>
      <c r="N51" s="79"/>
      <c r="O51" s="81"/>
      <c r="P51" s="80"/>
      <c r="Q51" s="79"/>
      <c r="R51" s="81"/>
    </row>
    <row r="52" spans="1:18" s="37" customFormat="1" ht="22">
      <c r="A52" s="74"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69"/>
      <c r="C52" s="176"/>
      <c r="D52" s="171"/>
      <c r="E52" s="103"/>
      <c r="F52" s="85" t="s">
        <v>159</v>
      </c>
      <c r="G52" s="84" t="s">
        <v>502</v>
      </c>
      <c r="H52" s="85"/>
      <c r="I52" s="85"/>
      <c r="J52" s="101"/>
      <c r="K52" s="88"/>
      <c r="L52" s="78"/>
      <c r="M52" s="78"/>
      <c r="N52" s="79"/>
      <c r="O52" s="81"/>
      <c r="P52" s="80"/>
      <c r="Q52" s="79"/>
      <c r="R52" s="81"/>
    </row>
    <row r="53" spans="1:18" s="37" customFormat="1" ht="22">
      <c r="A53" s="74"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69"/>
      <c r="C53" s="176"/>
      <c r="D53" s="171"/>
      <c r="E53" s="103"/>
      <c r="F53" s="85" t="s">
        <v>160</v>
      </c>
      <c r="G53" s="84" t="s">
        <v>502</v>
      </c>
      <c r="H53" s="85"/>
      <c r="I53" s="85"/>
      <c r="J53" s="101"/>
      <c r="K53" s="88"/>
      <c r="L53" s="78"/>
      <c r="M53" s="78"/>
      <c r="N53" s="79"/>
      <c r="O53" s="81"/>
      <c r="P53" s="80"/>
      <c r="Q53" s="79"/>
      <c r="R53" s="81"/>
    </row>
    <row r="54" spans="1:18" s="37" customFormat="1" ht="22">
      <c r="A54" s="74"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69"/>
      <c r="C54" s="176"/>
      <c r="D54" s="171"/>
      <c r="E54" s="103"/>
      <c r="F54" s="85" t="s">
        <v>161</v>
      </c>
      <c r="G54" s="84" t="s">
        <v>502</v>
      </c>
      <c r="H54" s="85"/>
      <c r="I54" s="85"/>
      <c r="J54" s="101"/>
      <c r="K54" s="88"/>
      <c r="L54" s="78"/>
      <c r="M54" s="78"/>
      <c r="N54" s="79"/>
      <c r="O54" s="81"/>
      <c r="P54" s="80"/>
      <c r="Q54" s="79"/>
      <c r="R54" s="81"/>
    </row>
    <row r="55" spans="1:18" s="37" customFormat="1" ht="22">
      <c r="A55" s="74"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69"/>
      <c r="C55" s="176"/>
      <c r="D55" s="171"/>
      <c r="E55" s="105"/>
      <c r="F55" s="85" t="s">
        <v>162</v>
      </c>
      <c r="G55" s="84" t="s">
        <v>502</v>
      </c>
      <c r="H55" s="85"/>
      <c r="I55" s="85"/>
      <c r="J55" s="101"/>
      <c r="K55" s="88"/>
      <c r="L55" s="78"/>
      <c r="M55" s="78"/>
      <c r="N55" s="79"/>
      <c r="O55" s="81"/>
      <c r="P55" s="80"/>
      <c r="Q55" s="79"/>
      <c r="R55" s="81"/>
    </row>
    <row r="56" spans="1:18" s="37" customFormat="1" ht="33">
      <c r="A56" s="74"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69"/>
      <c r="C56" s="176"/>
      <c r="D56" s="171"/>
      <c r="E56" s="105" t="s">
        <v>163</v>
      </c>
      <c r="F56" s="85" t="s">
        <v>164</v>
      </c>
      <c r="G56" s="84" t="s">
        <v>502</v>
      </c>
      <c r="H56" s="85"/>
      <c r="I56" s="85"/>
      <c r="J56" s="101"/>
      <c r="K56" s="88"/>
      <c r="L56" s="78"/>
      <c r="M56" s="78"/>
      <c r="N56" s="79"/>
      <c r="O56" s="81"/>
      <c r="P56" s="80"/>
      <c r="Q56" s="79"/>
      <c r="R56" s="81"/>
    </row>
    <row r="57" spans="1:18" s="37" customFormat="1" ht="22">
      <c r="A57" s="74"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69"/>
      <c r="C57" s="176"/>
      <c r="D57" s="171"/>
      <c r="E57" s="105" t="s">
        <v>165</v>
      </c>
      <c r="F57" s="85" t="s">
        <v>166</v>
      </c>
      <c r="G57" s="84" t="s">
        <v>502</v>
      </c>
      <c r="H57" s="85"/>
      <c r="I57" s="85"/>
      <c r="J57" s="101"/>
      <c r="K57" s="88"/>
      <c r="L57" s="78"/>
      <c r="M57" s="78"/>
      <c r="N57" s="79"/>
      <c r="O57" s="81"/>
      <c r="P57" s="80"/>
      <c r="Q57" s="79"/>
      <c r="R57" s="81"/>
    </row>
    <row r="58" spans="1:18" s="37" customFormat="1" ht="22">
      <c r="A58" s="74"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69"/>
      <c r="C58" s="176"/>
      <c r="D58" s="174"/>
      <c r="E58" s="105" t="s">
        <v>167</v>
      </c>
      <c r="F58" s="85" t="s">
        <v>168</v>
      </c>
      <c r="G58" s="84" t="s">
        <v>502</v>
      </c>
      <c r="H58" s="85"/>
      <c r="I58" s="85"/>
      <c r="J58" s="101"/>
      <c r="K58" s="88"/>
      <c r="L58" s="78"/>
      <c r="M58" s="78"/>
      <c r="N58" s="79"/>
      <c r="O58" s="81"/>
      <c r="P58" s="80"/>
      <c r="Q58" s="79"/>
      <c r="R58" s="81"/>
    </row>
    <row r="59" spans="1:18" s="37" customFormat="1" ht="22">
      <c r="A59" s="74"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69"/>
      <c r="C59" s="176"/>
      <c r="D59" s="171" t="s">
        <v>169</v>
      </c>
      <c r="E59" s="171" t="s">
        <v>102</v>
      </c>
      <c r="F59" s="84" t="s">
        <v>170</v>
      </c>
      <c r="G59" s="84" t="s">
        <v>498</v>
      </c>
      <c r="H59" s="84"/>
      <c r="I59" s="84"/>
      <c r="J59" s="139"/>
      <c r="K59" s="128"/>
      <c r="L59" s="125"/>
      <c r="M59" s="125"/>
      <c r="N59" s="133"/>
      <c r="O59" s="112"/>
      <c r="P59" s="134"/>
      <c r="Q59" s="133"/>
      <c r="R59" s="112"/>
    </row>
    <row r="60" spans="1:18" s="37" customFormat="1" ht="22">
      <c r="A60" s="74"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69"/>
      <c r="C60" s="169"/>
      <c r="D60" s="171"/>
      <c r="E60" s="171"/>
      <c r="F60" s="172" t="s">
        <v>171</v>
      </c>
      <c r="G60" s="163"/>
      <c r="H60" s="93" t="s">
        <v>499</v>
      </c>
      <c r="I60" s="93" t="s">
        <v>732</v>
      </c>
      <c r="J60" s="138" t="s">
        <v>759</v>
      </c>
      <c r="K60" s="164" t="s">
        <v>744</v>
      </c>
      <c r="L60" s="94" t="s">
        <v>515</v>
      </c>
      <c r="M60" s="94" t="s">
        <v>501</v>
      </c>
      <c r="N60" s="98"/>
      <c r="O60" s="95"/>
      <c r="P60" s="97"/>
      <c r="Q60" s="98"/>
      <c r="R60" s="95"/>
    </row>
    <row r="61" spans="1:18" s="37" customFormat="1" ht="22">
      <c r="A61" s="74"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69"/>
      <c r="C61" s="169"/>
      <c r="D61" s="171"/>
      <c r="E61" s="171"/>
      <c r="F61" s="84" t="s">
        <v>172</v>
      </c>
      <c r="G61" s="84" t="s">
        <v>500</v>
      </c>
      <c r="H61" s="84"/>
      <c r="I61" s="84"/>
      <c r="J61" s="139"/>
      <c r="K61" s="128"/>
      <c r="L61" s="125"/>
      <c r="M61" s="125"/>
      <c r="N61" s="133"/>
      <c r="O61" s="112"/>
      <c r="P61" s="134"/>
      <c r="Q61" s="133"/>
      <c r="R61" s="112"/>
    </row>
    <row r="62" spans="1:18" s="37" customFormat="1" ht="22">
      <c r="A62" s="74"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69"/>
      <c r="C62" s="169"/>
      <c r="D62" s="171"/>
      <c r="E62" s="171"/>
      <c r="F62" s="84" t="s">
        <v>173</v>
      </c>
      <c r="G62" s="84" t="s">
        <v>724</v>
      </c>
      <c r="H62" s="84"/>
      <c r="I62" s="84"/>
      <c r="J62" s="139"/>
      <c r="K62" s="128"/>
      <c r="L62" s="125"/>
      <c r="M62" s="125"/>
      <c r="N62" s="133"/>
      <c r="O62" s="112"/>
      <c r="P62" s="134"/>
      <c r="Q62" s="133"/>
      <c r="R62" s="112"/>
    </row>
    <row r="63" spans="1:18" s="37" customFormat="1" ht="22">
      <c r="A63" s="74"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69"/>
      <c r="C63" s="169"/>
      <c r="D63" s="171"/>
      <c r="E63" s="174"/>
      <c r="F63" s="84" t="s">
        <v>174</v>
      </c>
      <c r="G63" s="84" t="s">
        <v>500</v>
      </c>
      <c r="H63" s="84"/>
      <c r="I63" s="84"/>
      <c r="J63" s="139"/>
      <c r="K63" s="128"/>
      <c r="L63" s="125"/>
      <c r="M63" s="125"/>
      <c r="N63" s="133"/>
      <c r="O63" s="112"/>
      <c r="P63" s="134"/>
      <c r="Q63" s="133"/>
      <c r="R63" s="112"/>
    </row>
    <row r="64" spans="1:18" s="37" customFormat="1" ht="33">
      <c r="A64" s="74"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69"/>
      <c r="C64" s="169"/>
      <c r="D64" s="171"/>
      <c r="E64" s="76" t="s">
        <v>175</v>
      </c>
      <c r="F64" s="84" t="s">
        <v>176</v>
      </c>
      <c r="G64" s="84" t="s">
        <v>502</v>
      </c>
      <c r="H64" s="84"/>
      <c r="I64" s="84"/>
      <c r="J64" s="139"/>
      <c r="K64" s="128"/>
      <c r="L64" s="125"/>
      <c r="M64" s="125"/>
      <c r="N64" s="133"/>
      <c r="O64" s="112"/>
      <c r="P64" s="134"/>
      <c r="Q64" s="133"/>
      <c r="R64" s="112"/>
    </row>
    <row r="65" spans="1:18" s="37" customFormat="1" ht="33">
      <c r="A65" s="74"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69"/>
      <c r="C65" s="169"/>
      <c r="D65" s="171"/>
      <c r="E65" s="231"/>
      <c r="F65" s="75" t="s">
        <v>177</v>
      </c>
      <c r="G65" s="84" t="s">
        <v>502</v>
      </c>
      <c r="H65" s="84"/>
      <c r="I65" s="84"/>
      <c r="J65" s="139"/>
      <c r="K65" s="128"/>
      <c r="L65" s="125"/>
      <c r="M65" s="125"/>
      <c r="N65" s="133"/>
      <c r="O65" s="112"/>
      <c r="P65" s="134"/>
      <c r="Q65" s="133"/>
      <c r="R65" s="112"/>
    </row>
    <row r="66" spans="1:18" s="37" customFormat="1" ht="33">
      <c r="A66" s="74"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69"/>
      <c r="C66" s="169"/>
      <c r="D66" s="171"/>
      <c r="E66" s="76"/>
      <c r="F66" s="84" t="s">
        <v>178</v>
      </c>
      <c r="G66" s="84" t="s">
        <v>498</v>
      </c>
      <c r="H66" s="84"/>
      <c r="I66" s="84"/>
      <c r="J66" s="139"/>
      <c r="K66" s="128"/>
      <c r="L66" s="125"/>
      <c r="M66" s="125"/>
      <c r="N66" s="133"/>
      <c r="O66" s="112"/>
      <c r="P66" s="134"/>
      <c r="Q66" s="133"/>
      <c r="R66" s="112"/>
    </row>
    <row r="67" spans="1:18" s="37" customFormat="1" ht="33">
      <c r="A67" s="74"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69"/>
      <c r="C67" s="169"/>
      <c r="D67" s="171"/>
      <c r="E67" s="76"/>
      <c r="F67" s="84" t="s">
        <v>179</v>
      </c>
      <c r="G67" s="84" t="s">
        <v>498</v>
      </c>
      <c r="H67" s="84"/>
      <c r="I67" s="84"/>
      <c r="J67" s="139"/>
      <c r="K67" s="128"/>
      <c r="L67" s="125"/>
      <c r="M67" s="125"/>
      <c r="N67" s="133"/>
      <c r="O67" s="112"/>
      <c r="P67" s="134"/>
      <c r="Q67" s="133"/>
      <c r="R67" s="112"/>
    </row>
    <row r="68" spans="1:18" s="37" customFormat="1" ht="33">
      <c r="A68" s="74"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69"/>
      <c r="C68" s="169"/>
      <c r="D68" s="171"/>
      <c r="E68" s="76"/>
      <c r="F68" s="84" t="s">
        <v>180</v>
      </c>
      <c r="G68" s="84" t="s">
        <v>498</v>
      </c>
      <c r="H68" s="84"/>
      <c r="I68" s="84"/>
      <c r="J68" s="139"/>
      <c r="K68" s="128"/>
      <c r="L68" s="125"/>
      <c r="M68" s="125"/>
      <c r="N68" s="133"/>
      <c r="O68" s="112"/>
      <c r="P68" s="134"/>
      <c r="Q68" s="133"/>
      <c r="R68" s="112"/>
    </row>
    <row r="69" spans="1:18" s="37" customFormat="1" ht="22">
      <c r="A69" s="74"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69"/>
      <c r="C69" s="169"/>
      <c r="D69" s="171"/>
      <c r="E69" s="76"/>
      <c r="F69" s="84" t="s">
        <v>181</v>
      </c>
      <c r="G69" s="84" t="s">
        <v>498</v>
      </c>
      <c r="H69" s="84"/>
      <c r="I69" s="84"/>
      <c r="J69" s="139"/>
      <c r="K69" s="128"/>
      <c r="L69" s="125"/>
      <c r="M69" s="125"/>
      <c r="N69" s="133"/>
      <c r="O69" s="112"/>
      <c r="P69" s="134"/>
      <c r="Q69" s="133"/>
      <c r="R69" s="112"/>
    </row>
    <row r="70" spans="1:18" s="37" customFormat="1" ht="22">
      <c r="A70" s="74"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69"/>
      <c r="C70" s="169"/>
      <c r="D70" s="171"/>
      <c r="E70" s="76"/>
      <c r="F70" s="84" t="s">
        <v>182</v>
      </c>
      <c r="G70" s="84" t="s">
        <v>498</v>
      </c>
      <c r="H70" s="84"/>
      <c r="I70" s="84"/>
      <c r="J70" s="139"/>
      <c r="K70" s="128"/>
      <c r="L70" s="125"/>
      <c r="M70" s="125"/>
      <c r="N70" s="133"/>
      <c r="O70" s="112"/>
      <c r="P70" s="134"/>
      <c r="Q70" s="133"/>
      <c r="R70" s="112"/>
    </row>
    <row r="71" spans="1:18" s="37" customFormat="1" ht="33">
      <c r="A71" s="74"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69"/>
      <c r="C71" s="169"/>
      <c r="D71" s="171"/>
      <c r="E71" s="231"/>
      <c r="F71" s="75" t="s">
        <v>183</v>
      </c>
      <c r="G71" s="75" t="s">
        <v>498</v>
      </c>
      <c r="H71" s="75"/>
      <c r="I71" s="75"/>
      <c r="J71" s="178"/>
      <c r="K71" s="197"/>
      <c r="L71" s="180"/>
      <c r="M71" s="180"/>
      <c r="N71" s="262"/>
      <c r="O71" s="179"/>
      <c r="P71" s="263"/>
      <c r="Q71" s="262"/>
      <c r="R71" s="179"/>
    </row>
    <row r="72" spans="1:18" s="37" customFormat="1" ht="22">
      <c r="A72" s="74"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86"/>
      <c r="C72" s="186"/>
      <c r="D72" s="182"/>
      <c r="E72" s="92" t="s">
        <v>184</v>
      </c>
      <c r="F72" s="92" t="s">
        <v>185</v>
      </c>
      <c r="G72" s="194"/>
      <c r="H72" s="93" t="s">
        <v>513</v>
      </c>
      <c r="I72" s="40" t="s">
        <v>733</v>
      </c>
      <c r="J72" s="99" t="s">
        <v>760</v>
      </c>
      <c r="K72" s="99" t="s">
        <v>747</v>
      </c>
      <c r="L72" s="99" t="s">
        <v>635</v>
      </c>
      <c r="M72" s="95">
        <v>1</v>
      </c>
      <c r="N72" s="95"/>
      <c r="O72" s="95"/>
      <c r="P72" s="2"/>
      <c r="Q72" s="99"/>
      <c r="R72" s="99"/>
    </row>
    <row r="73" spans="1:18" s="37" customFormat="1" ht="22">
      <c r="A73" s="74"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22-1-2</v>
      </c>
      <c r="B73" s="186"/>
      <c r="C73" s="186"/>
      <c r="D73" s="182"/>
      <c r="E73" s="182"/>
      <c r="F73" s="156"/>
      <c r="G73" s="195"/>
      <c r="H73" s="93" t="s">
        <v>513</v>
      </c>
      <c r="I73" s="62" t="s">
        <v>733</v>
      </c>
      <c r="J73" s="99" t="s">
        <v>761</v>
      </c>
      <c r="K73" s="99" t="s">
        <v>748</v>
      </c>
      <c r="L73" s="99" t="s">
        <v>635</v>
      </c>
      <c r="M73" s="95">
        <v>1</v>
      </c>
      <c r="N73" s="95"/>
      <c r="O73" s="95"/>
      <c r="P73" s="2"/>
      <c r="Q73" s="99"/>
      <c r="R73" s="99"/>
    </row>
    <row r="74" spans="1:18" s="37" customFormat="1" ht="22">
      <c r="A74" s="74"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22-1-3</v>
      </c>
      <c r="B74" s="186"/>
      <c r="C74" s="186"/>
      <c r="D74" s="182"/>
      <c r="E74" s="182"/>
      <c r="F74" s="156"/>
      <c r="G74" s="195"/>
      <c r="H74" s="93" t="s">
        <v>513</v>
      </c>
      <c r="I74" s="62" t="s">
        <v>733</v>
      </c>
      <c r="J74" s="99" t="s">
        <v>762</v>
      </c>
      <c r="K74" s="99" t="s">
        <v>749</v>
      </c>
      <c r="L74" s="99" t="s">
        <v>635</v>
      </c>
      <c r="M74" s="95">
        <v>1</v>
      </c>
      <c r="N74" s="95"/>
      <c r="O74" s="95"/>
      <c r="P74" s="2"/>
      <c r="Q74" s="99"/>
      <c r="R74" s="99"/>
    </row>
    <row r="75" spans="1:18" s="37" customFormat="1" ht="22">
      <c r="A75" s="74"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22-1-4</v>
      </c>
      <c r="B75" s="186"/>
      <c r="C75" s="186"/>
      <c r="D75" s="182"/>
      <c r="E75" s="182"/>
      <c r="F75" s="156"/>
      <c r="G75" s="195"/>
      <c r="H75" s="93" t="s">
        <v>513</v>
      </c>
      <c r="I75" s="62" t="s">
        <v>733</v>
      </c>
      <c r="J75" s="99" t="s">
        <v>763</v>
      </c>
      <c r="K75" s="99" t="s">
        <v>750</v>
      </c>
      <c r="L75" s="99" t="s">
        <v>635</v>
      </c>
      <c r="M75" s="95">
        <v>1</v>
      </c>
      <c r="N75" s="95"/>
      <c r="O75" s="95"/>
      <c r="P75" s="2"/>
      <c r="Q75" s="99"/>
      <c r="R75" s="99"/>
    </row>
    <row r="76" spans="1:18" s="37" customFormat="1" ht="22">
      <c r="A76" s="74"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22-1-5</v>
      </c>
      <c r="B76" s="186"/>
      <c r="C76" s="186"/>
      <c r="D76" s="182"/>
      <c r="E76" s="182"/>
      <c r="F76" s="156"/>
      <c r="G76" s="195"/>
      <c r="H76" s="93" t="s">
        <v>513</v>
      </c>
      <c r="I76" s="62" t="s">
        <v>733</v>
      </c>
      <c r="J76" s="99" t="s">
        <v>764</v>
      </c>
      <c r="K76" s="99" t="s">
        <v>751</v>
      </c>
      <c r="L76" s="99" t="s">
        <v>635</v>
      </c>
      <c r="M76" s="95">
        <v>1</v>
      </c>
      <c r="N76" s="95"/>
      <c r="O76" s="95"/>
      <c r="P76" s="2"/>
      <c r="Q76" s="99"/>
      <c r="R76" s="99"/>
    </row>
    <row r="77" spans="1:18" s="37" customFormat="1" ht="22">
      <c r="A77" s="74"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22-1-6</v>
      </c>
      <c r="B77" s="186"/>
      <c r="C77" s="186"/>
      <c r="D77" s="182"/>
      <c r="E77" s="182"/>
      <c r="F77" s="156"/>
      <c r="G77" s="195"/>
      <c r="H77" s="93" t="s">
        <v>513</v>
      </c>
      <c r="I77" s="62" t="s">
        <v>733</v>
      </c>
      <c r="J77" s="99" t="s">
        <v>765</v>
      </c>
      <c r="K77" s="99" t="s">
        <v>752</v>
      </c>
      <c r="L77" s="99" t="s">
        <v>635</v>
      </c>
      <c r="M77" s="95">
        <v>1</v>
      </c>
      <c r="N77" s="95"/>
      <c r="O77" s="95"/>
      <c r="P77" s="2"/>
      <c r="Q77" s="99"/>
      <c r="R77" s="99"/>
    </row>
    <row r="78" spans="1:18" s="37" customFormat="1" ht="22">
      <c r="A78" s="74"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22-1-7</v>
      </c>
      <c r="B78" s="186"/>
      <c r="C78" s="186"/>
      <c r="D78" s="182"/>
      <c r="E78" s="182"/>
      <c r="F78" s="156"/>
      <c r="G78" s="195"/>
      <c r="H78" s="93" t="s">
        <v>513</v>
      </c>
      <c r="I78" s="62" t="s">
        <v>733</v>
      </c>
      <c r="J78" s="99" t="s">
        <v>766</v>
      </c>
      <c r="K78" s="99" t="s">
        <v>753</v>
      </c>
      <c r="L78" s="99" t="s">
        <v>635</v>
      </c>
      <c r="M78" s="95">
        <v>1</v>
      </c>
      <c r="N78" s="95"/>
      <c r="O78" s="95"/>
      <c r="P78" s="2"/>
      <c r="Q78" s="99"/>
      <c r="R78" s="99"/>
    </row>
    <row r="79" spans="1:18" s="37" customFormat="1" ht="22">
      <c r="A79" s="74"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22-1-8</v>
      </c>
      <c r="B79" s="186"/>
      <c r="C79" s="186"/>
      <c r="D79" s="182"/>
      <c r="E79" s="182"/>
      <c r="F79" s="156"/>
      <c r="G79" s="195"/>
      <c r="H79" s="93" t="s">
        <v>513</v>
      </c>
      <c r="I79" s="62" t="s">
        <v>733</v>
      </c>
      <c r="J79" s="99" t="s">
        <v>767</v>
      </c>
      <c r="K79" s="99" t="s">
        <v>754</v>
      </c>
      <c r="L79" s="99" t="s">
        <v>635</v>
      </c>
      <c r="M79" s="95">
        <v>1</v>
      </c>
      <c r="N79" s="95"/>
      <c r="O79" s="95"/>
      <c r="P79" s="2"/>
      <c r="Q79" s="99"/>
      <c r="R79" s="99"/>
    </row>
    <row r="80" spans="1:18" s="37" customFormat="1" ht="22">
      <c r="A80" s="74"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22-1-9</v>
      </c>
      <c r="B80" s="186"/>
      <c r="C80" s="186"/>
      <c r="D80" s="182"/>
      <c r="E80" s="190"/>
      <c r="F80" s="157"/>
      <c r="G80" s="232"/>
      <c r="H80" s="93" t="s">
        <v>513</v>
      </c>
      <c r="I80" s="261" t="s">
        <v>733</v>
      </c>
      <c r="J80" s="99" t="s">
        <v>768</v>
      </c>
      <c r="K80" s="99" t="s">
        <v>755</v>
      </c>
      <c r="L80" s="99" t="s">
        <v>635</v>
      </c>
      <c r="M80" s="95">
        <v>1</v>
      </c>
      <c r="N80" s="95"/>
      <c r="O80" s="95"/>
      <c r="P80" s="2"/>
      <c r="Q80" s="99"/>
      <c r="R80" s="99"/>
    </row>
    <row r="81" spans="1:18" s="37" customFormat="1" ht="22">
      <c r="A81" s="74"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23-1-1</v>
      </c>
      <c r="B81" s="82"/>
      <c r="C81" s="130"/>
      <c r="D81" s="96"/>
      <c r="E81" s="92" t="s">
        <v>186</v>
      </c>
      <c r="F81" s="92" t="s">
        <v>187</v>
      </c>
      <c r="G81" s="92"/>
      <c r="H81" s="93" t="s">
        <v>513</v>
      </c>
      <c r="I81" s="62" t="s">
        <v>756</v>
      </c>
      <c r="J81" s="99" t="s">
        <v>769</v>
      </c>
      <c r="K81" s="99" t="s">
        <v>747</v>
      </c>
      <c r="L81" s="99" t="s">
        <v>635</v>
      </c>
      <c r="M81" s="95">
        <v>8</v>
      </c>
      <c r="N81" s="95"/>
      <c r="O81" s="95"/>
      <c r="P81" s="2"/>
      <c r="Q81" s="99"/>
      <c r="R81" s="99"/>
    </row>
    <row r="82" spans="1:18" s="37" customFormat="1" ht="22">
      <c r="A82" s="74"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23-1-2</v>
      </c>
      <c r="B82" s="266"/>
      <c r="C82" s="186"/>
      <c r="D82" s="96"/>
      <c r="E82" s="96"/>
      <c r="F82" s="96"/>
      <c r="G82" s="96"/>
      <c r="H82" s="93" t="s">
        <v>513</v>
      </c>
      <c r="I82" s="62" t="s">
        <v>756</v>
      </c>
      <c r="J82" s="99" t="s">
        <v>770</v>
      </c>
      <c r="K82" s="99" t="s">
        <v>749</v>
      </c>
      <c r="L82" s="99" t="s">
        <v>635</v>
      </c>
      <c r="M82" s="95">
        <v>8</v>
      </c>
      <c r="N82" s="95"/>
      <c r="O82" s="95"/>
      <c r="P82" s="2"/>
      <c r="Q82" s="99"/>
      <c r="R82" s="99"/>
    </row>
    <row r="83" spans="1:18" s="37" customFormat="1" ht="22">
      <c r="A83" s="74"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23-1-3</v>
      </c>
      <c r="B83" s="185"/>
      <c r="C83" s="186"/>
      <c r="D83" s="182"/>
      <c r="E83" s="182"/>
      <c r="F83" s="156"/>
      <c r="G83" s="195"/>
      <c r="H83" s="93" t="s">
        <v>513</v>
      </c>
      <c r="I83" s="62" t="s">
        <v>756</v>
      </c>
      <c r="J83" s="99" t="s">
        <v>771</v>
      </c>
      <c r="K83" s="99" t="s">
        <v>748</v>
      </c>
      <c r="L83" s="99" t="s">
        <v>635</v>
      </c>
      <c r="M83" s="95">
        <v>8</v>
      </c>
      <c r="N83" s="95"/>
      <c r="O83" s="95"/>
      <c r="P83" s="2"/>
      <c r="Q83" s="99"/>
      <c r="R83" s="99"/>
    </row>
    <row r="84" spans="1:18" s="37" customFormat="1" ht="22">
      <c r="A84" s="74"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23-1-4</v>
      </c>
      <c r="B84" s="185"/>
      <c r="C84" s="186"/>
      <c r="D84" s="182"/>
      <c r="E84" s="182"/>
      <c r="F84" s="156"/>
      <c r="G84" s="195"/>
      <c r="H84" s="93" t="s">
        <v>513</v>
      </c>
      <c r="I84" s="62" t="s">
        <v>756</v>
      </c>
      <c r="J84" s="99" t="s">
        <v>772</v>
      </c>
      <c r="K84" s="99" t="s">
        <v>750</v>
      </c>
      <c r="L84" s="99" t="s">
        <v>635</v>
      </c>
      <c r="M84" s="95">
        <v>8</v>
      </c>
      <c r="N84" s="95"/>
      <c r="O84" s="95"/>
      <c r="P84" s="2"/>
      <c r="Q84" s="99"/>
      <c r="R84" s="99"/>
    </row>
    <row r="85" spans="1:18" s="37" customFormat="1" ht="22">
      <c r="A85" s="74"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23-1-5</v>
      </c>
      <c r="B85" s="185"/>
      <c r="C85" s="186"/>
      <c r="D85" s="182"/>
      <c r="E85" s="182"/>
      <c r="F85" s="156"/>
      <c r="G85" s="195"/>
      <c r="H85" s="93" t="s">
        <v>513</v>
      </c>
      <c r="I85" s="62" t="s">
        <v>756</v>
      </c>
      <c r="J85" s="99" t="s">
        <v>773</v>
      </c>
      <c r="K85" s="99" t="s">
        <v>751</v>
      </c>
      <c r="L85" s="99" t="s">
        <v>635</v>
      </c>
      <c r="M85" s="95">
        <v>8</v>
      </c>
      <c r="N85" s="95"/>
      <c r="O85" s="95"/>
      <c r="P85" s="2"/>
      <c r="Q85" s="99"/>
      <c r="R85" s="99"/>
    </row>
    <row r="86" spans="1:18" s="37" customFormat="1" ht="22">
      <c r="A86" s="74"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23-1-6</v>
      </c>
      <c r="B86" s="185"/>
      <c r="C86" s="186"/>
      <c r="D86" s="182"/>
      <c r="E86" s="182"/>
      <c r="F86" s="156"/>
      <c r="G86" s="195"/>
      <c r="H86" s="93" t="s">
        <v>513</v>
      </c>
      <c r="I86" s="62" t="s">
        <v>756</v>
      </c>
      <c r="J86" s="99" t="s">
        <v>774</v>
      </c>
      <c r="K86" s="99" t="s">
        <v>752</v>
      </c>
      <c r="L86" s="99" t="s">
        <v>635</v>
      </c>
      <c r="M86" s="95">
        <v>8</v>
      </c>
      <c r="N86" s="95"/>
      <c r="O86" s="95"/>
      <c r="P86" s="2"/>
      <c r="Q86" s="99"/>
      <c r="R86" s="99"/>
    </row>
    <row r="87" spans="1:18" s="37" customFormat="1" ht="22">
      <c r="A87" s="74"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23-1-7</v>
      </c>
      <c r="B87" s="185"/>
      <c r="C87" s="186"/>
      <c r="D87" s="182"/>
      <c r="E87" s="182"/>
      <c r="F87" s="156"/>
      <c r="G87" s="195"/>
      <c r="H87" s="93" t="s">
        <v>513</v>
      </c>
      <c r="I87" s="62" t="s">
        <v>756</v>
      </c>
      <c r="J87" s="99" t="s">
        <v>775</v>
      </c>
      <c r="K87" s="99" t="s">
        <v>753</v>
      </c>
      <c r="L87" s="99" t="s">
        <v>635</v>
      </c>
      <c r="M87" s="95">
        <v>8</v>
      </c>
      <c r="N87" s="95"/>
      <c r="O87" s="95"/>
      <c r="P87" s="2"/>
      <c r="Q87" s="99"/>
      <c r="R87" s="99"/>
    </row>
    <row r="88" spans="1:18" s="37" customFormat="1" ht="22">
      <c r="A88" s="74"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23-1-8</v>
      </c>
      <c r="B88" s="185"/>
      <c r="C88" s="186"/>
      <c r="D88" s="182"/>
      <c r="E88" s="182"/>
      <c r="F88" s="156"/>
      <c r="G88" s="195"/>
      <c r="H88" s="93" t="s">
        <v>513</v>
      </c>
      <c r="I88" s="62" t="s">
        <v>756</v>
      </c>
      <c r="J88" s="99" t="s">
        <v>776</v>
      </c>
      <c r="K88" s="99" t="s">
        <v>754</v>
      </c>
      <c r="L88" s="99" t="s">
        <v>635</v>
      </c>
      <c r="M88" s="95">
        <v>8</v>
      </c>
      <c r="N88" s="95"/>
      <c r="O88" s="95"/>
      <c r="P88" s="2"/>
      <c r="Q88" s="99"/>
      <c r="R88" s="99"/>
    </row>
    <row r="89" spans="1:18" s="37" customFormat="1" ht="22">
      <c r="A89" s="74"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23-1-9</v>
      </c>
      <c r="B89" s="186"/>
      <c r="C89" s="186"/>
      <c r="D89" s="182"/>
      <c r="E89" s="182"/>
      <c r="F89" s="157"/>
      <c r="G89" s="232"/>
      <c r="H89" s="93" t="s">
        <v>513</v>
      </c>
      <c r="I89" s="62" t="s">
        <v>756</v>
      </c>
      <c r="J89" s="99" t="s">
        <v>777</v>
      </c>
      <c r="K89" s="99" t="s">
        <v>755</v>
      </c>
      <c r="L89" s="99" t="s">
        <v>635</v>
      </c>
      <c r="M89" s="95">
        <v>8</v>
      </c>
      <c r="N89" s="95"/>
      <c r="O89" s="95"/>
      <c r="P89" s="2"/>
      <c r="Q89" s="99"/>
      <c r="R89" s="99"/>
    </row>
    <row r="90" spans="1:18" s="37" customFormat="1" ht="22">
      <c r="A90" s="74"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23-2-1</v>
      </c>
      <c r="B90" s="176"/>
      <c r="C90" s="274"/>
      <c r="D90" s="171"/>
      <c r="E90" s="171"/>
      <c r="F90" s="84" t="s">
        <v>188</v>
      </c>
      <c r="G90" s="84" t="s">
        <v>734</v>
      </c>
      <c r="H90" s="84"/>
      <c r="I90" s="84"/>
      <c r="J90" s="139"/>
      <c r="K90" s="128"/>
      <c r="L90" s="125"/>
      <c r="M90" s="125" t="s">
        <v>723</v>
      </c>
      <c r="N90" s="133"/>
      <c r="O90" s="112"/>
      <c r="P90" s="134"/>
      <c r="Q90" s="133"/>
      <c r="R90" s="112"/>
    </row>
    <row r="91" spans="1:18">
      <c r="A91" s="74"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23-3-1</v>
      </c>
      <c r="B91" s="169"/>
      <c r="C91" s="175"/>
      <c r="D91" s="171"/>
      <c r="E91" s="171"/>
      <c r="F91" s="84" t="s">
        <v>189</v>
      </c>
      <c r="G91" s="84" t="s">
        <v>502</v>
      </c>
      <c r="H91" s="84"/>
      <c r="I91" s="84"/>
      <c r="J91" s="139"/>
      <c r="K91" s="112"/>
      <c r="L91" s="125"/>
      <c r="M91" s="125"/>
      <c r="N91" s="112"/>
      <c r="O91" s="112"/>
      <c r="P91" s="112"/>
      <c r="Q91" s="112"/>
      <c r="R91" s="112"/>
    </row>
    <row r="92" spans="1:18">
      <c r="A92" s="74"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23-4-1</v>
      </c>
      <c r="B92" s="169"/>
      <c r="C92" s="175"/>
      <c r="D92" s="171"/>
      <c r="E92" s="171"/>
      <c r="F92" s="84" t="s">
        <v>190</v>
      </c>
      <c r="G92" s="84" t="s">
        <v>502</v>
      </c>
      <c r="H92" s="84"/>
      <c r="I92" s="84"/>
      <c r="J92" s="139"/>
      <c r="K92" s="112"/>
      <c r="L92" s="125"/>
      <c r="M92" s="125"/>
      <c r="N92" s="112"/>
      <c r="O92" s="112"/>
      <c r="P92" s="112"/>
      <c r="Q92" s="112"/>
      <c r="R92" s="112"/>
    </row>
    <row r="93" spans="1:18" ht="22">
      <c r="A93" s="74"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23-5-1</v>
      </c>
      <c r="B93" s="176"/>
      <c r="C93" s="267"/>
      <c r="D93" s="174"/>
      <c r="E93" s="174"/>
      <c r="F93" s="84" t="s">
        <v>191</v>
      </c>
      <c r="G93" s="84" t="s">
        <v>503</v>
      </c>
      <c r="H93" s="84"/>
      <c r="I93" s="84"/>
      <c r="J93" s="139"/>
      <c r="K93" s="112"/>
      <c r="L93" s="125"/>
      <c r="M93" s="125"/>
      <c r="N93" s="112"/>
      <c r="O93" s="112"/>
      <c r="P93" s="112"/>
      <c r="Q93" s="112"/>
      <c r="R93" s="112"/>
    </row>
    <row r="94" spans="1:18" ht="22">
      <c r="A94" s="74"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24-1-1</v>
      </c>
      <c r="B94" s="176"/>
      <c r="C94" s="106" t="s">
        <v>192</v>
      </c>
      <c r="D94" s="104" t="s">
        <v>26</v>
      </c>
      <c r="E94" s="104" t="s">
        <v>102</v>
      </c>
      <c r="F94" s="104" t="s">
        <v>193</v>
      </c>
      <c r="G94" s="84" t="s">
        <v>498</v>
      </c>
      <c r="H94" s="85"/>
      <c r="I94" s="85"/>
      <c r="J94" s="101"/>
      <c r="K94" s="88"/>
      <c r="L94" s="78"/>
      <c r="M94" s="78"/>
      <c r="N94" s="81"/>
      <c r="O94" s="80"/>
      <c r="P94" s="81"/>
      <c r="Q94" s="81"/>
      <c r="R94" s="81"/>
    </row>
    <row r="95" spans="1:18" ht="33">
      <c r="A95" s="74"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24-2-1</v>
      </c>
      <c r="B95" s="169"/>
      <c r="C95" s="107"/>
      <c r="D95" s="103"/>
      <c r="E95" s="103"/>
      <c r="F95" s="104" t="s">
        <v>194</v>
      </c>
      <c r="G95" s="84" t="s">
        <v>498</v>
      </c>
      <c r="H95" s="85"/>
      <c r="I95" s="85"/>
      <c r="J95" s="101"/>
      <c r="K95" s="88"/>
      <c r="L95" s="78"/>
      <c r="M95" s="78"/>
      <c r="N95" s="81"/>
      <c r="O95" s="80"/>
      <c r="P95" s="81"/>
      <c r="Q95" s="81"/>
      <c r="R95" s="81"/>
    </row>
    <row r="96" spans="1:18">
      <c r="A96" s="74"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25-1-1</v>
      </c>
      <c r="B96" s="169"/>
      <c r="C96" s="107"/>
      <c r="D96" s="103"/>
      <c r="E96" s="104" t="s">
        <v>195</v>
      </c>
      <c r="F96" s="104" t="s">
        <v>196</v>
      </c>
      <c r="G96" s="84" t="s">
        <v>498</v>
      </c>
      <c r="H96" s="85"/>
      <c r="I96" s="85"/>
      <c r="J96" s="101"/>
      <c r="K96" s="81"/>
      <c r="L96" s="78"/>
      <c r="M96" s="78"/>
      <c r="N96" s="81"/>
      <c r="O96" s="81"/>
      <c r="P96" s="81"/>
      <c r="Q96" s="81"/>
      <c r="R96" s="81"/>
    </row>
    <row r="97" spans="1:18" ht="33">
      <c r="A97" s="74"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26-1-1</v>
      </c>
      <c r="B97" s="169"/>
      <c r="C97" s="107"/>
      <c r="D97" s="103"/>
      <c r="E97" s="104" t="s">
        <v>197</v>
      </c>
      <c r="F97" s="85" t="s">
        <v>198</v>
      </c>
      <c r="G97" s="84" t="s">
        <v>498</v>
      </c>
      <c r="H97" s="85"/>
      <c r="I97" s="85"/>
      <c r="J97" s="101"/>
      <c r="K97" s="88"/>
      <c r="L97" s="78"/>
      <c r="M97" s="78"/>
      <c r="N97" s="81"/>
      <c r="O97" s="81"/>
      <c r="P97" s="81"/>
      <c r="Q97" s="81"/>
      <c r="R97" s="81"/>
    </row>
    <row r="98" spans="1:18" ht="33">
      <c r="A98" s="74"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26-2-1</v>
      </c>
      <c r="B98" s="169"/>
      <c r="C98" s="107"/>
      <c r="D98" s="103"/>
      <c r="E98" s="105"/>
      <c r="F98" s="85" t="s">
        <v>199</v>
      </c>
      <c r="G98" s="84" t="s">
        <v>498</v>
      </c>
      <c r="H98" s="85"/>
      <c r="I98" s="85"/>
      <c r="J98" s="101"/>
      <c r="K98" s="81"/>
      <c r="L98" s="78"/>
      <c r="M98" s="78"/>
      <c r="N98" s="81"/>
      <c r="O98" s="81"/>
      <c r="P98" s="81"/>
      <c r="Q98" s="81"/>
      <c r="R98" s="81"/>
    </row>
    <row r="99" spans="1:18" ht="22">
      <c r="A99" s="74"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27-1-1</v>
      </c>
      <c r="B99" s="169"/>
      <c r="C99" s="107"/>
      <c r="D99" s="103"/>
      <c r="E99" s="105" t="s">
        <v>200</v>
      </c>
      <c r="F99" s="85" t="s">
        <v>201</v>
      </c>
      <c r="G99" s="84" t="s">
        <v>498</v>
      </c>
      <c r="H99" s="85"/>
      <c r="I99" s="85"/>
      <c r="J99" s="101"/>
      <c r="K99" s="81"/>
      <c r="L99" s="78"/>
      <c r="M99" s="78"/>
      <c r="N99" s="81"/>
      <c r="O99" s="81"/>
      <c r="P99" s="81"/>
      <c r="Q99" s="81"/>
      <c r="R99" s="81"/>
    </row>
    <row r="100" spans="1:18" ht="22">
      <c r="A100" s="74"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28-1-1</v>
      </c>
      <c r="B100" s="169"/>
      <c r="C100" s="108"/>
      <c r="D100" s="105"/>
      <c r="E100" s="105" t="s">
        <v>202</v>
      </c>
      <c r="F100" s="85" t="s">
        <v>203</v>
      </c>
      <c r="G100" s="84" t="s">
        <v>498</v>
      </c>
      <c r="H100" s="85"/>
      <c r="I100" s="85"/>
      <c r="J100" s="101"/>
      <c r="K100" s="81"/>
      <c r="L100" s="78"/>
      <c r="M100" s="78"/>
      <c r="N100" s="81"/>
      <c r="O100" s="81"/>
      <c r="P100" s="81"/>
      <c r="Q100" s="81"/>
      <c r="R100" s="81"/>
    </row>
    <row r="101" spans="1:18" ht="55">
      <c r="A101" s="74"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29-1-1</v>
      </c>
      <c r="B101" s="169"/>
      <c r="C101" s="171" t="s">
        <v>204</v>
      </c>
      <c r="D101" s="171" t="s">
        <v>26</v>
      </c>
      <c r="E101" s="163" t="s">
        <v>102</v>
      </c>
      <c r="F101" s="163" t="s">
        <v>205</v>
      </c>
      <c r="G101" s="163"/>
      <c r="H101" s="93" t="s">
        <v>513</v>
      </c>
      <c r="I101" s="261" t="s">
        <v>733</v>
      </c>
      <c r="J101" s="39" t="s">
        <v>758</v>
      </c>
      <c r="K101" s="166" t="s">
        <v>757</v>
      </c>
      <c r="L101" s="165" t="s">
        <v>52</v>
      </c>
      <c r="M101" s="165" t="s">
        <v>56</v>
      </c>
      <c r="N101" s="166"/>
      <c r="O101" s="166"/>
      <c r="P101" s="166"/>
      <c r="Q101" s="166"/>
      <c r="R101" s="166"/>
    </row>
    <row r="102" spans="1:18" ht="55">
      <c r="A102" s="74"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30-1-1</v>
      </c>
      <c r="B102" s="169"/>
      <c r="C102" s="173"/>
      <c r="D102" s="171"/>
      <c r="E102" s="174" t="s">
        <v>195</v>
      </c>
      <c r="F102" s="163" t="s">
        <v>206</v>
      </c>
      <c r="G102" s="163"/>
      <c r="H102" s="93" t="s">
        <v>513</v>
      </c>
      <c r="I102" s="261" t="s">
        <v>733</v>
      </c>
      <c r="J102" s="39" t="s">
        <v>778</v>
      </c>
      <c r="K102" s="166" t="s">
        <v>757</v>
      </c>
      <c r="L102" s="165" t="s">
        <v>52</v>
      </c>
      <c r="M102" s="165" t="s">
        <v>56</v>
      </c>
      <c r="N102" s="166"/>
      <c r="O102" s="166"/>
      <c r="P102" s="166"/>
      <c r="Q102" s="166"/>
      <c r="R102" s="166"/>
    </row>
    <row r="103" spans="1:18" ht="33">
      <c r="A103" s="74"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31-1-1</v>
      </c>
      <c r="B103" s="169"/>
      <c r="C103" s="268"/>
      <c r="D103" s="174"/>
      <c r="E103" s="87" t="s">
        <v>207</v>
      </c>
      <c r="F103" s="84" t="s">
        <v>208</v>
      </c>
      <c r="G103" s="84" t="s">
        <v>504</v>
      </c>
      <c r="H103" s="84"/>
      <c r="I103" s="84"/>
      <c r="J103" s="139"/>
      <c r="K103" s="112"/>
      <c r="L103" s="125"/>
      <c r="M103" s="125"/>
      <c r="N103" s="112"/>
      <c r="O103" s="112"/>
      <c r="P103" s="112"/>
      <c r="Q103" s="112"/>
      <c r="R103" s="112"/>
    </row>
    <row r="104" spans="1:18" ht="33">
      <c r="A104" s="74"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32-1-1</v>
      </c>
      <c r="B104" s="169"/>
      <c r="C104" s="170" t="s">
        <v>209</v>
      </c>
      <c r="D104" s="171" t="s">
        <v>26</v>
      </c>
      <c r="E104" s="172" t="s">
        <v>102</v>
      </c>
      <c r="F104" s="172" t="s">
        <v>210</v>
      </c>
      <c r="G104" s="172"/>
      <c r="H104" s="93" t="s">
        <v>513</v>
      </c>
      <c r="I104" s="261" t="s">
        <v>733</v>
      </c>
      <c r="J104" s="39" t="s">
        <v>779</v>
      </c>
      <c r="K104" s="166" t="s">
        <v>780</v>
      </c>
      <c r="L104" s="165" t="s">
        <v>52</v>
      </c>
      <c r="M104" s="165" t="s">
        <v>53</v>
      </c>
      <c r="N104" s="166"/>
      <c r="O104" s="167"/>
      <c r="P104" s="166"/>
      <c r="Q104" s="166"/>
      <c r="R104" s="166"/>
    </row>
    <row r="105" spans="1:18" ht="44">
      <c r="A105" s="74"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32-1-2</v>
      </c>
      <c r="B105" s="169"/>
      <c r="C105" s="170"/>
      <c r="D105" s="171"/>
      <c r="E105" s="171"/>
      <c r="F105" s="177"/>
      <c r="G105" s="177"/>
      <c r="H105" s="93" t="s">
        <v>513</v>
      </c>
      <c r="I105" s="261" t="s">
        <v>733</v>
      </c>
      <c r="J105" s="39" t="s">
        <v>781</v>
      </c>
      <c r="K105" s="166" t="s">
        <v>780</v>
      </c>
      <c r="L105" s="165" t="s">
        <v>52</v>
      </c>
      <c r="M105" s="165" t="s">
        <v>55</v>
      </c>
      <c r="N105" s="166"/>
      <c r="O105" s="167"/>
      <c r="P105" s="166"/>
      <c r="Q105" s="166"/>
      <c r="R105" s="166"/>
    </row>
    <row r="106" spans="1:18" ht="33">
      <c r="A106" s="74"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32-2-1</v>
      </c>
      <c r="B106" s="169"/>
      <c r="C106" s="173"/>
      <c r="D106" s="171"/>
      <c r="E106" s="174"/>
      <c r="F106" s="75" t="s">
        <v>211</v>
      </c>
      <c r="G106" s="75" t="s">
        <v>502</v>
      </c>
      <c r="H106" s="84"/>
      <c r="I106" s="269"/>
      <c r="J106" s="139"/>
      <c r="K106" s="112"/>
      <c r="L106" s="125"/>
      <c r="M106" s="125"/>
      <c r="N106" s="112"/>
      <c r="O106" s="112"/>
      <c r="P106" s="112"/>
      <c r="Q106" s="112"/>
      <c r="R106" s="112"/>
    </row>
    <row r="107" spans="1:18" ht="55">
      <c r="A107" s="74"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33-1-1</v>
      </c>
      <c r="B107" s="169"/>
      <c r="C107" s="173"/>
      <c r="D107" s="171"/>
      <c r="E107" s="163" t="s">
        <v>195</v>
      </c>
      <c r="F107" s="163" t="s">
        <v>212</v>
      </c>
      <c r="G107" s="163"/>
      <c r="H107" s="93" t="s">
        <v>513</v>
      </c>
      <c r="I107" s="261" t="s">
        <v>733</v>
      </c>
      <c r="J107" s="39" t="s">
        <v>782</v>
      </c>
      <c r="K107" s="166" t="s">
        <v>780</v>
      </c>
      <c r="L107" s="165" t="s">
        <v>52</v>
      </c>
      <c r="M107" s="165" t="s">
        <v>54</v>
      </c>
      <c r="N107" s="166"/>
      <c r="O107" s="166"/>
      <c r="P107" s="166"/>
      <c r="Q107" s="166"/>
      <c r="R107" s="166"/>
    </row>
    <row r="108" spans="1:18" ht="33">
      <c r="A108" s="74"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34-1-1</v>
      </c>
      <c r="B108" s="169"/>
      <c r="C108" s="173"/>
      <c r="D108" s="171"/>
      <c r="E108" s="76" t="s">
        <v>197</v>
      </c>
      <c r="F108" s="84" t="s">
        <v>213</v>
      </c>
      <c r="G108" s="84" t="s">
        <v>502</v>
      </c>
      <c r="H108" s="84"/>
      <c r="I108" s="84"/>
      <c r="J108" s="139"/>
      <c r="K108" s="112"/>
      <c r="L108" s="125"/>
      <c r="M108" s="125"/>
      <c r="N108" s="112"/>
      <c r="O108" s="112"/>
      <c r="P108" s="112"/>
      <c r="Q108" s="112"/>
      <c r="R108" s="112"/>
    </row>
    <row r="109" spans="1:18" ht="33">
      <c r="A109" s="74"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34-2-1</v>
      </c>
      <c r="B109" s="169"/>
      <c r="C109" s="173"/>
      <c r="D109" s="171"/>
      <c r="E109" s="87"/>
      <c r="F109" s="84" t="s">
        <v>214</v>
      </c>
      <c r="G109" s="84" t="s">
        <v>502</v>
      </c>
      <c r="H109" s="84"/>
      <c r="I109" s="84"/>
      <c r="J109" s="139"/>
      <c r="K109" s="112"/>
      <c r="L109" s="125"/>
      <c r="M109" s="125"/>
      <c r="N109" s="112"/>
      <c r="O109" s="112"/>
      <c r="P109" s="112"/>
      <c r="Q109" s="112"/>
      <c r="R109" s="112"/>
    </row>
    <row r="110" spans="1:18" ht="33">
      <c r="A110" s="74"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35-1-1</v>
      </c>
      <c r="B110" s="169"/>
      <c r="C110" s="268"/>
      <c r="D110" s="174"/>
      <c r="E110" s="87" t="s">
        <v>207</v>
      </c>
      <c r="F110" s="84" t="s">
        <v>215</v>
      </c>
      <c r="G110" s="84" t="s">
        <v>504</v>
      </c>
      <c r="H110" s="84"/>
      <c r="I110" s="84"/>
      <c r="J110" s="139"/>
      <c r="K110" s="112"/>
      <c r="L110" s="125"/>
      <c r="M110" s="125"/>
      <c r="N110" s="112"/>
      <c r="O110" s="112"/>
      <c r="P110" s="112"/>
      <c r="Q110" s="112"/>
      <c r="R110" s="112"/>
    </row>
    <row r="111" spans="1:18" ht="22">
      <c r="A111" s="74"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36-1-1</v>
      </c>
      <c r="B111" s="169"/>
      <c r="C111" s="171" t="s">
        <v>216</v>
      </c>
      <c r="D111" s="171" t="s">
        <v>26</v>
      </c>
      <c r="E111" s="76" t="s">
        <v>217</v>
      </c>
      <c r="F111" s="84" t="s">
        <v>218</v>
      </c>
      <c r="G111" s="84" t="s">
        <v>498</v>
      </c>
      <c r="H111" s="84"/>
      <c r="I111" s="84"/>
      <c r="J111" s="139"/>
      <c r="K111" s="112"/>
      <c r="L111" s="125"/>
      <c r="M111" s="125"/>
      <c r="N111" s="112"/>
      <c r="O111" s="112"/>
      <c r="P111" s="112"/>
      <c r="Q111" s="112"/>
      <c r="R111" s="112"/>
    </row>
    <row r="112" spans="1:18" ht="33">
      <c r="A112" s="74"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36-2-1</v>
      </c>
      <c r="B112" s="169"/>
      <c r="C112" s="169"/>
      <c r="D112" s="171"/>
      <c r="E112" s="76"/>
      <c r="F112" s="84" t="s">
        <v>219</v>
      </c>
      <c r="G112" s="84" t="s">
        <v>498</v>
      </c>
      <c r="H112" s="84"/>
      <c r="I112" s="84"/>
      <c r="J112" s="139"/>
      <c r="K112" s="112"/>
      <c r="L112" s="125"/>
      <c r="M112" s="125"/>
      <c r="N112" s="112"/>
      <c r="O112" s="112"/>
      <c r="P112" s="112"/>
      <c r="Q112" s="112"/>
      <c r="R112" s="112"/>
    </row>
    <row r="113" spans="1:18">
      <c r="A113" s="74"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36-3-1</v>
      </c>
      <c r="B113" s="169"/>
      <c r="C113" s="169"/>
      <c r="D113" s="171"/>
      <c r="E113" s="76"/>
      <c r="F113" s="84" t="s">
        <v>220</v>
      </c>
      <c r="G113" s="84" t="s">
        <v>498</v>
      </c>
      <c r="H113" s="84"/>
      <c r="I113" s="84"/>
      <c r="J113" s="139"/>
      <c r="K113" s="112"/>
      <c r="L113" s="125"/>
      <c r="M113" s="125"/>
      <c r="N113" s="112"/>
      <c r="O113" s="112"/>
      <c r="P113" s="112"/>
      <c r="Q113" s="112"/>
      <c r="R113" s="112"/>
    </row>
    <row r="114" spans="1:18" ht="33">
      <c r="A114" s="74"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36-4-1</v>
      </c>
      <c r="B114" s="169"/>
      <c r="C114" s="173"/>
      <c r="D114" s="171"/>
      <c r="E114" s="76"/>
      <c r="F114" s="84" t="s">
        <v>221</v>
      </c>
      <c r="G114" s="84" t="s">
        <v>498</v>
      </c>
      <c r="H114" s="84"/>
      <c r="I114" s="84"/>
      <c r="J114" s="139"/>
      <c r="K114" s="112"/>
      <c r="L114" s="125"/>
      <c r="M114" s="125"/>
      <c r="N114" s="112"/>
      <c r="O114" s="112"/>
      <c r="P114" s="112"/>
      <c r="Q114" s="112"/>
      <c r="R114" s="112"/>
    </row>
    <row r="115" spans="1:18" ht="33">
      <c r="A115" s="74"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36-5-1</v>
      </c>
      <c r="B115" s="169"/>
      <c r="C115" s="173"/>
      <c r="D115" s="171"/>
      <c r="E115" s="87"/>
      <c r="F115" s="84" t="s">
        <v>222</v>
      </c>
      <c r="G115" s="84" t="s">
        <v>498</v>
      </c>
      <c r="H115" s="84"/>
      <c r="I115" s="84"/>
      <c r="J115" s="139"/>
      <c r="K115" s="112"/>
      <c r="L115" s="125"/>
      <c r="M115" s="125"/>
      <c r="N115" s="112"/>
      <c r="O115" s="112"/>
      <c r="P115" s="112"/>
      <c r="Q115" s="112"/>
      <c r="R115" s="112"/>
    </row>
    <row r="116" spans="1:18" ht="55">
      <c r="A116" s="74"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37-1-1</v>
      </c>
      <c r="B116" s="169"/>
      <c r="C116" s="169"/>
      <c r="D116" s="171"/>
      <c r="E116" s="171" t="s">
        <v>223</v>
      </c>
      <c r="F116" s="163" t="s">
        <v>224</v>
      </c>
      <c r="G116" s="163"/>
      <c r="H116" s="93" t="s">
        <v>513</v>
      </c>
      <c r="I116" s="261" t="s">
        <v>733</v>
      </c>
      <c r="J116" s="39" t="s">
        <v>783</v>
      </c>
      <c r="K116" s="166" t="s">
        <v>784</v>
      </c>
      <c r="L116" s="165" t="s">
        <v>515</v>
      </c>
      <c r="M116" s="165" t="s">
        <v>57</v>
      </c>
      <c r="N116" s="166"/>
      <c r="O116" s="166"/>
      <c r="P116" s="166"/>
      <c r="Q116" s="166"/>
      <c r="R116" s="166"/>
    </row>
    <row r="117" spans="1:18" ht="33">
      <c r="A117" s="74"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37-2-1</v>
      </c>
      <c r="B117" s="175"/>
      <c r="C117" s="176"/>
      <c r="D117" s="171"/>
      <c r="E117" s="171"/>
      <c r="F117" s="84" t="s">
        <v>225</v>
      </c>
      <c r="G117" s="84" t="s">
        <v>502</v>
      </c>
      <c r="H117" s="84"/>
      <c r="I117" s="84"/>
      <c r="J117" s="139"/>
      <c r="K117" s="112"/>
      <c r="L117" s="125"/>
      <c r="M117" s="125"/>
      <c r="N117" s="112"/>
      <c r="O117" s="112"/>
      <c r="P117" s="112"/>
      <c r="Q117" s="112"/>
      <c r="R117" s="112"/>
    </row>
    <row r="118" spans="1:18" ht="55">
      <c r="A118" s="74"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37-3-1</v>
      </c>
      <c r="B118" s="175"/>
      <c r="C118" s="176"/>
      <c r="D118" s="171"/>
      <c r="E118" s="171"/>
      <c r="F118" s="163" t="s">
        <v>226</v>
      </c>
      <c r="G118" s="163"/>
      <c r="H118" s="93" t="s">
        <v>513</v>
      </c>
      <c r="I118" s="261" t="s">
        <v>733</v>
      </c>
      <c r="J118" s="39" t="s">
        <v>785</v>
      </c>
      <c r="K118" s="166" t="s">
        <v>784</v>
      </c>
      <c r="L118" s="165" t="s">
        <v>515</v>
      </c>
      <c r="M118" s="165" t="s">
        <v>57</v>
      </c>
      <c r="N118" s="166"/>
      <c r="O118" s="166"/>
      <c r="P118" s="166"/>
      <c r="Q118" s="166"/>
      <c r="R118" s="166"/>
    </row>
    <row r="119" spans="1:18" ht="33">
      <c r="A119" s="74"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37-4-1</v>
      </c>
      <c r="B119" s="169"/>
      <c r="C119" s="173"/>
      <c r="D119" s="171"/>
      <c r="E119" s="171"/>
      <c r="F119" s="84" t="s">
        <v>227</v>
      </c>
      <c r="G119" s="84" t="s">
        <v>502</v>
      </c>
      <c r="H119" s="84"/>
      <c r="I119" s="84"/>
      <c r="J119" s="139"/>
      <c r="K119" s="112"/>
      <c r="L119" s="125"/>
      <c r="M119" s="125"/>
      <c r="N119" s="112"/>
      <c r="O119" s="112"/>
      <c r="P119" s="112"/>
      <c r="Q119" s="112"/>
      <c r="R119" s="112"/>
    </row>
    <row r="120" spans="1:18" ht="33">
      <c r="A120" s="74"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37-5-1</v>
      </c>
      <c r="B120" s="169"/>
      <c r="C120" s="173"/>
      <c r="D120" s="171"/>
      <c r="E120" s="171"/>
      <c r="F120" s="75" t="s">
        <v>228</v>
      </c>
      <c r="G120" s="84" t="s">
        <v>502</v>
      </c>
      <c r="H120" s="75"/>
      <c r="I120" s="75"/>
      <c r="J120" s="178"/>
      <c r="K120" s="179"/>
      <c r="L120" s="180"/>
      <c r="M120" s="180"/>
      <c r="N120" s="179"/>
      <c r="O120" s="179"/>
      <c r="P120" s="179"/>
      <c r="Q120" s="179"/>
      <c r="R120" s="179"/>
    </row>
    <row r="121" spans="1:18" ht="33">
      <c r="A121" s="74"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38-1-1</v>
      </c>
      <c r="B121" s="275"/>
      <c r="C121" s="276"/>
      <c r="D121" s="177"/>
      <c r="E121" s="84" t="s">
        <v>207</v>
      </c>
      <c r="F121" s="84" t="s">
        <v>229</v>
      </c>
      <c r="G121" s="84" t="s">
        <v>504</v>
      </c>
      <c r="H121" s="84"/>
      <c r="I121" s="84"/>
      <c r="J121" s="139"/>
      <c r="K121" s="112"/>
      <c r="L121" s="125"/>
      <c r="M121" s="125"/>
      <c r="N121" s="112"/>
      <c r="O121" s="112"/>
      <c r="P121" s="112"/>
      <c r="Q121" s="112"/>
      <c r="R121" s="112"/>
    </row>
    <row r="122" spans="1:18" ht="33">
      <c r="A122" s="74"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39-1-1</v>
      </c>
      <c r="B122" s="110" t="s">
        <v>230</v>
      </c>
      <c r="C122" s="85" t="s">
        <v>231</v>
      </c>
      <c r="D122" s="85" t="s">
        <v>102</v>
      </c>
      <c r="E122" s="105" t="s">
        <v>102</v>
      </c>
      <c r="F122" s="85" t="s">
        <v>232</v>
      </c>
      <c r="G122" s="84" t="s">
        <v>502</v>
      </c>
      <c r="H122" s="85"/>
      <c r="I122" s="85"/>
      <c r="J122" s="81"/>
      <c r="K122" s="81"/>
      <c r="L122" s="78"/>
      <c r="M122" s="78"/>
      <c r="N122" s="81"/>
      <c r="O122" s="81"/>
      <c r="P122" s="81"/>
      <c r="Q122" s="81"/>
      <c r="R122" s="81"/>
    </row>
    <row r="123" spans="1:18">
      <c r="A123" s="74"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40-1-1</v>
      </c>
      <c r="B123" s="102"/>
      <c r="C123" s="103" t="s">
        <v>233</v>
      </c>
      <c r="D123" s="103" t="s">
        <v>102</v>
      </c>
      <c r="E123" s="103" t="s">
        <v>102</v>
      </c>
      <c r="F123" s="85" t="s">
        <v>234</v>
      </c>
      <c r="G123" s="84" t="s">
        <v>502</v>
      </c>
      <c r="H123" s="85"/>
      <c r="I123" s="85"/>
      <c r="J123" s="81"/>
      <c r="K123" s="81"/>
      <c r="L123" s="78"/>
      <c r="M123" s="78"/>
      <c r="N123" s="81"/>
      <c r="O123" s="81"/>
      <c r="P123" s="81"/>
      <c r="Q123" s="81"/>
      <c r="R123" s="81"/>
    </row>
    <row r="124" spans="1:18">
      <c r="A124" s="74"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40-2-1</v>
      </c>
      <c r="B124" s="102"/>
      <c r="C124" s="105"/>
      <c r="D124" s="105"/>
      <c r="E124" s="105"/>
      <c r="F124" s="85" t="s">
        <v>235</v>
      </c>
      <c r="G124" s="84" t="s">
        <v>502</v>
      </c>
      <c r="H124" s="85"/>
      <c r="I124" s="85"/>
      <c r="J124" s="81"/>
      <c r="K124" s="81"/>
      <c r="L124" s="78"/>
      <c r="M124" s="78"/>
      <c r="N124" s="81"/>
      <c r="O124" s="81"/>
      <c r="P124" s="81"/>
      <c r="Q124" s="81"/>
      <c r="R124" s="81"/>
    </row>
    <row r="125" spans="1:18" ht="22">
      <c r="A125" s="74"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41-1-1</v>
      </c>
      <c r="B125" s="102"/>
      <c r="C125" s="105" t="s">
        <v>236</v>
      </c>
      <c r="D125" s="105" t="s">
        <v>102</v>
      </c>
      <c r="E125" s="105" t="s">
        <v>102</v>
      </c>
      <c r="F125" s="85" t="s">
        <v>237</v>
      </c>
      <c r="G125" s="84" t="s">
        <v>502</v>
      </c>
      <c r="H125" s="85"/>
      <c r="I125" s="85"/>
      <c r="J125" s="81"/>
      <c r="K125" s="81"/>
      <c r="L125" s="78"/>
      <c r="M125" s="78"/>
      <c r="N125" s="81"/>
      <c r="O125" s="81"/>
      <c r="P125" s="81"/>
      <c r="Q125" s="81"/>
      <c r="R125" s="81"/>
    </row>
    <row r="126" spans="1:18" ht="22">
      <c r="A126" s="74"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42-1-1</v>
      </c>
      <c r="B126" s="102"/>
      <c r="C126" s="103" t="s">
        <v>238</v>
      </c>
      <c r="D126" s="103" t="s">
        <v>102</v>
      </c>
      <c r="E126" s="103" t="s">
        <v>102</v>
      </c>
      <c r="F126" s="85" t="s">
        <v>239</v>
      </c>
      <c r="G126" s="84" t="s">
        <v>502</v>
      </c>
      <c r="H126" s="85"/>
      <c r="I126" s="85"/>
      <c r="J126" s="81"/>
      <c r="K126" s="81"/>
      <c r="L126" s="78"/>
      <c r="M126" s="78"/>
      <c r="N126" s="81"/>
      <c r="O126" s="81"/>
      <c r="P126" s="81"/>
      <c r="Q126" s="81"/>
      <c r="R126" s="81"/>
    </row>
    <row r="127" spans="1:18">
      <c r="A127" s="74"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42-2-1</v>
      </c>
      <c r="B127" s="111"/>
      <c r="C127" s="105"/>
      <c r="D127" s="105"/>
      <c r="E127" s="105"/>
      <c r="F127" s="85" t="s">
        <v>240</v>
      </c>
      <c r="G127" s="84" t="s">
        <v>502</v>
      </c>
      <c r="H127" s="85"/>
      <c r="I127" s="85"/>
      <c r="J127" s="81"/>
      <c r="K127" s="81"/>
      <c r="L127" s="78"/>
      <c r="M127" s="78"/>
      <c r="N127" s="81"/>
      <c r="O127" s="81"/>
      <c r="P127" s="81"/>
      <c r="Q127" s="81"/>
      <c r="R127" s="81"/>
    </row>
    <row r="128" spans="1:18" ht="22">
      <c r="A128" s="74"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43-1-1</v>
      </c>
      <c r="B128" s="113" t="s">
        <v>241</v>
      </c>
      <c r="C128" s="75" t="s">
        <v>242</v>
      </c>
      <c r="D128" s="75" t="s">
        <v>102</v>
      </c>
      <c r="E128" s="113" t="s">
        <v>102</v>
      </c>
      <c r="F128" s="84" t="s">
        <v>243</v>
      </c>
      <c r="G128" s="84" t="s">
        <v>514</v>
      </c>
      <c r="H128" s="84"/>
      <c r="I128" s="84"/>
      <c r="J128" s="112"/>
      <c r="K128" s="112"/>
      <c r="L128" s="112"/>
      <c r="M128" s="112"/>
      <c r="N128" s="112"/>
      <c r="O128" s="112"/>
      <c r="P128" s="112"/>
      <c r="Q128" s="112"/>
      <c r="R128" s="112"/>
    </row>
    <row r="129" spans="1:18" ht="22">
      <c r="A129" s="74"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43-2-1</v>
      </c>
      <c r="B129" s="349" t="s">
        <v>244</v>
      </c>
      <c r="C129" s="89"/>
      <c r="D129" s="76"/>
      <c r="E129" s="114"/>
      <c r="F129" s="84" t="s">
        <v>245</v>
      </c>
      <c r="G129" s="84" t="s">
        <v>514</v>
      </c>
      <c r="H129" s="84"/>
      <c r="I129" s="84"/>
      <c r="J129" s="112"/>
      <c r="K129" s="112"/>
      <c r="L129" s="112"/>
      <c r="M129" s="112"/>
      <c r="N129" s="112"/>
      <c r="O129" s="112"/>
      <c r="P129" s="112"/>
      <c r="Q129" s="112"/>
      <c r="R129" s="112"/>
    </row>
    <row r="130" spans="1:18" ht="22">
      <c r="A130" s="74"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43-3-1</v>
      </c>
      <c r="B130" s="349"/>
      <c r="C130" s="89"/>
      <c r="D130" s="76"/>
      <c r="E130" s="114"/>
      <c r="F130" s="84" t="s">
        <v>246</v>
      </c>
      <c r="G130" s="84" t="s">
        <v>514</v>
      </c>
      <c r="H130" s="84"/>
      <c r="I130" s="84"/>
      <c r="J130" s="112"/>
      <c r="K130" s="112"/>
      <c r="L130" s="112"/>
      <c r="M130" s="112"/>
      <c r="N130" s="112"/>
      <c r="O130" s="112"/>
      <c r="P130" s="112"/>
      <c r="Q130" s="112"/>
      <c r="R130" s="112"/>
    </row>
    <row r="131" spans="1:18" ht="22">
      <c r="A131" s="74"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43-4-1</v>
      </c>
      <c r="B131" s="114"/>
      <c r="C131" s="89"/>
      <c r="D131" s="76"/>
      <c r="E131" s="87"/>
      <c r="F131" s="84" t="s">
        <v>247</v>
      </c>
      <c r="G131" s="84" t="s">
        <v>514</v>
      </c>
      <c r="H131" s="84"/>
      <c r="I131" s="84"/>
      <c r="J131" s="112"/>
      <c r="K131" s="112"/>
      <c r="L131" s="112"/>
      <c r="M131" s="112"/>
      <c r="N131" s="112"/>
      <c r="O131" s="112"/>
      <c r="P131" s="112"/>
      <c r="Q131" s="112"/>
      <c r="R131" s="112"/>
    </row>
    <row r="132" spans="1:18" ht="22">
      <c r="A132" s="74"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44-1-1</v>
      </c>
      <c r="B132" s="114"/>
      <c r="C132" s="89"/>
      <c r="D132" s="76"/>
      <c r="E132" s="76" t="s">
        <v>186</v>
      </c>
      <c r="F132" s="84" t="s">
        <v>248</v>
      </c>
      <c r="G132" s="84" t="s">
        <v>514</v>
      </c>
      <c r="H132" s="84"/>
      <c r="I132" s="84"/>
      <c r="J132" s="112"/>
      <c r="K132" s="112"/>
      <c r="L132" s="112"/>
      <c r="M132" s="112"/>
      <c r="N132" s="112"/>
      <c r="O132" s="112"/>
      <c r="P132" s="112"/>
      <c r="Q132" s="112"/>
      <c r="R132" s="112"/>
    </row>
    <row r="133" spans="1:18" ht="22">
      <c r="A133" s="74"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44-2-1</v>
      </c>
      <c r="B133" s="114"/>
      <c r="C133" s="89"/>
      <c r="D133" s="76"/>
      <c r="E133" s="76"/>
      <c r="F133" s="84" t="s">
        <v>249</v>
      </c>
      <c r="G133" s="84" t="s">
        <v>514</v>
      </c>
      <c r="H133" s="84"/>
      <c r="I133" s="84"/>
      <c r="J133" s="112"/>
      <c r="K133" s="112"/>
      <c r="L133" s="112"/>
      <c r="M133" s="112"/>
      <c r="N133" s="112"/>
      <c r="O133" s="112"/>
      <c r="P133" s="112"/>
      <c r="Q133" s="112"/>
      <c r="R133" s="112"/>
    </row>
    <row r="134" spans="1:18" ht="22">
      <c r="A134" s="74"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44-3-1</v>
      </c>
      <c r="B134" s="114"/>
      <c r="C134" s="89"/>
      <c r="D134" s="76"/>
      <c r="E134" s="76"/>
      <c r="F134" s="84" t="s">
        <v>250</v>
      </c>
      <c r="G134" s="84" t="s">
        <v>514</v>
      </c>
      <c r="H134" s="84"/>
      <c r="I134" s="84"/>
      <c r="J134" s="112"/>
      <c r="K134" s="112"/>
      <c r="L134" s="112"/>
      <c r="M134" s="112"/>
      <c r="N134" s="112"/>
      <c r="O134" s="112"/>
      <c r="P134" s="112"/>
      <c r="Q134" s="112"/>
      <c r="R134" s="112"/>
    </row>
    <row r="135" spans="1:18" ht="22">
      <c r="A135" s="74"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44-4-1</v>
      </c>
      <c r="B135" s="114"/>
      <c r="C135" s="89"/>
      <c r="D135" s="76"/>
      <c r="E135" s="76"/>
      <c r="F135" s="84" t="s">
        <v>251</v>
      </c>
      <c r="G135" s="84" t="s">
        <v>514</v>
      </c>
      <c r="H135" s="84"/>
      <c r="I135" s="84"/>
      <c r="J135" s="112"/>
      <c r="K135" s="112"/>
      <c r="L135" s="112"/>
      <c r="M135" s="112"/>
      <c r="N135" s="112"/>
      <c r="O135" s="112"/>
      <c r="P135" s="112"/>
      <c r="Q135" s="112"/>
      <c r="R135" s="112"/>
    </row>
    <row r="136" spans="1:18" ht="33">
      <c r="A136" s="74"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44-5-1</v>
      </c>
      <c r="B136" s="114"/>
      <c r="C136" s="89"/>
      <c r="D136" s="76"/>
      <c r="E136" s="87"/>
      <c r="F136" s="84" t="s">
        <v>252</v>
      </c>
      <c r="G136" s="84" t="s">
        <v>514</v>
      </c>
      <c r="H136" s="84"/>
      <c r="I136" s="84"/>
      <c r="J136" s="112"/>
      <c r="K136" s="112"/>
      <c r="L136" s="112"/>
      <c r="M136" s="112"/>
      <c r="N136" s="112"/>
      <c r="O136" s="112"/>
      <c r="P136" s="112"/>
      <c r="Q136" s="112"/>
      <c r="R136" s="112"/>
    </row>
    <row r="137" spans="1:18" ht="33">
      <c r="A137" s="74"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45-1-1</v>
      </c>
      <c r="B137" s="114"/>
      <c r="C137" s="89"/>
      <c r="D137" s="76"/>
      <c r="E137" s="76" t="s">
        <v>253</v>
      </c>
      <c r="F137" s="84" t="s">
        <v>254</v>
      </c>
      <c r="G137" s="84" t="s">
        <v>514</v>
      </c>
      <c r="H137" s="84"/>
      <c r="I137" s="84"/>
      <c r="J137" s="112"/>
      <c r="K137" s="112"/>
      <c r="L137" s="112"/>
      <c r="M137" s="112"/>
      <c r="N137" s="112"/>
      <c r="O137" s="112"/>
      <c r="P137" s="112"/>
      <c r="Q137" s="112"/>
      <c r="R137" s="112"/>
    </row>
    <row r="138" spans="1:18" ht="33">
      <c r="A138" s="74"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45-2-1</v>
      </c>
      <c r="B138" s="114"/>
      <c r="C138" s="89"/>
      <c r="D138" s="76"/>
      <c r="E138" s="76"/>
      <c r="F138" s="84" t="s">
        <v>255</v>
      </c>
      <c r="G138" s="84" t="s">
        <v>514</v>
      </c>
      <c r="H138" s="84"/>
      <c r="I138" s="84"/>
      <c r="J138" s="112"/>
      <c r="K138" s="112"/>
      <c r="L138" s="112"/>
      <c r="M138" s="112"/>
      <c r="N138" s="112"/>
      <c r="O138" s="112"/>
      <c r="P138" s="112"/>
      <c r="Q138" s="112"/>
      <c r="R138" s="112"/>
    </row>
    <row r="139" spans="1:18" ht="44">
      <c r="A139" s="74"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45-3-1</v>
      </c>
      <c r="B139" s="114"/>
      <c r="C139" s="89"/>
      <c r="D139" s="76"/>
      <c r="E139" s="76"/>
      <c r="F139" s="84" t="s">
        <v>256</v>
      </c>
      <c r="G139" s="84" t="s">
        <v>514</v>
      </c>
      <c r="H139" s="84"/>
      <c r="I139" s="84"/>
      <c r="J139" s="112"/>
      <c r="K139" s="112"/>
      <c r="L139" s="112"/>
      <c r="M139" s="112"/>
      <c r="N139" s="112"/>
      <c r="O139" s="112"/>
      <c r="P139" s="112"/>
      <c r="Q139" s="112"/>
      <c r="R139" s="112"/>
    </row>
    <row r="140" spans="1:18" ht="44">
      <c r="A140" s="74"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45-4-1</v>
      </c>
      <c r="B140" s="114"/>
      <c r="C140" s="89"/>
      <c r="D140" s="76"/>
      <c r="E140" s="76"/>
      <c r="F140" s="84" t="s">
        <v>257</v>
      </c>
      <c r="G140" s="84" t="s">
        <v>514</v>
      </c>
      <c r="H140" s="84"/>
      <c r="I140" s="84"/>
      <c r="J140" s="112"/>
      <c r="K140" s="112"/>
      <c r="L140" s="112"/>
      <c r="M140" s="112"/>
      <c r="N140" s="112"/>
      <c r="O140" s="112"/>
      <c r="P140" s="112"/>
      <c r="Q140" s="112"/>
      <c r="R140" s="112"/>
    </row>
    <row r="141" spans="1:18" ht="33">
      <c r="A141" s="74"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45-5-1</v>
      </c>
      <c r="B141" s="114"/>
      <c r="C141" s="89"/>
      <c r="D141" s="76"/>
      <c r="E141" s="87"/>
      <c r="F141" s="84" t="s">
        <v>258</v>
      </c>
      <c r="G141" s="84" t="s">
        <v>514</v>
      </c>
      <c r="H141" s="84"/>
      <c r="I141" s="84"/>
      <c r="J141" s="112"/>
      <c r="K141" s="112"/>
      <c r="L141" s="112"/>
      <c r="M141" s="112"/>
      <c r="N141" s="112"/>
      <c r="O141" s="112"/>
      <c r="P141" s="112"/>
      <c r="Q141" s="112"/>
      <c r="R141" s="112"/>
    </row>
    <row r="142" spans="1:18" ht="33">
      <c r="A142" s="74"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46-1-1</v>
      </c>
      <c r="B142" s="114"/>
      <c r="C142" s="89"/>
      <c r="D142" s="87"/>
      <c r="E142" s="87" t="s">
        <v>259</v>
      </c>
      <c r="F142" s="84" t="s">
        <v>260</v>
      </c>
      <c r="G142" s="84" t="s">
        <v>514</v>
      </c>
      <c r="H142" s="84"/>
      <c r="I142" s="84"/>
      <c r="J142" s="112"/>
      <c r="K142" s="112"/>
      <c r="L142" s="112"/>
      <c r="M142" s="112"/>
      <c r="N142" s="112"/>
      <c r="O142" s="112"/>
      <c r="P142" s="112"/>
      <c r="Q142" s="112"/>
      <c r="R142" s="112"/>
    </row>
    <row r="143" spans="1:18" ht="33">
      <c r="A143" s="74"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47-1-1</v>
      </c>
      <c r="B143" s="114"/>
      <c r="C143" s="86"/>
      <c r="D143" s="87" t="s">
        <v>207</v>
      </c>
      <c r="E143" s="87" t="s">
        <v>102</v>
      </c>
      <c r="F143" s="84" t="s">
        <v>261</v>
      </c>
      <c r="G143" s="84" t="s">
        <v>514</v>
      </c>
      <c r="H143" s="84"/>
      <c r="I143" s="84"/>
      <c r="J143" s="112"/>
      <c r="K143" s="112"/>
      <c r="L143" s="112"/>
      <c r="M143" s="112"/>
      <c r="N143" s="112"/>
      <c r="O143" s="112"/>
      <c r="P143" s="112"/>
      <c r="Q143" s="112"/>
      <c r="R143" s="112"/>
    </row>
    <row r="144" spans="1:18" ht="33">
      <c r="A144" s="74"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48-1-1</v>
      </c>
      <c r="B144" s="114"/>
      <c r="C144" s="76" t="s">
        <v>94</v>
      </c>
      <c r="D144" s="76" t="s">
        <v>262</v>
      </c>
      <c r="E144" s="84" t="s">
        <v>263</v>
      </c>
      <c r="F144" s="84" t="s">
        <v>264</v>
      </c>
      <c r="G144" s="84" t="s">
        <v>514</v>
      </c>
      <c r="H144" s="84"/>
      <c r="I144" s="84"/>
      <c r="J144" s="112"/>
      <c r="K144" s="112"/>
      <c r="L144" s="112"/>
      <c r="M144" s="112"/>
      <c r="N144" s="112"/>
      <c r="O144" s="112"/>
      <c r="P144" s="112"/>
      <c r="Q144" s="112"/>
      <c r="R144" s="112"/>
    </row>
    <row r="145" spans="1:18" ht="22">
      <c r="A145" s="74"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49-1-1</v>
      </c>
      <c r="B145" s="114"/>
      <c r="C145" s="76"/>
      <c r="D145" s="76"/>
      <c r="E145" s="76" t="s">
        <v>265</v>
      </c>
      <c r="F145" s="84" t="s">
        <v>266</v>
      </c>
      <c r="G145" s="84" t="s">
        <v>514</v>
      </c>
      <c r="H145" s="84"/>
      <c r="I145" s="84"/>
      <c r="J145" s="112"/>
      <c r="K145" s="112"/>
      <c r="L145" s="112"/>
      <c r="M145" s="112"/>
      <c r="N145" s="112"/>
      <c r="O145" s="112"/>
      <c r="P145" s="112"/>
      <c r="Q145" s="112"/>
      <c r="R145" s="112"/>
    </row>
    <row r="146" spans="1:18" ht="22">
      <c r="A146" s="74"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49-2-1</v>
      </c>
      <c r="B146" s="114"/>
      <c r="C146" s="76"/>
      <c r="D146" s="76"/>
      <c r="E146" s="76"/>
      <c r="F146" s="84" t="s">
        <v>267</v>
      </c>
      <c r="G146" s="84" t="s">
        <v>514</v>
      </c>
      <c r="H146" s="84"/>
      <c r="I146" s="84"/>
      <c r="J146" s="112"/>
      <c r="K146" s="112"/>
      <c r="L146" s="112"/>
      <c r="M146" s="112"/>
      <c r="N146" s="112"/>
      <c r="O146" s="112"/>
      <c r="P146" s="112"/>
      <c r="Q146" s="112"/>
      <c r="R146" s="112"/>
    </row>
    <row r="147" spans="1:18" ht="44">
      <c r="A147" s="74"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49-3-1</v>
      </c>
      <c r="B147" s="115"/>
      <c r="C147" s="87"/>
      <c r="D147" s="87"/>
      <c r="E147" s="87"/>
      <c r="F147" s="84" t="s">
        <v>268</v>
      </c>
      <c r="G147" s="84" t="s">
        <v>514</v>
      </c>
      <c r="H147" s="84"/>
      <c r="I147" s="84"/>
      <c r="J147" s="112"/>
      <c r="K147" s="112"/>
      <c r="L147" s="112"/>
      <c r="M147" s="112"/>
      <c r="N147" s="112"/>
      <c r="O147" s="112"/>
      <c r="P147" s="112"/>
      <c r="Q147" s="112"/>
      <c r="R147" s="112"/>
    </row>
    <row r="148" spans="1:18" ht="22">
      <c r="A148" s="74"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50-1-1</v>
      </c>
      <c r="B148" s="113" t="s">
        <v>269</v>
      </c>
      <c r="C148" s="75" t="s">
        <v>242</v>
      </c>
      <c r="D148" s="75" t="s">
        <v>102</v>
      </c>
      <c r="E148" s="113" t="s">
        <v>102</v>
      </c>
      <c r="F148" s="84" t="s">
        <v>270</v>
      </c>
      <c r="G148" s="84" t="s">
        <v>507</v>
      </c>
      <c r="H148" s="84"/>
      <c r="I148" s="84"/>
      <c r="J148" s="112"/>
      <c r="K148" s="112"/>
      <c r="L148" s="112"/>
      <c r="M148" s="112"/>
      <c r="N148" s="112"/>
      <c r="O148" s="112"/>
      <c r="P148" s="112"/>
      <c r="Q148" s="112"/>
      <c r="R148" s="112"/>
    </row>
    <row r="149" spans="1:18" ht="22">
      <c r="A149" s="74"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50-2-1</v>
      </c>
      <c r="B149" s="349" t="s">
        <v>271</v>
      </c>
      <c r="C149" s="89"/>
      <c r="D149" s="76"/>
      <c r="E149" s="76"/>
      <c r="F149" s="84" t="s">
        <v>272</v>
      </c>
      <c r="G149" s="84" t="s">
        <v>507</v>
      </c>
      <c r="H149" s="84"/>
      <c r="I149" s="84"/>
      <c r="J149" s="112"/>
      <c r="K149" s="112"/>
      <c r="L149" s="112"/>
      <c r="M149" s="112"/>
      <c r="N149" s="112"/>
      <c r="O149" s="112"/>
      <c r="P149" s="112"/>
      <c r="Q149" s="112"/>
      <c r="R149" s="112"/>
    </row>
    <row r="150" spans="1:18" ht="22">
      <c r="A150" s="74"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50-3-1</v>
      </c>
      <c r="B150" s="349"/>
      <c r="C150" s="89"/>
      <c r="D150" s="76"/>
      <c r="E150" s="76"/>
      <c r="F150" s="84" t="s">
        <v>273</v>
      </c>
      <c r="G150" s="84" t="s">
        <v>507</v>
      </c>
      <c r="H150" s="84"/>
      <c r="I150" s="84"/>
      <c r="J150" s="112"/>
      <c r="K150" s="112"/>
      <c r="L150" s="112"/>
      <c r="M150" s="112"/>
      <c r="N150" s="112"/>
      <c r="O150" s="112"/>
      <c r="P150" s="112"/>
      <c r="Q150" s="112"/>
      <c r="R150" s="112"/>
    </row>
    <row r="151" spans="1:18" ht="22">
      <c r="A151" s="74"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50-4-1</v>
      </c>
      <c r="B151" s="114"/>
      <c r="C151" s="89"/>
      <c r="D151" s="76"/>
      <c r="E151" s="87"/>
      <c r="F151" s="84" t="s">
        <v>274</v>
      </c>
      <c r="G151" s="84" t="s">
        <v>507</v>
      </c>
      <c r="H151" s="84"/>
      <c r="I151" s="84"/>
      <c r="J151" s="112"/>
      <c r="K151" s="112"/>
      <c r="L151" s="112"/>
      <c r="M151" s="112"/>
      <c r="N151" s="112"/>
      <c r="O151" s="112"/>
      <c r="P151" s="112"/>
      <c r="Q151" s="112"/>
      <c r="R151" s="112"/>
    </row>
    <row r="152" spans="1:18" ht="22">
      <c r="A152" s="74"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51-1-1</v>
      </c>
      <c r="B152" s="114"/>
      <c r="C152" s="89"/>
      <c r="D152" s="76"/>
      <c r="E152" s="76" t="s">
        <v>275</v>
      </c>
      <c r="F152" s="84" t="s">
        <v>276</v>
      </c>
      <c r="G152" s="84" t="s">
        <v>507</v>
      </c>
      <c r="H152" s="84"/>
      <c r="I152" s="84"/>
      <c r="J152" s="112"/>
      <c r="K152" s="112"/>
      <c r="L152" s="112"/>
      <c r="M152" s="112"/>
      <c r="N152" s="112"/>
      <c r="O152" s="112"/>
      <c r="P152" s="112"/>
      <c r="Q152" s="112"/>
      <c r="R152" s="112"/>
    </row>
    <row r="153" spans="1:18" ht="33">
      <c r="A153" s="74"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51-2-1</v>
      </c>
      <c r="B153" s="114"/>
      <c r="C153" s="89"/>
      <c r="D153" s="87"/>
      <c r="E153" s="87"/>
      <c r="F153" s="84" t="s">
        <v>277</v>
      </c>
      <c r="G153" s="84" t="s">
        <v>507</v>
      </c>
      <c r="H153" s="84"/>
      <c r="I153" s="84"/>
      <c r="J153" s="112"/>
      <c r="K153" s="112"/>
      <c r="L153" s="112"/>
      <c r="M153" s="112"/>
      <c r="N153" s="112"/>
      <c r="O153" s="112"/>
      <c r="P153" s="112"/>
      <c r="Q153" s="112"/>
      <c r="R153" s="112"/>
    </row>
    <row r="154" spans="1:18" ht="33">
      <c r="A154" s="74"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52-1-1</v>
      </c>
      <c r="B154" s="114"/>
      <c r="C154" s="86"/>
      <c r="D154" s="87" t="s">
        <v>207</v>
      </c>
      <c r="E154" s="87" t="s">
        <v>102</v>
      </c>
      <c r="F154" s="84" t="s">
        <v>278</v>
      </c>
      <c r="G154" s="84" t="s">
        <v>507</v>
      </c>
      <c r="H154" s="84"/>
      <c r="I154" s="84"/>
      <c r="J154" s="112"/>
      <c r="K154" s="112"/>
      <c r="L154" s="112"/>
      <c r="M154" s="112"/>
      <c r="N154" s="112"/>
      <c r="O154" s="112"/>
      <c r="P154" s="112"/>
      <c r="Q154" s="112"/>
      <c r="R154" s="112"/>
    </row>
    <row r="155" spans="1:18" ht="33">
      <c r="A155" s="74"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53-1-1</v>
      </c>
      <c r="B155" s="114"/>
      <c r="C155" s="89" t="s">
        <v>279</v>
      </c>
      <c r="D155" s="76" t="s">
        <v>262</v>
      </c>
      <c r="E155" s="84" t="s">
        <v>280</v>
      </c>
      <c r="F155" s="84" t="s">
        <v>281</v>
      </c>
      <c r="G155" s="84" t="s">
        <v>507</v>
      </c>
      <c r="H155" s="84"/>
      <c r="I155" s="84"/>
      <c r="J155" s="112"/>
      <c r="K155" s="112"/>
      <c r="L155" s="112"/>
      <c r="M155" s="112"/>
      <c r="N155" s="112"/>
      <c r="O155" s="112"/>
      <c r="P155" s="112"/>
      <c r="Q155" s="112"/>
      <c r="R155" s="112"/>
    </row>
    <row r="156" spans="1:18" ht="33">
      <c r="A156" s="74"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54-1-1</v>
      </c>
      <c r="B156" s="114"/>
      <c r="C156" s="89"/>
      <c r="D156" s="76"/>
      <c r="E156" s="84" t="s">
        <v>282</v>
      </c>
      <c r="F156" s="84" t="s">
        <v>283</v>
      </c>
      <c r="G156" s="84" t="s">
        <v>507</v>
      </c>
      <c r="H156" s="84"/>
      <c r="I156" s="84"/>
      <c r="J156" s="112"/>
      <c r="K156" s="112"/>
      <c r="L156" s="112"/>
      <c r="M156" s="112"/>
      <c r="N156" s="112"/>
      <c r="O156" s="112"/>
      <c r="P156" s="112"/>
      <c r="Q156" s="112"/>
      <c r="R156" s="112"/>
    </row>
    <row r="157" spans="1:18" ht="33">
      <c r="A157" s="74"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55-1-1</v>
      </c>
      <c r="B157" s="114"/>
      <c r="C157" s="89"/>
      <c r="D157" s="76"/>
      <c r="E157" s="84" t="s">
        <v>284</v>
      </c>
      <c r="F157" s="84" t="s">
        <v>285</v>
      </c>
      <c r="G157" s="84" t="s">
        <v>507</v>
      </c>
      <c r="H157" s="84"/>
      <c r="I157" s="84"/>
      <c r="J157" s="112"/>
      <c r="K157" s="112"/>
      <c r="L157" s="112"/>
      <c r="M157" s="112"/>
      <c r="N157" s="112"/>
      <c r="O157" s="112"/>
      <c r="P157" s="112"/>
      <c r="Q157" s="112"/>
      <c r="R157" s="112"/>
    </row>
    <row r="158" spans="1:18" ht="33">
      <c r="A158" s="74"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56-1-1</v>
      </c>
      <c r="B158" s="114"/>
      <c r="C158" s="89"/>
      <c r="D158" s="76"/>
      <c r="E158" s="84" t="s">
        <v>263</v>
      </c>
      <c r="F158" s="84" t="s">
        <v>286</v>
      </c>
      <c r="G158" s="84" t="s">
        <v>507</v>
      </c>
      <c r="H158" s="84"/>
      <c r="I158" s="84"/>
      <c r="J158" s="112"/>
      <c r="K158" s="112"/>
      <c r="L158" s="112"/>
      <c r="M158" s="112"/>
      <c r="N158" s="112"/>
      <c r="O158" s="112"/>
      <c r="P158" s="112"/>
      <c r="Q158" s="112"/>
      <c r="R158" s="112"/>
    </row>
    <row r="159" spans="1:18" ht="33">
      <c r="A159" s="74"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57-1-1</v>
      </c>
      <c r="B159" s="114"/>
      <c r="C159" s="89"/>
      <c r="D159" s="76"/>
      <c r="E159" s="84" t="s">
        <v>287</v>
      </c>
      <c r="F159" s="84" t="s">
        <v>288</v>
      </c>
      <c r="G159" s="84" t="s">
        <v>507</v>
      </c>
      <c r="H159" s="84"/>
      <c r="I159" s="84"/>
      <c r="J159" s="112"/>
      <c r="K159" s="112"/>
      <c r="L159" s="112"/>
      <c r="M159" s="112"/>
      <c r="N159" s="112"/>
      <c r="O159" s="112"/>
      <c r="P159" s="112"/>
      <c r="Q159" s="112"/>
      <c r="R159" s="112"/>
    </row>
    <row r="160" spans="1:18" ht="22">
      <c r="A160" s="74"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58-1-1</v>
      </c>
      <c r="B160" s="114"/>
      <c r="C160" s="89"/>
      <c r="D160" s="76"/>
      <c r="E160" s="114" t="s">
        <v>289</v>
      </c>
      <c r="F160" s="84" t="s">
        <v>290</v>
      </c>
      <c r="G160" s="84" t="s">
        <v>507</v>
      </c>
      <c r="H160" s="84"/>
      <c r="I160" s="84"/>
      <c r="J160" s="112"/>
      <c r="K160" s="112"/>
      <c r="L160" s="112"/>
      <c r="M160" s="112"/>
      <c r="N160" s="112"/>
      <c r="O160" s="112"/>
      <c r="P160" s="112"/>
      <c r="Q160" s="112"/>
      <c r="R160" s="112"/>
    </row>
    <row r="161" spans="1:18" ht="22">
      <c r="A161" s="74"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58-2-1</v>
      </c>
      <c r="B161" s="114"/>
      <c r="C161" s="89"/>
      <c r="D161" s="76"/>
      <c r="E161" s="114"/>
      <c r="F161" s="84" t="s">
        <v>291</v>
      </c>
      <c r="G161" s="84" t="s">
        <v>507</v>
      </c>
      <c r="H161" s="84"/>
      <c r="I161" s="84"/>
      <c r="J161" s="112"/>
      <c r="K161" s="112"/>
      <c r="L161" s="112"/>
      <c r="M161" s="112"/>
      <c r="N161" s="112"/>
      <c r="O161" s="112"/>
      <c r="P161" s="112"/>
      <c r="Q161" s="112"/>
      <c r="R161" s="112"/>
    </row>
    <row r="162" spans="1:18" ht="22">
      <c r="A162" s="74"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58-3-1</v>
      </c>
      <c r="B162" s="114"/>
      <c r="C162" s="89"/>
      <c r="D162" s="76"/>
      <c r="E162" s="114"/>
      <c r="F162" s="84" t="s">
        <v>292</v>
      </c>
      <c r="G162" s="84" t="s">
        <v>507</v>
      </c>
      <c r="H162" s="84"/>
      <c r="I162" s="84"/>
      <c r="J162" s="112"/>
      <c r="K162" s="112"/>
      <c r="L162" s="112"/>
      <c r="M162" s="112"/>
      <c r="N162" s="112"/>
      <c r="O162" s="112"/>
      <c r="P162" s="112"/>
      <c r="Q162" s="112"/>
      <c r="R162" s="112"/>
    </row>
    <row r="163" spans="1:18" ht="22">
      <c r="A163" s="74"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58-4-1</v>
      </c>
      <c r="B163" s="114"/>
      <c r="C163" s="89"/>
      <c r="D163" s="76"/>
      <c r="E163" s="114"/>
      <c r="F163" s="84" t="s">
        <v>293</v>
      </c>
      <c r="G163" s="84" t="s">
        <v>507</v>
      </c>
      <c r="H163" s="84"/>
      <c r="I163" s="84"/>
      <c r="J163" s="112"/>
      <c r="K163" s="112"/>
      <c r="L163" s="112"/>
      <c r="M163" s="112"/>
      <c r="N163" s="112"/>
      <c r="O163" s="112"/>
      <c r="P163" s="112"/>
      <c r="Q163" s="112"/>
      <c r="R163" s="112"/>
    </row>
    <row r="164" spans="1:18" ht="22">
      <c r="A164" s="74"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58-5-1</v>
      </c>
      <c r="B164" s="114"/>
      <c r="C164" s="89"/>
      <c r="D164" s="76"/>
      <c r="E164" s="114"/>
      <c r="F164" s="84" t="s">
        <v>294</v>
      </c>
      <c r="G164" s="84" t="s">
        <v>507</v>
      </c>
      <c r="H164" s="84"/>
      <c r="I164" s="84"/>
      <c r="J164" s="112"/>
      <c r="K164" s="112"/>
      <c r="L164" s="112"/>
      <c r="M164" s="112"/>
      <c r="N164" s="112"/>
      <c r="O164" s="112"/>
      <c r="P164" s="112"/>
      <c r="Q164" s="112"/>
      <c r="R164" s="112"/>
    </row>
    <row r="165" spans="1:18" ht="22">
      <c r="A165" s="74"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58-6-1</v>
      </c>
      <c r="B165" s="114"/>
      <c r="C165" s="89"/>
      <c r="D165" s="87"/>
      <c r="E165" s="115"/>
      <c r="F165" s="84" t="s">
        <v>295</v>
      </c>
      <c r="G165" s="84" t="s">
        <v>507</v>
      </c>
      <c r="H165" s="84"/>
      <c r="I165" s="84"/>
      <c r="J165" s="112"/>
      <c r="K165" s="112"/>
      <c r="L165" s="112"/>
      <c r="M165" s="112"/>
      <c r="N165" s="112"/>
      <c r="O165" s="112"/>
      <c r="P165" s="112"/>
      <c r="Q165" s="112"/>
      <c r="R165" s="112"/>
    </row>
    <row r="166" spans="1:18" ht="22">
      <c r="A166" s="74"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59-1-1</v>
      </c>
      <c r="B166" s="114"/>
      <c r="C166" s="89"/>
      <c r="D166" s="76" t="s">
        <v>296</v>
      </c>
      <c r="E166" s="114" t="s">
        <v>102</v>
      </c>
      <c r="F166" s="84" t="s">
        <v>297</v>
      </c>
      <c r="G166" s="84" t="s">
        <v>507</v>
      </c>
      <c r="H166" s="84"/>
      <c r="I166" s="84"/>
      <c r="J166" s="112"/>
      <c r="K166" s="112"/>
      <c r="L166" s="112"/>
      <c r="M166" s="112"/>
      <c r="N166" s="112"/>
      <c r="O166" s="112"/>
      <c r="P166" s="112"/>
      <c r="Q166" s="112"/>
      <c r="R166" s="112"/>
    </row>
    <row r="167" spans="1:18" ht="22">
      <c r="A167" s="74"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59-2-1</v>
      </c>
      <c r="B167" s="114"/>
      <c r="C167" s="89"/>
      <c r="D167" s="76"/>
      <c r="E167" s="87"/>
      <c r="F167" s="84" t="s">
        <v>298</v>
      </c>
      <c r="G167" s="84" t="s">
        <v>507</v>
      </c>
      <c r="H167" s="84"/>
      <c r="I167" s="84"/>
      <c r="J167" s="112"/>
      <c r="K167" s="112"/>
      <c r="L167" s="112"/>
      <c r="M167" s="112"/>
      <c r="N167" s="112"/>
      <c r="O167" s="112"/>
      <c r="P167" s="112"/>
      <c r="Q167" s="112"/>
      <c r="R167" s="112"/>
    </row>
    <row r="168" spans="1:18" ht="33">
      <c r="A168" s="74"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60-1-1</v>
      </c>
      <c r="B168" s="114"/>
      <c r="C168" s="89"/>
      <c r="D168" s="76"/>
      <c r="E168" s="76" t="s">
        <v>175</v>
      </c>
      <c r="F168" s="84" t="s">
        <v>299</v>
      </c>
      <c r="G168" s="84" t="s">
        <v>507</v>
      </c>
      <c r="H168" s="84"/>
      <c r="I168" s="84"/>
      <c r="J168" s="112"/>
      <c r="K168" s="112"/>
      <c r="L168" s="112"/>
      <c r="M168" s="112"/>
      <c r="N168" s="112"/>
      <c r="O168" s="112"/>
      <c r="P168" s="112"/>
      <c r="Q168" s="112"/>
      <c r="R168" s="112"/>
    </row>
    <row r="169" spans="1:18" ht="33">
      <c r="A169" s="74"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60-2-1</v>
      </c>
      <c r="B169" s="114"/>
      <c r="C169" s="89"/>
      <c r="D169" s="76"/>
      <c r="E169" s="114"/>
      <c r="F169" s="84" t="s">
        <v>300</v>
      </c>
      <c r="G169" s="84" t="s">
        <v>507</v>
      </c>
      <c r="H169" s="84"/>
      <c r="I169" s="84"/>
      <c r="J169" s="112"/>
      <c r="K169" s="112"/>
      <c r="L169" s="112"/>
      <c r="M169" s="112"/>
      <c r="N169" s="112"/>
      <c r="O169" s="112"/>
      <c r="P169" s="112"/>
      <c r="Q169" s="112"/>
      <c r="R169" s="112"/>
    </row>
    <row r="170" spans="1:18" ht="33">
      <c r="A170" s="74"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60-3-1</v>
      </c>
      <c r="B170" s="114"/>
      <c r="C170" s="89"/>
      <c r="D170" s="76"/>
      <c r="E170" s="114"/>
      <c r="F170" s="84" t="s">
        <v>301</v>
      </c>
      <c r="G170" s="84" t="s">
        <v>507</v>
      </c>
      <c r="H170" s="84"/>
      <c r="I170" s="84"/>
      <c r="J170" s="112"/>
      <c r="K170" s="112"/>
      <c r="L170" s="112"/>
      <c r="M170" s="112"/>
      <c r="N170" s="112"/>
      <c r="O170" s="112"/>
      <c r="P170" s="112"/>
      <c r="Q170" s="112"/>
      <c r="R170" s="112"/>
    </row>
    <row r="171" spans="1:18" ht="33">
      <c r="A171" s="74"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60-4-1</v>
      </c>
      <c r="B171" s="114"/>
      <c r="C171" s="89"/>
      <c r="D171" s="76"/>
      <c r="E171" s="114"/>
      <c r="F171" s="84" t="s">
        <v>302</v>
      </c>
      <c r="G171" s="84" t="s">
        <v>507</v>
      </c>
      <c r="H171" s="84"/>
      <c r="I171" s="84"/>
      <c r="J171" s="112"/>
      <c r="K171" s="112"/>
      <c r="L171" s="112"/>
      <c r="M171" s="112"/>
      <c r="N171" s="112"/>
      <c r="O171" s="112"/>
      <c r="P171" s="112"/>
      <c r="Q171" s="112"/>
      <c r="R171" s="112"/>
    </row>
    <row r="172" spans="1:18" ht="33">
      <c r="A172" s="74"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60-5-1</v>
      </c>
      <c r="B172" s="114"/>
      <c r="C172" s="89"/>
      <c r="D172" s="76"/>
      <c r="E172" s="114"/>
      <c r="F172" s="84" t="s">
        <v>303</v>
      </c>
      <c r="G172" s="84" t="s">
        <v>507</v>
      </c>
      <c r="H172" s="84"/>
      <c r="I172" s="84"/>
      <c r="J172" s="112"/>
      <c r="K172" s="112"/>
      <c r="L172" s="112"/>
      <c r="M172" s="112"/>
      <c r="N172" s="112"/>
      <c r="O172" s="112"/>
      <c r="P172" s="112"/>
      <c r="Q172" s="112"/>
      <c r="R172" s="112"/>
    </row>
    <row r="173" spans="1:18" ht="22">
      <c r="A173" s="74"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60-6-1</v>
      </c>
      <c r="B173" s="114"/>
      <c r="C173" s="89"/>
      <c r="D173" s="76"/>
      <c r="E173" s="114"/>
      <c r="F173" s="84" t="s">
        <v>304</v>
      </c>
      <c r="G173" s="84" t="s">
        <v>507</v>
      </c>
      <c r="H173" s="84"/>
      <c r="I173" s="84"/>
      <c r="J173" s="112"/>
      <c r="K173" s="112"/>
      <c r="L173" s="112"/>
      <c r="M173" s="112"/>
      <c r="N173" s="112"/>
      <c r="O173" s="112"/>
      <c r="P173" s="112"/>
      <c r="Q173" s="112"/>
      <c r="R173" s="112"/>
    </row>
    <row r="174" spans="1:18" ht="22">
      <c r="A174" s="74"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60-7-1</v>
      </c>
      <c r="B174" s="114"/>
      <c r="C174" s="89"/>
      <c r="D174" s="76"/>
      <c r="E174" s="114"/>
      <c r="F174" s="84" t="s">
        <v>305</v>
      </c>
      <c r="G174" s="84" t="s">
        <v>507</v>
      </c>
      <c r="H174" s="84"/>
      <c r="I174" s="84"/>
      <c r="J174" s="112"/>
      <c r="K174" s="112"/>
      <c r="L174" s="112"/>
      <c r="M174" s="112"/>
      <c r="N174" s="112"/>
      <c r="O174" s="112"/>
      <c r="P174" s="112"/>
      <c r="Q174" s="112"/>
      <c r="R174" s="112"/>
    </row>
    <row r="175" spans="1:18" ht="33">
      <c r="A175" s="74"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60-8-1</v>
      </c>
      <c r="B175" s="114"/>
      <c r="C175" s="89"/>
      <c r="D175" s="76"/>
      <c r="E175" s="114"/>
      <c r="F175" s="84" t="s">
        <v>306</v>
      </c>
      <c r="G175" s="84" t="s">
        <v>507</v>
      </c>
      <c r="H175" s="84"/>
      <c r="I175" s="84"/>
      <c r="J175" s="112"/>
      <c r="K175" s="112"/>
      <c r="L175" s="112"/>
      <c r="M175" s="112"/>
      <c r="N175" s="112"/>
      <c r="O175" s="112"/>
      <c r="P175" s="112"/>
      <c r="Q175" s="112"/>
      <c r="R175" s="112"/>
    </row>
    <row r="176" spans="1:18" ht="33">
      <c r="A176" s="74"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60-9-1</v>
      </c>
      <c r="B176" s="114"/>
      <c r="C176" s="89"/>
      <c r="D176" s="76"/>
      <c r="E176" s="114"/>
      <c r="F176" s="84" t="s">
        <v>307</v>
      </c>
      <c r="G176" s="84" t="s">
        <v>507</v>
      </c>
      <c r="H176" s="84"/>
      <c r="I176" s="84"/>
      <c r="J176" s="112"/>
      <c r="K176" s="112"/>
      <c r="L176" s="112"/>
      <c r="M176" s="112"/>
      <c r="N176" s="112"/>
      <c r="O176" s="112"/>
      <c r="P176" s="112"/>
      <c r="Q176" s="112"/>
      <c r="R176" s="112"/>
    </row>
    <row r="177" spans="1:18" ht="33">
      <c r="A177" s="74"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60-10-1</v>
      </c>
      <c r="B177" s="114"/>
      <c r="C177" s="89"/>
      <c r="D177" s="76"/>
      <c r="E177" s="114"/>
      <c r="F177" s="84" t="s">
        <v>308</v>
      </c>
      <c r="G177" s="84" t="s">
        <v>507</v>
      </c>
      <c r="H177" s="84"/>
      <c r="I177" s="84"/>
      <c r="J177" s="112"/>
      <c r="K177" s="112"/>
      <c r="L177" s="112"/>
      <c r="M177" s="112"/>
      <c r="N177" s="112"/>
      <c r="O177" s="112"/>
      <c r="P177" s="112"/>
      <c r="Q177" s="112"/>
      <c r="R177" s="112"/>
    </row>
    <row r="178" spans="1:18" ht="33">
      <c r="A178" s="74"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60-11-1</v>
      </c>
      <c r="B178" s="114"/>
      <c r="C178" s="89"/>
      <c r="D178" s="76"/>
      <c r="E178" s="87"/>
      <c r="F178" s="84" t="s">
        <v>309</v>
      </c>
      <c r="G178" s="84" t="s">
        <v>507</v>
      </c>
      <c r="H178" s="84"/>
      <c r="I178" s="84"/>
      <c r="J178" s="112"/>
      <c r="K178" s="112"/>
      <c r="L178" s="112"/>
      <c r="M178" s="112"/>
      <c r="N178" s="112"/>
      <c r="O178" s="112"/>
      <c r="P178" s="112"/>
      <c r="Q178" s="112"/>
      <c r="R178" s="112"/>
    </row>
    <row r="179" spans="1:18">
      <c r="A179" s="74"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61-1-1</v>
      </c>
      <c r="B179" s="114"/>
      <c r="C179" s="89"/>
      <c r="D179" s="76"/>
      <c r="E179" s="76" t="s">
        <v>109</v>
      </c>
      <c r="F179" s="84" t="s">
        <v>310</v>
      </c>
      <c r="G179" s="84" t="s">
        <v>507</v>
      </c>
      <c r="H179" s="84"/>
      <c r="I179" s="84"/>
      <c r="J179" s="112"/>
      <c r="K179" s="112"/>
      <c r="L179" s="112"/>
      <c r="M179" s="112"/>
      <c r="N179" s="112"/>
      <c r="O179" s="112"/>
      <c r="P179" s="112"/>
      <c r="Q179" s="112"/>
      <c r="R179" s="112"/>
    </row>
    <row r="180" spans="1:18">
      <c r="A180" s="74"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61-2-1</v>
      </c>
      <c r="B180" s="114"/>
      <c r="C180" s="89"/>
      <c r="D180" s="76"/>
      <c r="E180" s="76"/>
      <c r="F180" s="84" t="s">
        <v>311</v>
      </c>
      <c r="G180" s="84" t="s">
        <v>507</v>
      </c>
      <c r="H180" s="84"/>
      <c r="I180" s="84"/>
      <c r="J180" s="112"/>
      <c r="K180" s="112"/>
      <c r="L180" s="112"/>
      <c r="M180" s="112"/>
      <c r="N180" s="112"/>
      <c r="O180" s="112"/>
      <c r="P180" s="112"/>
      <c r="Q180" s="112"/>
      <c r="R180" s="112"/>
    </row>
    <row r="181" spans="1:18" ht="22">
      <c r="A181" s="74"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61-3-1</v>
      </c>
      <c r="B181" s="114"/>
      <c r="C181" s="89"/>
      <c r="D181" s="76"/>
      <c r="E181" s="76"/>
      <c r="F181" s="84" t="s">
        <v>312</v>
      </c>
      <c r="G181" s="84" t="s">
        <v>507</v>
      </c>
      <c r="H181" s="84"/>
      <c r="I181" s="84"/>
      <c r="J181" s="112"/>
      <c r="K181" s="112"/>
      <c r="L181" s="112"/>
      <c r="M181" s="112"/>
      <c r="N181" s="112"/>
      <c r="O181" s="112"/>
      <c r="P181" s="112"/>
      <c r="Q181" s="112"/>
      <c r="R181" s="112"/>
    </row>
    <row r="182" spans="1:18" ht="22">
      <c r="A182" s="74"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61-4-1</v>
      </c>
      <c r="B182" s="114"/>
      <c r="C182" s="89"/>
      <c r="D182" s="76"/>
      <c r="E182" s="76"/>
      <c r="F182" s="84" t="s">
        <v>313</v>
      </c>
      <c r="G182" s="84" t="s">
        <v>507</v>
      </c>
      <c r="H182" s="84"/>
      <c r="I182" s="84"/>
      <c r="J182" s="112"/>
      <c r="K182" s="112"/>
      <c r="L182" s="112"/>
      <c r="M182" s="112"/>
      <c r="N182" s="112"/>
      <c r="O182" s="112"/>
      <c r="P182" s="112"/>
      <c r="Q182" s="112"/>
      <c r="R182" s="112"/>
    </row>
    <row r="183" spans="1:18" ht="22">
      <c r="A183" s="74"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61-5-1</v>
      </c>
      <c r="B183" s="114"/>
      <c r="C183" s="89"/>
      <c r="D183" s="76"/>
      <c r="E183" s="76"/>
      <c r="F183" s="84" t="s">
        <v>314</v>
      </c>
      <c r="G183" s="84" t="s">
        <v>507</v>
      </c>
      <c r="H183" s="84"/>
      <c r="I183" s="84"/>
      <c r="J183" s="112"/>
      <c r="K183" s="112"/>
      <c r="L183" s="112"/>
      <c r="M183" s="112"/>
      <c r="N183" s="112"/>
      <c r="O183" s="112"/>
      <c r="P183" s="112"/>
      <c r="Q183" s="112"/>
      <c r="R183" s="112"/>
    </row>
    <row r="184" spans="1:18" ht="33">
      <c r="A184" s="74"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61-6-1</v>
      </c>
      <c r="B184" s="114"/>
      <c r="C184" s="89"/>
      <c r="D184" s="76"/>
      <c r="E184" s="76"/>
      <c r="F184" s="84" t="s">
        <v>315</v>
      </c>
      <c r="G184" s="84" t="s">
        <v>507</v>
      </c>
      <c r="H184" s="84"/>
      <c r="I184" s="84"/>
      <c r="J184" s="112"/>
      <c r="K184" s="112"/>
      <c r="L184" s="112"/>
      <c r="M184" s="112"/>
      <c r="N184" s="112"/>
      <c r="O184" s="112"/>
      <c r="P184" s="112"/>
      <c r="Q184" s="112"/>
      <c r="R184" s="112"/>
    </row>
    <row r="185" spans="1:18" ht="22">
      <c r="A185" s="74"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61-7-1</v>
      </c>
      <c r="B185" s="76"/>
      <c r="C185" s="89"/>
      <c r="D185" s="76"/>
      <c r="E185" s="87"/>
      <c r="F185" s="84" t="s">
        <v>316</v>
      </c>
      <c r="G185" s="84" t="s">
        <v>507</v>
      </c>
      <c r="H185" s="84"/>
      <c r="I185" s="84"/>
      <c r="J185" s="112"/>
      <c r="K185" s="112"/>
      <c r="L185" s="112"/>
      <c r="M185" s="112"/>
      <c r="N185" s="112"/>
      <c r="O185" s="112"/>
      <c r="P185" s="112"/>
      <c r="Q185" s="112"/>
      <c r="R185" s="112"/>
    </row>
    <row r="186" spans="1:18" ht="22">
      <c r="A186" s="74"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62-1-1</v>
      </c>
      <c r="B186" s="76"/>
      <c r="C186" s="89"/>
      <c r="D186" s="76"/>
      <c r="E186" s="75" t="s">
        <v>253</v>
      </c>
      <c r="F186" s="84" t="s">
        <v>317</v>
      </c>
      <c r="G186" s="84" t="s">
        <v>507</v>
      </c>
      <c r="H186" s="84"/>
      <c r="I186" s="84"/>
      <c r="J186" s="112"/>
      <c r="K186" s="112"/>
      <c r="L186" s="112"/>
      <c r="M186" s="112"/>
      <c r="N186" s="112"/>
      <c r="O186" s="112"/>
      <c r="P186" s="112"/>
      <c r="Q186" s="112"/>
      <c r="R186" s="112"/>
    </row>
    <row r="187" spans="1:18" ht="33">
      <c r="A187" s="74"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62-2-1</v>
      </c>
      <c r="B187" s="114"/>
      <c r="C187" s="89"/>
      <c r="D187" s="76"/>
      <c r="E187" s="76"/>
      <c r="F187" s="84" t="s">
        <v>318</v>
      </c>
      <c r="G187" s="84" t="s">
        <v>507</v>
      </c>
      <c r="H187" s="84"/>
      <c r="I187" s="84"/>
      <c r="J187" s="112"/>
      <c r="K187" s="112"/>
      <c r="L187" s="112"/>
      <c r="M187" s="112"/>
      <c r="N187" s="112"/>
      <c r="O187" s="112"/>
      <c r="P187" s="112"/>
      <c r="Q187" s="112"/>
      <c r="R187" s="112"/>
    </row>
    <row r="188" spans="1:18" ht="33">
      <c r="A188" s="74"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62-3-1</v>
      </c>
      <c r="B188" s="114"/>
      <c r="C188" s="89"/>
      <c r="D188" s="76"/>
      <c r="E188" s="76"/>
      <c r="F188" s="84" t="s">
        <v>319</v>
      </c>
      <c r="G188" s="84" t="s">
        <v>507</v>
      </c>
      <c r="H188" s="84"/>
      <c r="I188" s="84"/>
      <c r="J188" s="112"/>
      <c r="K188" s="112"/>
      <c r="L188" s="112"/>
      <c r="M188" s="112"/>
      <c r="N188" s="112"/>
      <c r="O188" s="112"/>
      <c r="P188" s="112"/>
      <c r="Q188" s="112"/>
      <c r="R188" s="112"/>
    </row>
    <row r="189" spans="1:18" ht="44">
      <c r="A189" s="74"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62-4-1</v>
      </c>
      <c r="B189" s="114"/>
      <c r="C189" s="89"/>
      <c r="D189" s="76"/>
      <c r="E189" s="76"/>
      <c r="F189" s="84" t="s">
        <v>320</v>
      </c>
      <c r="G189" s="84" t="s">
        <v>507</v>
      </c>
      <c r="H189" s="84"/>
      <c r="I189" s="84"/>
      <c r="J189" s="112"/>
      <c r="K189" s="112"/>
      <c r="L189" s="112"/>
      <c r="M189" s="112"/>
      <c r="N189" s="112"/>
      <c r="O189" s="112"/>
      <c r="P189" s="112"/>
      <c r="Q189" s="112"/>
      <c r="R189" s="112"/>
    </row>
    <row r="190" spans="1:18" ht="44">
      <c r="A190" s="74"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62-5-1</v>
      </c>
      <c r="B190" s="114"/>
      <c r="C190" s="89"/>
      <c r="D190" s="76"/>
      <c r="E190" s="76"/>
      <c r="F190" s="84" t="s">
        <v>321</v>
      </c>
      <c r="G190" s="84" t="s">
        <v>507</v>
      </c>
      <c r="H190" s="84"/>
      <c r="I190" s="84"/>
      <c r="J190" s="112"/>
      <c r="K190" s="112"/>
      <c r="L190" s="112"/>
      <c r="M190" s="112"/>
      <c r="N190" s="112"/>
      <c r="O190" s="112"/>
      <c r="P190" s="112"/>
      <c r="Q190" s="112"/>
      <c r="R190" s="112"/>
    </row>
    <row r="191" spans="1:18" ht="33">
      <c r="A191" s="74"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62-6-1</v>
      </c>
      <c r="B191" s="114"/>
      <c r="C191" s="89"/>
      <c r="D191" s="76"/>
      <c r="E191" s="76"/>
      <c r="F191" s="84" t="s">
        <v>322</v>
      </c>
      <c r="G191" s="84" t="s">
        <v>507</v>
      </c>
      <c r="H191" s="84"/>
      <c r="I191" s="84"/>
      <c r="J191" s="112"/>
      <c r="K191" s="112"/>
      <c r="L191" s="112"/>
      <c r="M191" s="112"/>
      <c r="N191" s="112"/>
      <c r="O191" s="112"/>
      <c r="P191" s="112"/>
      <c r="Q191" s="112"/>
      <c r="R191" s="112"/>
    </row>
    <row r="192" spans="1:18" ht="44">
      <c r="A192" s="74"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62-7-1</v>
      </c>
      <c r="B192" s="114"/>
      <c r="C192" s="89"/>
      <c r="D192" s="76"/>
      <c r="E192" s="76"/>
      <c r="F192" s="84" t="s">
        <v>323</v>
      </c>
      <c r="G192" s="84" t="s">
        <v>507</v>
      </c>
      <c r="H192" s="84"/>
      <c r="I192" s="84"/>
      <c r="J192" s="112"/>
      <c r="K192" s="112"/>
      <c r="L192" s="112"/>
      <c r="M192" s="112"/>
      <c r="N192" s="112"/>
      <c r="O192" s="112"/>
      <c r="P192" s="112"/>
      <c r="Q192" s="112"/>
      <c r="R192" s="112"/>
    </row>
    <row r="193" spans="1:18" ht="44">
      <c r="A193" s="74"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62-8-1</v>
      </c>
      <c r="B193" s="114"/>
      <c r="C193" s="89"/>
      <c r="D193" s="76"/>
      <c r="E193" s="76"/>
      <c r="F193" s="84" t="s">
        <v>324</v>
      </c>
      <c r="G193" s="84" t="s">
        <v>507</v>
      </c>
      <c r="H193" s="84"/>
      <c r="I193" s="84"/>
      <c r="J193" s="112"/>
      <c r="K193" s="112"/>
      <c r="L193" s="112"/>
      <c r="M193" s="112"/>
      <c r="N193" s="112"/>
      <c r="O193" s="112"/>
      <c r="P193" s="112"/>
      <c r="Q193" s="112"/>
      <c r="R193" s="112"/>
    </row>
    <row r="194" spans="1:18" ht="22">
      <c r="A194" s="74"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62-9-1</v>
      </c>
      <c r="B194" s="114"/>
      <c r="C194" s="89"/>
      <c r="D194" s="76"/>
      <c r="E194" s="87"/>
      <c r="F194" s="84" t="s">
        <v>325</v>
      </c>
      <c r="G194" s="84" t="s">
        <v>507</v>
      </c>
      <c r="H194" s="84"/>
      <c r="I194" s="84"/>
      <c r="J194" s="112"/>
      <c r="K194" s="112"/>
      <c r="L194" s="112"/>
      <c r="M194" s="112"/>
      <c r="N194" s="112"/>
      <c r="O194" s="112"/>
      <c r="P194" s="112"/>
      <c r="Q194" s="112"/>
      <c r="R194" s="112"/>
    </row>
    <row r="195" spans="1:18" ht="33">
      <c r="A195" s="74"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63-1-1</v>
      </c>
      <c r="B195" s="114"/>
      <c r="C195" s="89"/>
      <c r="D195" s="76"/>
      <c r="E195" s="84" t="s">
        <v>287</v>
      </c>
      <c r="F195" s="84" t="s">
        <v>326</v>
      </c>
      <c r="G195" s="84" t="s">
        <v>507</v>
      </c>
      <c r="H195" s="84"/>
      <c r="I195" s="84"/>
      <c r="J195" s="112"/>
      <c r="K195" s="112"/>
      <c r="L195" s="112"/>
      <c r="M195" s="112"/>
      <c r="N195" s="112"/>
      <c r="O195" s="112"/>
      <c r="P195" s="112"/>
      <c r="Q195" s="112"/>
      <c r="R195" s="112"/>
    </row>
    <row r="196" spans="1:18" ht="22">
      <c r="A196" s="74"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64-1-1</v>
      </c>
      <c r="B196" s="87"/>
      <c r="C196" s="86"/>
      <c r="D196" s="87"/>
      <c r="E196" s="86" t="s">
        <v>327</v>
      </c>
      <c r="F196" s="84" t="s">
        <v>328</v>
      </c>
      <c r="G196" s="84" t="s">
        <v>507</v>
      </c>
      <c r="H196" s="84"/>
      <c r="I196" s="84"/>
      <c r="J196" s="112"/>
      <c r="K196" s="112"/>
      <c r="L196" s="112"/>
      <c r="M196" s="112"/>
      <c r="N196" s="112"/>
      <c r="O196" s="112"/>
      <c r="P196" s="112"/>
      <c r="Q196" s="112"/>
      <c r="R196" s="112"/>
    </row>
    <row r="197" spans="1:18" ht="22">
      <c r="A197" s="74"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65-1-1</v>
      </c>
      <c r="B197" s="104" t="s">
        <v>329</v>
      </c>
      <c r="C197" s="104" t="s">
        <v>242</v>
      </c>
      <c r="D197" s="116" t="s">
        <v>330</v>
      </c>
      <c r="E197" s="85" t="s">
        <v>102</v>
      </c>
      <c r="F197" s="85" t="s">
        <v>331</v>
      </c>
      <c r="G197" s="85" t="s">
        <v>508</v>
      </c>
      <c r="H197" s="85"/>
      <c r="I197" s="85"/>
      <c r="J197" s="81"/>
      <c r="K197" s="81"/>
      <c r="L197" s="81"/>
      <c r="M197" s="81"/>
      <c r="N197" s="81"/>
      <c r="O197" s="81"/>
      <c r="P197" s="81"/>
      <c r="Q197" s="81"/>
      <c r="R197" s="81"/>
    </row>
    <row r="198" spans="1:18" ht="22">
      <c r="A198" s="74"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66-1-1</v>
      </c>
      <c r="B198" s="103"/>
      <c r="C198" s="109"/>
      <c r="D198" s="116" t="s">
        <v>332</v>
      </c>
      <c r="E198" s="85" t="s">
        <v>102</v>
      </c>
      <c r="F198" s="85" t="s">
        <v>333</v>
      </c>
      <c r="G198" s="85" t="s">
        <v>508</v>
      </c>
      <c r="H198" s="85"/>
      <c r="I198" s="85"/>
      <c r="J198" s="81"/>
      <c r="K198" s="81"/>
      <c r="L198" s="81"/>
      <c r="M198" s="81"/>
      <c r="N198" s="81"/>
      <c r="O198" s="81"/>
      <c r="P198" s="81"/>
      <c r="Q198" s="81"/>
      <c r="R198" s="81"/>
    </row>
    <row r="199" spans="1:18">
      <c r="A199" s="74"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67-1-1</v>
      </c>
      <c r="B199" s="105"/>
      <c r="C199" s="117"/>
      <c r="D199" s="117" t="s">
        <v>334</v>
      </c>
      <c r="E199" s="117" t="s">
        <v>102</v>
      </c>
      <c r="F199" s="85" t="s">
        <v>335</v>
      </c>
      <c r="G199" s="85" t="s">
        <v>508</v>
      </c>
      <c r="H199" s="85"/>
      <c r="I199" s="85"/>
      <c r="J199" s="81"/>
      <c r="K199" s="81"/>
      <c r="L199" s="81"/>
      <c r="M199" s="81"/>
      <c r="N199" s="81"/>
      <c r="O199" s="81"/>
      <c r="P199" s="81"/>
      <c r="Q199" s="81"/>
      <c r="R199" s="81"/>
    </row>
    <row r="200" spans="1:18" ht="22">
      <c r="A200" s="74"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68-1-1</v>
      </c>
      <c r="B200" s="104" t="s">
        <v>336</v>
      </c>
      <c r="C200" s="104" t="s">
        <v>242</v>
      </c>
      <c r="D200" s="104" t="s">
        <v>102</v>
      </c>
      <c r="E200" s="85" t="s">
        <v>337</v>
      </c>
      <c r="F200" s="85" t="s">
        <v>338</v>
      </c>
      <c r="G200" s="85" t="s">
        <v>509</v>
      </c>
      <c r="H200" s="85"/>
      <c r="I200" s="85"/>
      <c r="J200" s="81"/>
      <c r="K200" s="81"/>
      <c r="L200" s="81"/>
      <c r="M200" s="81"/>
      <c r="N200" s="81"/>
      <c r="O200" s="81"/>
      <c r="P200" s="81"/>
      <c r="Q200" s="81"/>
      <c r="R200" s="81"/>
    </row>
    <row r="201" spans="1:18" ht="22">
      <c r="A201" s="74"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69-1-1</v>
      </c>
      <c r="B201" s="100"/>
      <c r="C201" s="100"/>
      <c r="D201" s="103"/>
      <c r="E201" s="103" t="s">
        <v>109</v>
      </c>
      <c r="F201" s="85" t="s">
        <v>339</v>
      </c>
      <c r="G201" s="85" t="s">
        <v>509</v>
      </c>
      <c r="H201" s="85"/>
      <c r="I201" s="85"/>
      <c r="J201" s="81"/>
      <c r="K201" s="81"/>
      <c r="L201" s="81"/>
      <c r="M201" s="81"/>
      <c r="N201" s="81"/>
      <c r="O201" s="81"/>
      <c r="P201" s="81"/>
      <c r="Q201" s="81"/>
      <c r="R201" s="81"/>
    </row>
    <row r="202" spans="1:18" ht="22">
      <c r="A202" s="74"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69-2-1</v>
      </c>
      <c r="B202" s="100"/>
      <c r="C202" s="118"/>
      <c r="D202" s="103"/>
      <c r="E202" s="105"/>
      <c r="F202" s="85" t="s">
        <v>340</v>
      </c>
      <c r="G202" s="85" t="s">
        <v>509</v>
      </c>
      <c r="H202" s="85"/>
      <c r="I202" s="85"/>
      <c r="J202" s="81"/>
      <c r="K202" s="81"/>
      <c r="L202" s="81"/>
      <c r="M202" s="81"/>
      <c r="N202" s="81"/>
      <c r="O202" s="81"/>
      <c r="P202" s="81"/>
      <c r="Q202" s="81"/>
      <c r="R202" s="81"/>
    </row>
    <row r="203" spans="1:18" ht="22">
      <c r="A203" s="74"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70-1-1</v>
      </c>
      <c r="B203" s="100"/>
      <c r="C203" s="109"/>
      <c r="D203" s="103"/>
      <c r="E203" s="103" t="s">
        <v>341</v>
      </c>
      <c r="F203" s="85" t="s">
        <v>342</v>
      </c>
      <c r="G203" s="85" t="s">
        <v>509</v>
      </c>
      <c r="H203" s="85"/>
      <c r="I203" s="85"/>
      <c r="J203" s="81"/>
      <c r="K203" s="81"/>
      <c r="L203" s="81"/>
      <c r="M203" s="81"/>
      <c r="N203" s="81"/>
      <c r="O203" s="81"/>
      <c r="P203" s="81"/>
      <c r="Q203" s="81"/>
      <c r="R203" s="81"/>
    </row>
    <row r="204" spans="1:18" ht="22">
      <c r="A204" s="74"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70-2-1</v>
      </c>
      <c r="B204" s="100"/>
      <c r="C204" s="109"/>
      <c r="D204" s="119"/>
      <c r="E204" s="105"/>
      <c r="F204" s="85" t="s">
        <v>343</v>
      </c>
      <c r="G204" s="85" t="s">
        <v>509</v>
      </c>
      <c r="H204" s="85"/>
      <c r="I204" s="85"/>
      <c r="J204" s="81"/>
      <c r="K204" s="81"/>
      <c r="L204" s="81"/>
      <c r="M204" s="81"/>
      <c r="N204" s="81"/>
      <c r="O204" s="81"/>
      <c r="P204" s="81"/>
      <c r="Q204" s="81"/>
      <c r="R204" s="81"/>
    </row>
    <row r="205" spans="1:18" ht="33">
      <c r="A205" s="74"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71-1-1</v>
      </c>
      <c r="B205" s="100"/>
      <c r="C205" s="117"/>
      <c r="D205" s="105" t="s">
        <v>207</v>
      </c>
      <c r="E205" s="105" t="s">
        <v>102</v>
      </c>
      <c r="F205" s="85" t="s">
        <v>344</v>
      </c>
      <c r="G205" s="85" t="s">
        <v>509</v>
      </c>
      <c r="H205" s="85"/>
      <c r="I205" s="85"/>
      <c r="J205" s="81"/>
      <c r="K205" s="81"/>
      <c r="L205" s="81"/>
      <c r="M205" s="81"/>
      <c r="N205" s="81"/>
      <c r="O205" s="81"/>
      <c r="P205" s="81"/>
      <c r="Q205" s="81"/>
      <c r="R205" s="81"/>
    </row>
    <row r="206" spans="1:18" ht="22">
      <c r="A206" s="74"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72-1-1</v>
      </c>
      <c r="B206" s="100"/>
      <c r="C206" s="109" t="s">
        <v>345</v>
      </c>
      <c r="D206" s="103" t="s">
        <v>346</v>
      </c>
      <c r="E206" s="103" t="s">
        <v>347</v>
      </c>
      <c r="F206" s="85" t="s">
        <v>348</v>
      </c>
      <c r="G206" s="85" t="s">
        <v>509</v>
      </c>
      <c r="H206" s="85"/>
      <c r="I206" s="85"/>
      <c r="J206" s="81"/>
      <c r="K206" s="81"/>
      <c r="L206" s="81"/>
      <c r="M206" s="81"/>
      <c r="N206" s="81"/>
      <c r="O206" s="81"/>
      <c r="P206" s="81"/>
      <c r="Q206" s="81"/>
      <c r="R206" s="81"/>
    </row>
    <row r="207" spans="1:18" ht="22">
      <c r="A207" s="74"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72-2-1</v>
      </c>
      <c r="B207" s="100"/>
      <c r="C207" s="118"/>
      <c r="D207" s="103"/>
      <c r="E207" s="103"/>
      <c r="F207" s="85" t="s">
        <v>349</v>
      </c>
      <c r="G207" s="85" t="s">
        <v>509</v>
      </c>
      <c r="H207" s="85"/>
      <c r="I207" s="85"/>
      <c r="J207" s="81"/>
      <c r="K207" s="81"/>
      <c r="L207" s="81"/>
      <c r="M207" s="81"/>
      <c r="N207" s="81"/>
      <c r="O207" s="81"/>
      <c r="P207" s="81"/>
      <c r="Q207" s="81"/>
      <c r="R207" s="81"/>
    </row>
    <row r="208" spans="1:18" ht="22">
      <c r="A208" s="74"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72-3-1</v>
      </c>
      <c r="B208" s="100"/>
      <c r="C208" s="118"/>
      <c r="D208" s="103"/>
      <c r="E208" s="103"/>
      <c r="F208" s="85" t="s">
        <v>350</v>
      </c>
      <c r="G208" s="85" t="s">
        <v>509</v>
      </c>
      <c r="H208" s="85"/>
      <c r="I208" s="85"/>
      <c r="J208" s="81"/>
      <c r="K208" s="81"/>
      <c r="L208" s="81"/>
      <c r="M208" s="81"/>
      <c r="N208" s="81"/>
      <c r="O208" s="81"/>
      <c r="P208" s="81"/>
      <c r="Q208" s="81"/>
      <c r="R208" s="81"/>
    </row>
    <row r="209" spans="1:18" ht="22">
      <c r="A209" s="74"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72-4-1</v>
      </c>
      <c r="B209" s="100"/>
      <c r="C209" s="118"/>
      <c r="D209" s="103"/>
      <c r="E209" s="103"/>
      <c r="F209" s="85" t="s">
        <v>351</v>
      </c>
      <c r="G209" s="85" t="s">
        <v>509</v>
      </c>
      <c r="H209" s="85"/>
      <c r="I209" s="85"/>
      <c r="J209" s="81"/>
      <c r="K209" s="81"/>
      <c r="L209" s="81"/>
      <c r="M209" s="81"/>
      <c r="N209" s="81"/>
      <c r="O209" s="81"/>
      <c r="P209" s="81"/>
      <c r="Q209" s="81"/>
      <c r="R209" s="81"/>
    </row>
    <row r="210" spans="1:18" ht="22">
      <c r="A210" s="74"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72-5-1</v>
      </c>
      <c r="B210" s="100"/>
      <c r="C210" s="118"/>
      <c r="D210" s="103"/>
      <c r="E210" s="103"/>
      <c r="F210" s="85" t="s">
        <v>352</v>
      </c>
      <c r="G210" s="85" t="s">
        <v>509</v>
      </c>
      <c r="H210" s="85"/>
      <c r="I210" s="85"/>
      <c r="J210" s="81"/>
      <c r="K210" s="81"/>
      <c r="L210" s="81"/>
      <c r="M210" s="81"/>
      <c r="N210" s="81"/>
      <c r="O210" s="81"/>
      <c r="P210" s="81"/>
      <c r="Q210" s="81"/>
      <c r="R210" s="81"/>
    </row>
    <row r="211" spans="1:18" ht="22">
      <c r="A211" s="74"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72-6-1</v>
      </c>
      <c r="B211" s="100"/>
      <c r="C211" s="118"/>
      <c r="D211" s="103"/>
      <c r="E211" s="103"/>
      <c r="F211" s="85" t="s">
        <v>353</v>
      </c>
      <c r="G211" s="85" t="s">
        <v>509</v>
      </c>
      <c r="H211" s="85"/>
      <c r="I211" s="85"/>
      <c r="J211" s="81"/>
      <c r="K211" s="81"/>
      <c r="L211" s="81"/>
      <c r="M211" s="81"/>
      <c r="N211" s="81"/>
      <c r="O211" s="81"/>
      <c r="P211" s="81"/>
      <c r="Q211" s="81"/>
      <c r="R211" s="81"/>
    </row>
    <row r="212" spans="1:18" ht="22">
      <c r="A212" s="74"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72-7-1</v>
      </c>
      <c r="B212" s="100"/>
      <c r="C212" s="118"/>
      <c r="D212" s="103"/>
      <c r="E212" s="105"/>
      <c r="F212" s="85" t="s">
        <v>354</v>
      </c>
      <c r="G212" s="85" t="s">
        <v>509</v>
      </c>
      <c r="H212" s="85"/>
      <c r="I212" s="85"/>
      <c r="J212" s="81"/>
      <c r="K212" s="81"/>
      <c r="L212" s="81"/>
      <c r="M212" s="81"/>
      <c r="N212" s="81"/>
      <c r="O212" s="81"/>
      <c r="P212" s="81"/>
      <c r="Q212" s="81"/>
      <c r="R212" s="81"/>
    </row>
    <row r="213" spans="1:18" ht="22">
      <c r="A213" s="74"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73-1-1</v>
      </c>
      <c r="B213" s="100"/>
      <c r="C213" s="100"/>
      <c r="D213" s="105"/>
      <c r="E213" s="105" t="s">
        <v>355</v>
      </c>
      <c r="F213" s="85" t="s">
        <v>356</v>
      </c>
      <c r="G213" s="85" t="s">
        <v>509</v>
      </c>
      <c r="H213" s="85"/>
      <c r="I213" s="85"/>
      <c r="J213" s="81"/>
      <c r="K213" s="81"/>
      <c r="L213" s="81"/>
      <c r="M213" s="81"/>
      <c r="N213" s="81"/>
      <c r="O213" s="81"/>
      <c r="P213" s="81"/>
      <c r="Q213" s="81"/>
      <c r="R213" s="81"/>
    </row>
    <row r="214" spans="1:18" ht="22">
      <c r="A214" s="74"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74-1-1</v>
      </c>
      <c r="B214" s="100"/>
      <c r="C214" s="100"/>
      <c r="D214" s="103" t="s">
        <v>357</v>
      </c>
      <c r="E214" s="103" t="s">
        <v>175</v>
      </c>
      <c r="F214" s="85" t="s">
        <v>358</v>
      </c>
      <c r="G214" s="85" t="s">
        <v>509</v>
      </c>
      <c r="H214" s="85"/>
      <c r="I214" s="85"/>
      <c r="J214" s="81"/>
      <c r="K214" s="81"/>
      <c r="L214" s="81"/>
      <c r="M214" s="81"/>
      <c r="N214" s="81"/>
      <c r="O214" s="81"/>
      <c r="P214" s="81"/>
      <c r="Q214" s="81"/>
      <c r="R214" s="81"/>
    </row>
    <row r="215" spans="1:18" ht="22">
      <c r="A215" s="74"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74-2-1</v>
      </c>
      <c r="B215" s="100"/>
      <c r="C215" s="100"/>
      <c r="D215" s="103"/>
      <c r="E215" s="103"/>
      <c r="F215" s="85" t="s">
        <v>359</v>
      </c>
      <c r="G215" s="85" t="s">
        <v>509</v>
      </c>
      <c r="H215" s="85"/>
      <c r="I215" s="85"/>
      <c r="J215" s="81"/>
      <c r="K215" s="81"/>
      <c r="L215" s="81"/>
      <c r="M215" s="81"/>
      <c r="N215" s="81"/>
      <c r="O215" s="81"/>
      <c r="P215" s="81"/>
      <c r="Q215" s="81"/>
      <c r="R215" s="81"/>
    </row>
    <row r="216" spans="1:18">
      <c r="A216" s="74"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74-3-1</v>
      </c>
      <c r="B216" s="100"/>
      <c r="C216" s="100"/>
      <c r="D216" s="103"/>
      <c r="E216" s="103"/>
      <c r="F216" s="85" t="s">
        <v>360</v>
      </c>
      <c r="G216" s="85" t="s">
        <v>509</v>
      </c>
      <c r="H216" s="85"/>
      <c r="I216" s="85"/>
      <c r="J216" s="81"/>
      <c r="K216" s="81"/>
      <c r="L216" s="81"/>
      <c r="M216" s="81"/>
      <c r="N216" s="81"/>
      <c r="O216" s="81"/>
      <c r="P216" s="81"/>
      <c r="Q216" s="81"/>
      <c r="R216" s="81"/>
    </row>
    <row r="217" spans="1:18" ht="22">
      <c r="A217" s="74"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74-4-1</v>
      </c>
      <c r="B217" s="100"/>
      <c r="C217" s="100"/>
      <c r="D217" s="103"/>
      <c r="E217" s="103"/>
      <c r="F217" s="85" t="s">
        <v>361</v>
      </c>
      <c r="G217" s="85" t="s">
        <v>509</v>
      </c>
      <c r="H217" s="85"/>
      <c r="I217" s="85"/>
      <c r="J217" s="81"/>
      <c r="K217" s="81"/>
      <c r="L217" s="81"/>
      <c r="M217" s="81"/>
      <c r="N217" s="81"/>
      <c r="O217" s="81"/>
      <c r="P217" s="81"/>
      <c r="Q217" s="81"/>
      <c r="R217" s="81"/>
    </row>
    <row r="218" spans="1:18" ht="33">
      <c r="A218" s="74"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74-5-1</v>
      </c>
      <c r="B218" s="100"/>
      <c r="C218" s="100"/>
      <c r="D218" s="103"/>
      <c r="E218" s="103"/>
      <c r="F218" s="85" t="s">
        <v>362</v>
      </c>
      <c r="G218" s="85" t="s">
        <v>509</v>
      </c>
      <c r="H218" s="85"/>
      <c r="I218" s="85"/>
      <c r="J218" s="81"/>
      <c r="K218" s="81"/>
      <c r="L218" s="81"/>
      <c r="M218" s="81"/>
      <c r="N218" s="81"/>
      <c r="O218" s="81"/>
      <c r="P218" s="81"/>
      <c r="Q218" s="81"/>
      <c r="R218" s="81"/>
    </row>
    <row r="219" spans="1:18" ht="33">
      <c r="A219" s="74"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74-6-1</v>
      </c>
      <c r="B219" s="100"/>
      <c r="C219" s="100"/>
      <c r="D219" s="103"/>
      <c r="E219" s="103"/>
      <c r="F219" s="85" t="s">
        <v>363</v>
      </c>
      <c r="G219" s="85" t="s">
        <v>509</v>
      </c>
      <c r="H219" s="85"/>
      <c r="I219" s="85"/>
      <c r="J219" s="81"/>
      <c r="K219" s="81"/>
      <c r="L219" s="81"/>
      <c r="M219" s="81"/>
      <c r="N219" s="81"/>
      <c r="O219" s="81"/>
      <c r="P219" s="81"/>
      <c r="Q219" s="81"/>
      <c r="R219" s="81"/>
    </row>
    <row r="220" spans="1:18" ht="44">
      <c r="A220" s="74"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74-7-1</v>
      </c>
      <c r="B220" s="100"/>
      <c r="C220" s="100"/>
      <c r="D220" s="103"/>
      <c r="E220" s="103"/>
      <c r="F220" s="85" t="s">
        <v>364</v>
      </c>
      <c r="G220" s="85" t="s">
        <v>509</v>
      </c>
      <c r="H220" s="85"/>
      <c r="I220" s="85"/>
      <c r="J220" s="81"/>
      <c r="K220" s="81"/>
      <c r="L220" s="81"/>
      <c r="M220" s="81"/>
      <c r="N220" s="81"/>
      <c r="O220" s="81"/>
      <c r="P220" s="81"/>
      <c r="Q220" s="81"/>
      <c r="R220" s="81"/>
    </row>
    <row r="221" spans="1:18" ht="33">
      <c r="A221" s="74"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74-8-1</v>
      </c>
      <c r="B221" s="100"/>
      <c r="C221" s="100"/>
      <c r="D221" s="103"/>
      <c r="E221" s="103"/>
      <c r="F221" s="85" t="s">
        <v>365</v>
      </c>
      <c r="G221" s="85" t="s">
        <v>509</v>
      </c>
      <c r="H221" s="85"/>
      <c r="I221" s="85"/>
      <c r="J221" s="81"/>
      <c r="K221" s="81"/>
      <c r="L221" s="81"/>
      <c r="M221" s="81"/>
      <c r="N221" s="81"/>
      <c r="O221" s="81"/>
      <c r="P221" s="81"/>
      <c r="Q221" s="81"/>
      <c r="R221" s="81"/>
    </row>
    <row r="222" spans="1:18" ht="33">
      <c r="A222" s="74"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74-9-1</v>
      </c>
      <c r="B222" s="100"/>
      <c r="C222" s="100"/>
      <c r="D222" s="103"/>
      <c r="E222" s="103"/>
      <c r="F222" s="85" t="s">
        <v>366</v>
      </c>
      <c r="G222" s="85" t="s">
        <v>509</v>
      </c>
      <c r="H222" s="85"/>
      <c r="I222" s="85"/>
      <c r="J222" s="81"/>
      <c r="K222" s="81"/>
      <c r="L222" s="81"/>
      <c r="M222" s="81"/>
      <c r="N222" s="81"/>
      <c r="O222" s="81"/>
      <c r="P222" s="81"/>
      <c r="Q222" s="81"/>
      <c r="R222" s="81"/>
    </row>
    <row r="223" spans="1:18" ht="22">
      <c r="A223" s="74"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74-10-1</v>
      </c>
      <c r="B223" s="100"/>
      <c r="C223" s="100"/>
      <c r="D223" s="103"/>
      <c r="E223" s="103"/>
      <c r="F223" s="85" t="s">
        <v>367</v>
      </c>
      <c r="G223" s="85" t="s">
        <v>509</v>
      </c>
      <c r="H223" s="85"/>
      <c r="I223" s="85"/>
      <c r="J223" s="81"/>
      <c r="K223" s="81"/>
      <c r="L223" s="81"/>
      <c r="M223" s="81"/>
      <c r="N223" s="81"/>
      <c r="O223" s="81"/>
      <c r="P223" s="81"/>
      <c r="Q223" s="81"/>
      <c r="R223" s="81"/>
    </row>
    <row r="224" spans="1:18" ht="22">
      <c r="A224" s="74"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74-11-1</v>
      </c>
      <c r="B224" s="100"/>
      <c r="C224" s="100"/>
      <c r="D224" s="103"/>
      <c r="E224" s="103"/>
      <c r="F224" s="85" t="s">
        <v>368</v>
      </c>
      <c r="G224" s="85" t="s">
        <v>509</v>
      </c>
      <c r="H224" s="85"/>
      <c r="I224" s="85"/>
      <c r="J224" s="81"/>
      <c r="K224" s="81"/>
      <c r="L224" s="81"/>
      <c r="M224" s="81"/>
      <c r="N224" s="81"/>
      <c r="O224" s="81"/>
      <c r="P224" s="81"/>
      <c r="Q224" s="81"/>
      <c r="R224" s="81"/>
    </row>
    <row r="225" spans="1:18" ht="33">
      <c r="A225" s="74"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74-12-1</v>
      </c>
      <c r="B225" s="100"/>
      <c r="C225" s="100"/>
      <c r="D225" s="103"/>
      <c r="E225" s="103"/>
      <c r="F225" s="85" t="s">
        <v>369</v>
      </c>
      <c r="G225" s="85" t="s">
        <v>509</v>
      </c>
      <c r="H225" s="85"/>
      <c r="I225" s="85"/>
      <c r="J225" s="81"/>
      <c r="K225" s="81"/>
      <c r="L225" s="81"/>
      <c r="M225" s="81"/>
      <c r="N225" s="81"/>
      <c r="O225" s="81"/>
      <c r="P225" s="81"/>
      <c r="Q225" s="81"/>
      <c r="R225" s="81"/>
    </row>
    <row r="226" spans="1:18" ht="22">
      <c r="A226" s="74"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74-13-1</v>
      </c>
      <c r="B226" s="103"/>
      <c r="C226" s="100"/>
      <c r="D226" s="105"/>
      <c r="E226" s="105"/>
      <c r="F226" s="85" t="s">
        <v>370</v>
      </c>
      <c r="G226" s="85" t="s">
        <v>509</v>
      </c>
      <c r="H226" s="85"/>
      <c r="I226" s="85"/>
      <c r="J226" s="81"/>
      <c r="K226" s="81"/>
      <c r="L226" s="81"/>
      <c r="M226" s="81"/>
      <c r="N226" s="81"/>
      <c r="O226" s="81"/>
      <c r="P226" s="81"/>
      <c r="Q226" s="81"/>
      <c r="R226" s="81"/>
    </row>
    <row r="227" spans="1:18" ht="22">
      <c r="A227" s="74"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75-1-1</v>
      </c>
      <c r="B227" s="103"/>
      <c r="C227" s="100"/>
      <c r="D227" s="104" t="s">
        <v>371</v>
      </c>
      <c r="E227" s="104" t="s">
        <v>175</v>
      </c>
      <c r="F227" s="85" t="s">
        <v>372</v>
      </c>
      <c r="G227" s="85" t="s">
        <v>509</v>
      </c>
      <c r="H227" s="85"/>
      <c r="I227" s="85"/>
      <c r="J227" s="81"/>
      <c r="K227" s="81"/>
      <c r="L227" s="81"/>
      <c r="M227" s="81"/>
      <c r="N227" s="81"/>
      <c r="O227" s="81"/>
      <c r="P227" s="81"/>
      <c r="Q227" s="81"/>
      <c r="R227" s="81"/>
    </row>
    <row r="228" spans="1:18" ht="22">
      <c r="A228" s="74"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75-2-1</v>
      </c>
      <c r="B228" s="100"/>
      <c r="C228" s="100"/>
      <c r="D228" s="103"/>
      <c r="E228" s="103"/>
      <c r="F228" s="85" t="s">
        <v>373</v>
      </c>
      <c r="G228" s="85" t="s">
        <v>509</v>
      </c>
      <c r="H228" s="85"/>
      <c r="I228" s="85"/>
      <c r="J228" s="81"/>
      <c r="K228" s="81"/>
      <c r="L228" s="81"/>
      <c r="M228" s="81"/>
      <c r="N228" s="81"/>
      <c r="O228" s="81"/>
      <c r="P228" s="81"/>
      <c r="Q228" s="81"/>
      <c r="R228" s="81"/>
    </row>
    <row r="229" spans="1:18" ht="22">
      <c r="A229" s="74"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75-3-1</v>
      </c>
      <c r="B229" s="100"/>
      <c r="C229" s="100"/>
      <c r="D229" s="103"/>
      <c r="E229" s="103"/>
      <c r="F229" s="85" t="s">
        <v>374</v>
      </c>
      <c r="G229" s="85" t="s">
        <v>509</v>
      </c>
      <c r="H229" s="85"/>
      <c r="I229" s="85"/>
      <c r="J229" s="81"/>
      <c r="K229" s="81"/>
      <c r="L229" s="81"/>
      <c r="M229" s="81"/>
      <c r="N229" s="81"/>
      <c r="O229" s="81"/>
      <c r="P229" s="81"/>
      <c r="Q229" s="81"/>
      <c r="R229" s="81"/>
    </row>
    <row r="230" spans="1:18">
      <c r="A230" s="74"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75-4-1</v>
      </c>
      <c r="B230" s="100"/>
      <c r="C230" s="100"/>
      <c r="D230" s="103"/>
      <c r="E230" s="103"/>
      <c r="F230" s="85" t="s">
        <v>360</v>
      </c>
      <c r="G230" s="85" t="s">
        <v>509</v>
      </c>
      <c r="H230" s="85"/>
      <c r="I230" s="85"/>
      <c r="J230" s="81"/>
      <c r="K230" s="81"/>
      <c r="L230" s="81"/>
      <c r="M230" s="81"/>
      <c r="N230" s="81"/>
      <c r="O230" s="81"/>
      <c r="P230" s="81"/>
      <c r="Q230" s="81"/>
      <c r="R230" s="81"/>
    </row>
    <row r="231" spans="1:18" ht="22">
      <c r="A231" s="74"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75-5-1</v>
      </c>
      <c r="B231" s="100"/>
      <c r="C231" s="100"/>
      <c r="D231" s="103"/>
      <c r="E231" s="103"/>
      <c r="F231" s="85" t="s">
        <v>361</v>
      </c>
      <c r="G231" s="85" t="s">
        <v>509</v>
      </c>
      <c r="H231" s="85"/>
      <c r="I231" s="85"/>
      <c r="J231" s="81"/>
      <c r="K231" s="81"/>
      <c r="L231" s="81"/>
      <c r="M231" s="81"/>
      <c r="N231" s="81"/>
      <c r="O231" s="81"/>
      <c r="P231" s="81"/>
      <c r="Q231" s="81"/>
      <c r="R231" s="81"/>
    </row>
    <row r="232" spans="1:18" ht="44">
      <c r="A232" s="74"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75-6-1</v>
      </c>
      <c r="B232" s="100"/>
      <c r="C232" s="100"/>
      <c r="D232" s="103"/>
      <c r="E232" s="103"/>
      <c r="F232" s="85" t="s">
        <v>375</v>
      </c>
      <c r="G232" s="85" t="s">
        <v>509</v>
      </c>
      <c r="H232" s="85"/>
      <c r="I232" s="85"/>
      <c r="J232" s="81"/>
      <c r="K232" s="81"/>
      <c r="L232" s="81"/>
      <c r="M232" s="81"/>
      <c r="N232" s="81"/>
      <c r="O232" s="81"/>
      <c r="P232" s="81"/>
      <c r="Q232" s="81"/>
      <c r="R232" s="81"/>
    </row>
    <row r="233" spans="1:18" ht="33">
      <c r="A233" s="74"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75-7-1</v>
      </c>
      <c r="B233" s="100"/>
      <c r="C233" s="100"/>
      <c r="D233" s="103"/>
      <c r="E233" s="103"/>
      <c r="F233" s="85" t="s">
        <v>376</v>
      </c>
      <c r="G233" s="85" t="s">
        <v>509</v>
      </c>
      <c r="H233" s="85"/>
      <c r="I233" s="85"/>
      <c r="J233" s="81"/>
      <c r="K233" s="81"/>
      <c r="L233" s="81"/>
      <c r="M233" s="81"/>
      <c r="N233" s="81"/>
      <c r="O233" s="81"/>
      <c r="P233" s="81"/>
      <c r="Q233" s="81"/>
      <c r="R233" s="81"/>
    </row>
    <row r="234" spans="1:18" ht="33">
      <c r="A234" s="74"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75-8-1</v>
      </c>
      <c r="B234" s="100"/>
      <c r="C234" s="100"/>
      <c r="D234" s="103"/>
      <c r="E234" s="103"/>
      <c r="F234" s="85" t="s">
        <v>377</v>
      </c>
      <c r="G234" s="85" t="s">
        <v>509</v>
      </c>
      <c r="H234" s="85"/>
      <c r="I234" s="85"/>
      <c r="J234" s="81"/>
      <c r="K234" s="81"/>
      <c r="L234" s="81"/>
      <c r="M234" s="81"/>
      <c r="N234" s="81"/>
      <c r="O234" s="81"/>
      <c r="P234" s="81"/>
      <c r="Q234" s="81"/>
      <c r="R234" s="81"/>
    </row>
    <row r="235" spans="1:18" ht="44">
      <c r="A235" s="74"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75-9-1</v>
      </c>
      <c r="B235" s="100"/>
      <c r="C235" s="100"/>
      <c r="D235" s="103"/>
      <c r="E235" s="103"/>
      <c r="F235" s="85" t="s">
        <v>378</v>
      </c>
      <c r="G235" s="85" t="s">
        <v>509</v>
      </c>
      <c r="H235" s="85"/>
      <c r="I235" s="85"/>
      <c r="J235" s="81"/>
      <c r="K235" s="81"/>
      <c r="L235" s="81"/>
      <c r="M235" s="81"/>
      <c r="N235" s="81"/>
      <c r="O235" s="81"/>
      <c r="P235" s="81"/>
      <c r="Q235" s="81"/>
      <c r="R235" s="81"/>
    </row>
    <row r="236" spans="1:18" ht="33">
      <c r="A236" s="74"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75-10-1</v>
      </c>
      <c r="B236" s="100"/>
      <c r="C236" s="100"/>
      <c r="D236" s="103"/>
      <c r="E236" s="103"/>
      <c r="F236" s="85" t="s">
        <v>379</v>
      </c>
      <c r="G236" s="85" t="s">
        <v>509</v>
      </c>
      <c r="H236" s="85"/>
      <c r="I236" s="85"/>
      <c r="J236" s="81"/>
      <c r="K236" s="81"/>
      <c r="L236" s="81"/>
      <c r="M236" s="81"/>
      <c r="N236" s="81"/>
      <c r="O236" s="81"/>
      <c r="P236" s="81"/>
      <c r="Q236" s="81"/>
      <c r="R236" s="81"/>
    </row>
    <row r="237" spans="1:18" ht="33">
      <c r="A237" s="74"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75-11-1</v>
      </c>
      <c r="B237" s="100"/>
      <c r="C237" s="100"/>
      <c r="D237" s="103"/>
      <c r="E237" s="103"/>
      <c r="F237" s="85" t="s">
        <v>380</v>
      </c>
      <c r="G237" s="85" t="s">
        <v>509</v>
      </c>
      <c r="H237" s="85"/>
      <c r="I237" s="85"/>
      <c r="J237" s="81"/>
      <c r="K237" s="81"/>
      <c r="L237" s="81"/>
      <c r="M237" s="81"/>
      <c r="N237" s="81"/>
      <c r="O237" s="81"/>
      <c r="P237" s="81"/>
      <c r="Q237" s="81"/>
      <c r="R237" s="81"/>
    </row>
    <row r="238" spans="1:18" ht="22">
      <c r="A238" s="74"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75-12-1</v>
      </c>
      <c r="B238" s="100"/>
      <c r="C238" s="100"/>
      <c r="D238" s="103"/>
      <c r="E238" s="103"/>
      <c r="F238" s="85" t="s">
        <v>381</v>
      </c>
      <c r="G238" s="85" t="s">
        <v>509</v>
      </c>
      <c r="H238" s="85"/>
      <c r="I238" s="85"/>
      <c r="J238" s="81"/>
      <c r="K238" s="81"/>
      <c r="L238" s="81"/>
      <c r="M238" s="81"/>
      <c r="N238" s="81"/>
      <c r="O238" s="81"/>
      <c r="P238" s="81"/>
      <c r="Q238" s="81"/>
      <c r="R238" s="81"/>
    </row>
    <row r="239" spans="1:18" ht="22">
      <c r="A239" s="74"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75-13-1</v>
      </c>
      <c r="B239" s="100"/>
      <c r="C239" s="100"/>
      <c r="D239" s="103"/>
      <c r="E239" s="103"/>
      <c r="F239" s="85" t="s">
        <v>382</v>
      </c>
      <c r="G239" s="85" t="s">
        <v>509</v>
      </c>
      <c r="H239" s="85"/>
      <c r="I239" s="85"/>
      <c r="J239" s="81"/>
      <c r="K239" s="81"/>
      <c r="L239" s="81"/>
      <c r="M239" s="81"/>
      <c r="N239" s="81"/>
      <c r="O239" s="81"/>
      <c r="P239" s="81"/>
      <c r="Q239" s="81"/>
      <c r="R239" s="81"/>
    </row>
    <row r="240" spans="1:18" ht="33">
      <c r="A240" s="74"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75-14-1</v>
      </c>
      <c r="B240" s="100"/>
      <c r="C240" s="100"/>
      <c r="D240" s="103"/>
      <c r="E240" s="103"/>
      <c r="F240" s="85" t="s">
        <v>383</v>
      </c>
      <c r="G240" s="85" t="s">
        <v>509</v>
      </c>
      <c r="H240" s="85"/>
      <c r="I240" s="85"/>
      <c r="J240" s="81"/>
      <c r="K240" s="81"/>
      <c r="L240" s="81"/>
      <c r="M240" s="81"/>
      <c r="N240" s="81"/>
      <c r="O240" s="81"/>
      <c r="P240" s="81"/>
      <c r="Q240" s="81"/>
      <c r="R240" s="81"/>
    </row>
    <row r="241" spans="1:18" ht="22">
      <c r="A241" s="74"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75-15-1</v>
      </c>
      <c r="B241" s="100"/>
      <c r="C241" s="100"/>
      <c r="D241" s="103"/>
      <c r="E241" s="105"/>
      <c r="F241" s="85" t="s">
        <v>370</v>
      </c>
      <c r="G241" s="85" t="s">
        <v>509</v>
      </c>
      <c r="H241" s="85"/>
      <c r="I241" s="85"/>
      <c r="J241" s="81"/>
      <c r="K241" s="81"/>
      <c r="L241" s="81"/>
      <c r="M241" s="81"/>
      <c r="N241" s="81"/>
      <c r="O241" s="81"/>
      <c r="P241" s="81"/>
      <c r="Q241" s="81"/>
      <c r="R241" s="81"/>
    </row>
    <row r="242" spans="1:18" ht="44">
      <c r="A242" s="74"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76-1-1</v>
      </c>
      <c r="B242" s="100"/>
      <c r="C242" s="100"/>
      <c r="D242" s="103"/>
      <c r="E242" s="103" t="s">
        <v>384</v>
      </c>
      <c r="F242" s="85" t="s">
        <v>385</v>
      </c>
      <c r="G242" s="85" t="s">
        <v>509</v>
      </c>
      <c r="H242" s="85"/>
      <c r="I242" s="85"/>
      <c r="J242" s="81"/>
      <c r="K242" s="81"/>
      <c r="L242" s="81"/>
      <c r="M242" s="81"/>
      <c r="N242" s="81"/>
      <c r="O242" s="81"/>
      <c r="P242" s="81"/>
      <c r="Q242" s="81"/>
      <c r="R242" s="81"/>
    </row>
    <row r="243" spans="1:18" ht="44">
      <c r="A243" s="74"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76-2-1</v>
      </c>
      <c r="B243" s="100"/>
      <c r="C243" s="100"/>
      <c r="D243" s="103"/>
      <c r="E243" s="103"/>
      <c r="F243" s="85" t="s">
        <v>386</v>
      </c>
      <c r="G243" s="85" t="s">
        <v>509</v>
      </c>
      <c r="H243" s="85"/>
      <c r="I243" s="85"/>
      <c r="J243" s="81"/>
      <c r="K243" s="81"/>
      <c r="L243" s="81"/>
      <c r="M243" s="81"/>
      <c r="N243" s="81"/>
      <c r="O243" s="81"/>
      <c r="P243" s="81"/>
      <c r="Q243" s="81"/>
      <c r="R243" s="81"/>
    </row>
    <row r="244" spans="1:18" ht="33">
      <c r="A244" s="74"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76-3-1</v>
      </c>
      <c r="B244" s="100"/>
      <c r="C244" s="100"/>
      <c r="D244" s="103"/>
      <c r="E244" s="105"/>
      <c r="F244" s="85" t="s">
        <v>387</v>
      </c>
      <c r="G244" s="85" t="s">
        <v>509</v>
      </c>
      <c r="H244" s="85"/>
      <c r="I244" s="85"/>
      <c r="J244" s="81"/>
      <c r="K244" s="81"/>
      <c r="L244" s="81"/>
      <c r="M244" s="81"/>
      <c r="N244" s="81"/>
      <c r="O244" s="81"/>
      <c r="P244" s="81"/>
      <c r="Q244" s="81"/>
      <c r="R244" s="81"/>
    </row>
    <row r="245" spans="1:18" ht="33">
      <c r="A245" s="74"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77-1-1</v>
      </c>
      <c r="B245" s="100"/>
      <c r="C245" s="100"/>
      <c r="D245" s="103"/>
      <c r="E245" s="105" t="s">
        <v>200</v>
      </c>
      <c r="F245" s="85" t="s">
        <v>388</v>
      </c>
      <c r="G245" s="85" t="s">
        <v>509</v>
      </c>
      <c r="H245" s="85"/>
      <c r="I245" s="85"/>
      <c r="J245" s="81"/>
      <c r="K245" s="81"/>
      <c r="L245" s="81"/>
      <c r="M245" s="81"/>
      <c r="N245" s="81"/>
      <c r="O245" s="81"/>
      <c r="P245" s="81"/>
      <c r="Q245" s="81"/>
      <c r="R245" s="81"/>
    </row>
    <row r="246" spans="1:18" ht="22">
      <c r="A246" s="74"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78-1-1</v>
      </c>
      <c r="B246" s="105"/>
      <c r="C246" s="105"/>
      <c r="D246" s="105"/>
      <c r="E246" s="120" t="s">
        <v>389</v>
      </c>
      <c r="F246" s="85" t="s">
        <v>390</v>
      </c>
      <c r="G246" s="85" t="s">
        <v>509</v>
      </c>
      <c r="H246" s="85"/>
      <c r="I246" s="85"/>
      <c r="J246" s="81"/>
      <c r="K246" s="81"/>
      <c r="L246" s="81"/>
      <c r="M246" s="81"/>
      <c r="N246" s="81"/>
      <c r="O246" s="81"/>
      <c r="P246" s="81"/>
      <c r="Q246" s="81"/>
      <c r="R246" s="81"/>
    </row>
    <row r="247" spans="1:18" ht="22">
      <c r="A247" s="74"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79-1-1</v>
      </c>
      <c r="B247" s="104" t="s">
        <v>391</v>
      </c>
      <c r="C247" s="104" t="s">
        <v>242</v>
      </c>
      <c r="D247" s="104" t="s">
        <v>102</v>
      </c>
      <c r="E247" s="85" t="s">
        <v>102</v>
      </c>
      <c r="F247" s="85" t="s">
        <v>392</v>
      </c>
      <c r="G247" s="125" t="s">
        <v>510</v>
      </c>
      <c r="H247" s="85"/>
      <c r="I247" s="85"/>
      <c r="J247" s="81"/>
      <c r="K247" s="81"/>
      <c r="L247" s="81"/>
      <c r="M247" s="81"/>
      <c r="N247" s="81"/>
      <c r="O247" s="81"/>
      <c r="P247" s="81"/>
      <c r="Q247" s="81"/>
      <c r="R247" s="81"/>
    </row>
    <row r="248" spans="1:18" ht="22">
      <c r="A248" s="74"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80-1-1</v>
      </c>
      <c r="B248" s="100"/>
      <c r="C248" s="103"/>
      <c r="D248" s="103"/>
      <c r="E248" s="103" t="s">
        <v>186</v>
      </c>
      <c r="F248" s="85" t="s">
        <v>393</v>
      </c>
      <c r="G248" s="125" t="s">
        <v>510</v>
      </c>
      <c r="H248" s="85"/>
      <c r="I248" s="85"/>
      <c r="J248" s="81"/>
      <c r="K248" s="81"/>
      <c r="L248" s="81"/>
      <c r="M248" s="81"/>
      <c r="N248" s="81"/>
      <c r="O248" s="81"/>
      <c r="P248" s="81"/>
      <c r="Q248" s="81"/>
      <c r="R248" s="81"/>
    </row>
    <row r="249" spans="1:18" ht="22">
      <c r="A249" s="74"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80-2-1</v>
      </c>
      <c r="B249" s="100"/>
      <c r="C249" s="103"/>
      <c r="D249" s="103"/>
      <c r="E249" s="103"/>
      <c r="F249" s="85" t="s">
        <v>394</v>
      </c>
      <c r="G249" s="125" t="s">
        <v>510</v>
      </c>
      <c r="H249" s="85"/>
      <c r="I249" s="85"/>
      <c r="J249" s="81"/>
      <c r="K249" s="81"/>
      <c r="L249" s="81"/>
      <c r="M249" s="81"/>
      <c r="N249" s="81"/>
      <c r="O249" s="81"/>
      <c r="P249" s="81"/>
      <c r="Q249" s="81"/>
      <c r="R249" s="81"/>
    </row>
    <row r="250" spans="1:18" ht="22">
      <c r="A250" s="74"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80-3-1</v>
      </c>
      <c r="B250" s="100"/>
      <c r="C250" s="103"/>
      <c r="D250" s="103"/>
      <c r="E250" s="103"/>
      <c r="F250" s="85" t="s">
        <v>395</v>
      </c>
      <c r="G250" s="125" t="s">
        <v>510</v>
      </c>
      <c r="H250" s="85"/>
      <c r="I250" s="85"/>
      <c r="J250" s="81"/>
      <c r="K250" s="81"/>
      <c r="L250" s="81"/>
      <c r="M250" s="81"/>
      <c r="N250" s="81"/>
      <c r="O250" s="81"/>
      <c r="P250" s="81"/>
      <c r="Q250" s="81"/>
      <c r="R250" s="81"/>
    </row>
    <row r="251" spans="1:18" ht="22">
      <c r="A251" s="74"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80-4-1</v>
      </c>
      <c r="B251" s="100"/>
      <c r="C251" s="103"/>
      <c r="D251" s="103"/>
      <c r="E251" s="103"/>
      <c r="F251" s="85" t="s">
        <v>396</v>
      </c>
      <c r="G251" s="125" t="s">
        <v>510</v>
      </c>
      <c r="H251" s="85"/>
      <c r="I251" s="85"/>
      <c r="J251" s="81"/>
      <c r="K251" s="81"/>
      <c r="L251" s="81"/>
      <c r="M251" s="81"/>
      <c r="N251" s="81"/>
      <c r="O251" s="81"/>
      <c r="P251" s="81"/>
      <c r="Q251" s="81"/>
      <c r="R251" s="81"/>
    </row>
    <row r="252" spans="1:18" ht="33">
      <c r="A252" s="74"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80-5-1</v>
      </c>
      <c r="B252" s="100"/>
      <c r="C252" s="103"/>
      <c r="D252" s="103"/>
      <c r="E252" s="105"/>
      <c r="F252" s="85" t="s">
        <v>397</v>
      </c>
      <c r="G252" s="125" t="s">
        <v>510</v>
      </c>
      <c r="H252" s="85"/>
      <c r="I252" s="85"/>
      <c r="J252" s="81"/>
      <c r="K252" s="81"/>
      <c r="L252" s="81"/>
      <c r="M252" s="81"/>
      <c r="N252" s="81"/>
      <c r="O252" s="81"/>
      <c r="P252" s="81"/>
      <c r="Q252" s="81"/>
      <c r="R252" s="81"/>
    </row>
    <row r="253" spans="1:18" ht="33">
      <c r="A253" s="74"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81-1-1</v>
      </c>
      <c r="B253" s="100"/>
      <c r="C253" s="103"/>
      <c r="D253" s="103"/>
      <c r="E253" s="103" t="s">
        <v>253</v>
      </c>
      <c r="F253" s="85" t="s">
        <v>398</v>
      </c>
      <c r="G253" s="125" t="s">
        <v>510</v>
      </c>
      <c r="H253" s="85"/>
      <c r="I253" s="85"/>
      <c r="J253" s="81"/>
      <c r="K253" s="81"/>
      <c r="L253" s="81"/>
      <c r="M253" s="81"/>
      <c r="N253" s="81"/>
      <c r="O253" s="81"/>
      <c r="P253" s="81"/>
      <c r="Q253" s="81"/>
      <c r="R253" s="81"/>
    </row>
    <row r="254" spans="1:18" ht="33">
      <c r="A254" s="74"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81-2-1</v>
      </c>
      <c r="B254" s="100"/>
      <c r="C254" s="103"/>
      <c r="D254" s="103"/>
      <c r="E254" s="103"/>
      <c r="F254" s="85" t="s">
        <v>399</v>
      </c>
      <c r="G254" s="125" t="s">
        <v>510</v>
      </c>
      <c r="H254" s="85"/>
      <c r="I254" s="85"/>
      <c r="J254" s="81"/>
      <c r="K254" s="81"/>
      <c r="L254" s="81"/>
      <c r="M254" s="81"/>
      <c r="N254" s="81"/>
      <c r="O254" s="81"/>
      <c r="P254" s="81"/>
      <c r="Q254" s="81"/>
      <c r="R254" s="81"/>
    </row>
    <row r="255" spans="1:18" ht="44">
      <c r="A255" s="74"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81-3-1</v>
      </c>
      <c r="B255" s="100"/>
      <c r="C255" s="103"/>
      <c r="D255" s="103"/>
      <c r="E255" s="103"/>
      <c r="F255" s="85" t="s">
        <v>400</v>
      </c>
      <c r="G255" s="125" t="s">
        <v>510</v>
      </c>
      <c r="H255" s="85"/>
      <c r="I255" s="85"/>
      <c r="J255" s="81"/>
      <c r="K255" s="81"/>
      <c r="L255" s="81"/>
      <c r="M255" s="81"/>
      <c r="N255" s="81"/>
      <c r="O255" s="81"/>
      <c r="P255" s="81"/>
      <c r="Q255" s="81"/>
      <c r="R255" s="81"/>
    </row>
    <row r="256" spans="1:18" ht="44">
      <c r="A256" s="74"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81-4-1</v>
      </c>
      <c r="B256" s="100"/>
      <c r="C256" s="103"/>
      <c r="D256" s="103"/>
      <c r="E256" s="103"/>
      <c r="F256" s="85" t="s">
        <v>401</v>
      </c>
      <c r="G256" s="125" t="s">
        <v>510</v>
      </c>
      <c r="H256" s="85"/>
      <c r="I256" s="85"/>
      <c r="J256" s="81"/>
      <c r="K256" s="81"/>
      <c r="L256" s="81"/>
      <c r="M256" s="81"/>
      <c r="N256" s="81"/>
      <c r="O256" s="81"/>
      <c r="P256" s="81"/>
      <c r="Q256" s="81"/>
      <c r="R256" s="81"/>
    </row>
    <row r="257" spans="1:18" ht="33">
      <c r="A257" s="74"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81-5-1</v>
      </c>
      <c r="B257" s="100"/>
      <c r="C257" s="103"/>
      <c r="D257" s="103"/>
      <c r="E257" s="105"/>
      <c r="F257" s="85" t="s">
        <v>402</v>
      </c>
      <c r="G257" s="125" t="s">
        <v>510</v>
      </c>
      <c r="H257" s="85"/>
      <c r="I257" s="85"/>
      <c r="J257" s="81"/>
      <c r="K257" s="81"/>
      <c r="L257" s="81"/>
      <c r="M257" s="81"/>
      <c r="N257" s="81"/>
      <c r="O257" s="81"/>
      <c r="P257" s="81"/>
      <c r="Q257" s="81"/>
      <c r="R257" s="81"/>
    </row>
    <row r="258" spans="1:18" ht="33">
      <c r="A258" s="74"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82-1-1</v>
      </c>
      <c r="B258" s="100"/>
      <c r="C258" s="117"/>
      <c r="D258" s="105"/>
      <c r="E258" s="105" t="s">
        <v>259</v>
      </c>
      <c r="F258" s="85" t="s">
        <v>403</v>
      </c>
      <c r="G258" s="125" t="s">
        <v>510</v>
      </c>
      <c r="H258" s="85"/>
      <c r="I258" s="85"/>
      <c r="J258" s="81"/>
      <c r="K258" s="81"/>
      <c r="L258" s="81"/>
      <c r="M258" s="81"/>
      <c r="N258" s="81"/>
      <c r="O258" s="81"/>
      <c r="P258" s="81"/>
      <c r="Q258" s="81"/>
      <c r="R258" s="81"/>
    </row>
    <row r="259" spans="1:18" ht="33">
      <c r="A259" s="74"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83-1-1</v>
      </c>
      <c r="B259" s="105"/>
      <c r="C259" s="105" t="s">
        <v>94</v>
      </c>
      <c r="D259" s="105" t="s">
        <v>262</v>
      </c>
      <c r="E259" s="105" t="s">
        <v>263</v>
      </c>
      <c r="F259" s="85" t="s">
        <v>404</v>
      </c>
      <c r="G259" s="125" t="s">
        <v>510</v>
      </c>
      <c r="H259" s="85"/>
      <c r="I259" s="85"/>
      <c r="J259" s="81"/>
      <c r="K259" s="81"/>
      <c r="L259" s="81"/>
      <c r="M259" s="81"/>
      <c r="N259" s="81"/>
      <c r="O259" s="81"/>
      <c r="P259" s="81"/>
      <c r="Q259" s="81"/>
      <c r="R259" s="81"/>
    </row>
    <row r="260" spans="1:18" ht="22">
      <c r="A260" s="74"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84-1-1</v>
      </c>
      <c r="B260" s="104" t="s">
        <v>405</v>
      </c>
      <c r="C260" s="104" t="s">
        <v>406</v>
      </c>
      <c r="D260" s="104" t="s">
        <v>102</v>
      </c>
      <c r="E260" s="104" t="s">
        <v>102</v>
      </c>
      <c r="F260" s="85" t="s">
        <v>407</v>
      </c>
      <c r="G260" s="125" t="s">
        <v>510</v>
      </c>
      <c r="H260" s="85"/>
      <c r="I260" s="85"/>
      <c r="J260" s="81"/>
      <c r="K260" s="81"/>
      <c r="L260" s="81"/>
      <c r="M260" s="81"/>
      <c r="N260" s="81"/>
      <c r="O260" s="81"/>
      <c r="P260" s="81"/>
      <c r="Q260" s="81"/>
      <c r="R260" s="81"/>
    </row>
    <row r="261" spans="1:18" ht="22">
      <c r="A261" s="74"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84-2-1</v>
      </c>
      <c r="B261" s="100"/>
      <c r="C261" s="103"/>
      <c r="D261" s="105"/>
      <c r="E261" s="105"/>
      <c r="F261" s="85" t="s">
        <v>408</v>
      </c>
      <c r="G261" s="125" t="s">
        <v>510</v>
      </c>
      <c r="H261" s="85"/>
      <c r="I261" s="85"/>
      <c r="J261" s="81"/>
      <c r="K261" s="81"/>
      <c r="L261" s="81"/>
      <c r="M261" s="81"/>
      <c r="N261" s="81"/>
      <c r="O261" s="81"/>
      <c r="P261" s="81"/>
      <c r="Q261" s="81"/>
      <c r="R261" s="81"/>
    </row>
    <row r="262" spans="1:18" ht="33">
      <c r="A262" s="74"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85-1-1</v>
      </c>
      <c r="B262" s="100"/>
      <c r="C262" s="103"/>
      <c r="D262" s="103" t="s">
        <v>207</v>
      </c>
      <c r="E262" s="103" t="s">
        <v>102</v>
      </c>
      <c r="F262" s="85" t="s">
        <v>409</v>
      </c>
      <c r="G262" s="125" t="s">
        <v>510</v>
      </c>
      <c r="H262" s="85"/>
      <c r="I262" s="85"/>
      <c r="J262" s="81"/>
      <c r="K262" s="81"/>
      <c r="L262" s="81"/>
      <c r="M262" s="81"/>
      <c r="N262" s="81"/>
      <c r="O262" s="81"/>
      <c r="P262" s="81"/>
      <c r="Q262" s="81"/>
      <c r="R262" s="81"/>
    </row>
    <row r="263" spans="1:18" ht="33">
      <c r="A263" s="74"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85-2-1</v>
      </c>
      <c r="B263" s="100"/>
      <c r="C263" s="105"/>
      <c r="D263" s="105"/>
      <c r="E263" s="105"/>
      <c r="F263" s="85" t="s">
        <v>410</v>
      </c>
      <c r="G263" s="125" t="s">
        <v>510</v>
      </c>
      <c r="H263" s="85"/>
      <c r="I263" s="85"/>
      <c r="J263" s="81"/>
      <c r="K263" s="81"/>
      <c r="L263" s="81"/>
      <c r="M263" s="81"/>
      <c r="N263" s="81"/>
      <c r="O263" s="81"/>
      <c r="P263" s="81"/>
      <c r="Q263" s="81"/>
      <c r="R263" s="81"/>
    </row>
    <row r="264" spans="1:18" ht="33">
      <c r="A264" s="74"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86-1-1</v>
      </c>
      <c r="B264" s="100"/>
      <c r="C264" s="109" t="s">
        <v>411</v>
      </c>
      <c r="D264" s="103" t="s">
        <v>262</v>
      </c>
      <c r="E264" s="85" t="s">
        <v>280</v>
      </c>
      <c r="F264" s="85" t="s">
        <v>412</v>
      </c>
      <c r="G264" s="125" t="s">
        <v>510</v>
      </c>
      <c r="H264" s="85"/>
      <c r="I264" s="85"/>
      <c r="J264" s="81"/>
      <c r="K264" s="81"/>
      <c r="L264" s="81"/>
      <c r="M264" s="81"/>
      <c r="N264" s="81"/>
      <c r="O264" s="81"/>
      <c r="P264" s="81"/>
      <c r="Q264" s="81"/>
      <c r="R264" s="81"/>
    </row>
    <row r="265" spans="1:18" ht="33">
      <c r="A265" s="74"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87-1-1</v>
      </c>
      <c r="B265" s="100"/>
      <c r="C265" s="109"/>
      <c r="D265" s="103"/>
      <c r="E265" s="85" t="s">
        <v>284</v>
      </c>
      <c r="F265" s="85" t="s">
        <v>413</v>
      </c>
      <c r="G265" s="125" t="s">
        <v>510</v>
      </c>
      <c r="H265" s="85"/>
      <c r="I265" s="85"/>
      <c r="J265" s="81"/>
      <c r="K265" s="81"/>
      <c r="L265" s="81"/>
      <c r="M265" s="81"/>
      <c r="N265" s="81"/>
      <c r="O265" s="81"/>
      <c r="P265" s="81"/>
      <c r="Q265" s="81"/>
      <c r="R265" s="81"/>
    </row>
    <row r="266" spans="1:18" ht="33">
      <c r="A266" s="74"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88-1-1</v>
      </c>
      <c r="B266" s="100"/>
      <c r="C266" s="100"/>
      <c r="D266" s="109"/>
      <c r="E266" s="85" t="s">
        <v>263</v>
      </c>
      <c r="F266" s="85" t="s">
        <v>414</v>
      </c>
      <c r="G266" s="125" t="s">
        <v>510</v>
      </c>
      <c r="H266" s="85"/>
      <c r="I266" s="85"/>
      <c r="J266" s="81"/>
      <c r="K266" s="81"/>
      <c r="L266" s="81"/>
      <c r="M266" s="81"/>
      <c r="N266" s="81"/>
      <c r="O266" s="81"/>
      <c r="P266" s="81"/>
      <c r="Q266" s="81"/>
      <c r="R266" s="81"/>
    </row>
    <row r="267" spans="1:18" ht="33">
      <c r="A267" s="74"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89-1-1</v>
      </c>
      <c r="B267" s="100"/>
      <c r="C267" s="109"/>
      <c r="D267" s="105"/>
      <c r="E267" s="85" t="s">
        <v>287</v>
      </c>
      <c r="F267" s="85" t="s">
        <v>415</v>
      </c>
      <c r="G267" s="125" t="s">
        <v>510</v>
      </c>
      <c r="H267" s="85"/>
      <c r="I267" s="85"/>
      <c r="J267" s="81"/>
      <c r="K267" s="81"/>
      <c r="L267" s="81"/>
      <c r="M267" s="81"/>
      <c r="N267" s="81"/>
      <c r="O267" s="81"/>
      <c r="P267" s="81"/>
      <c r="Q267" s="81"/>
      <c r="R267" s="81"/>
    </row>
    <row r="268" spans="1:18" ht="22">
      <c r="A268" s="74"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90-1-1</v>
      </c>
      <c r="B268" s="100"/>
      <c r="C268" s="100"/>
      <c r="D268" s="103" t="s">
        <v>296</v>
      </c>
      <c r="E268" s="100" t="s">
        <v>102</v>
      </c>
      <c r="F268" s="85" t="s">
        <v>416</v>
      </c>
      <c r="G268" s="125" t="s">
        <v>510</v>
      </c>
      <c r="H268" s="85"/>
      <c r="I268" s="85"/>
      <c r="J268" s="81"/>
      <c r="K268" s="81"/>
      <c r="L268" s="81"/>
      <c r="M268" s="81"/>
      <c r="N268" s="81"/>
      <c r="O268" s="81"/>
      <c r="P268" s="81"/>
      <c r="Q268" s="81"/>
      <c r="R268" s="81"/>
    </row>
    <row r="269" spans="1:18" ht="22">
      <c r="A269" s="74"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90-2-1</v>
      </c>
      <c r="B269" s="100"/>
      <c r="C269" s="100"/>
      <c r="D269" s="109"/>
      <c r="E269" s="105"/>
      <c r="F269" s="85" t="s">
        <v>417</v>
      </c>
      <c r="G269" s="125" t="s">
        <v>510</v>
      </c>
      <c r="H269" s="85"/>
      <c r="I269" s="85"/>
      <c r="J269" s="81"/>
      <c r="K269" s="81"/>
      <c r="L269" s="81"/>
      <c r="M269" s="81"/>
      <c r="N269" s="81"/>
      <c r="O269" s="81"/>
      <c r="P269" s="81"/>
      <c r="Q269" s="81"/>
      <c r="R269" s="81"/>
    </row>
    <row r="270" spans="1:18" ht="33">
      <c r="A270" s="74"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91-1-1</v>
      </c>
      <c r="B270" s="100"/>
      <c r="C270" s="100"/>
      <c r="D270" s="109"/>
      <c r="E270" s="103" t="s">
        <v>175</v>
      </c>
      <c r="F270" s="85" t="s">
        <v>418</v>
      </c>
      <c r="G270" s="125" t="s">
        <v>510</v>
      </c>
      <c r="H270" s="85"/>
      <c r="I270" s="85"/>
      <c r="J270" s="81"/>
      <c r="K270" s="81"/>
      <c r="L270" s="81"/>
      <c r="M270" s="81"/>
      <c r="N270" s="81"/>
      <c r="O270" s="81"/>
      <c r="P270" s="81"/>
      <c r="Q270" s="81"/>
      <c r="R270" s="81"/>
    </row>
    <row r="271" spans="1:18" ht="33">
      <c r="A271" s="74"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91-2-1</v>
      </c>
      <c r="B271" s="100"/>
      <c r="C271" s="100"/>
      <c r="D271" s="109"/>
      <c r="E271" s="103"/>
      <c r="F271" s="85" t="s">
        <v>419</v>
      </c>
      <c r="G271" s="125" t="s">
        <v>510</v>
      </c>
      <c r="H271" s="85"/>
      <c r="I271" s="85"/>
      <c r="J271" s="81"/>
      <c r="K271" s="81"/>
      <c r="L271" s="81"/>
      <c r="M271" s="81"/>
      <c r="N271" s="81"/>
      <c r="O271" s="81"/>
      <c r="P271" s="81"/>
      <c r="Q271" s="81"/>
      <c r="R271" s="81"/>
    </row>
    <row r="272" spans="1:18" ht="33">
      <c r="A272" s="74"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91-3-1</v>
      </c>
      <c r="B272" s="100"/>
      <c r="C272" s="100"/>
      <c r="D272" s="109"/>
      <c r="E272" s="103"/>
      <c r="F272" s="85" t="s">
        <v>420</v>
      </c>
      <c r="G272" s="125" t="s">
        <v>510</v>
      </c>
      <c r="H272" s="85"/>
      <c r="I272" s="85"/>
      <c r="J272" s="81"/>
      <c r="K272" s="81"/>
      <c r="L272" s="81"/>
      <c r="M272" s="81"/>
      <c r="N272" s="81"/>
      <c r="O272" s="81"/>
      <c r="P272" s="81"/>
      <c r="Q272" s="81"/>
      <c r="R272" s="81"/>
    </row>
    <row r="273" spans="1:18" ht="33">
      <c r="A273" s="74"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91-4-1</v>
      </c>
      <c r="B273" s="100"/>
      <c r="C273" s="100"/>
      <c r="D273" s="109"/>
      <c r="E273" s="103"/>
      <c r="F273" s="85" t="s">
        <v>421</v>
      </c>
      <c r="G273" s="125" t="s">
        <v>510</v>
      </c>
      <c r="H273" s="85"/>
      <c r="I273" s="85"/>
      <c r="J273" s="81"/>
      <c r="K273" s="81"/>
      <c r="L273" s="81"/>
      <c r="M273" s="81"/>
      <c r="N273" s="81"/>
      <c r="O273" s="81"/>
      <c r="P273" s="81"/>
      <c r="Q273" s="81"/>
      <c r="R273" s="81"/>
    </row>
    <row r="274" spans="1:18" ht="33">
      <c r="A274" s="74"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91-5-1</v>
      </c>
      <c r="B274" s="103"/>
      <c r="C274" s="103"/>
      <c r="D274" s="103"/>
      <c r="E274" s="100"/>
      <c r="F274" s="85" t="s">
        <v>422</v>
      </c>
      <c r="G274" s="125" t="s">
        <v>510</v>
      </c>
      <c r="H274" s="85"/>
      <c r="I274" s="85"/>
      <c r="J274" s="81"/>
      <c r="K274" s="81"/>
      <c r="L274" s="81"/>
      <c r="M274" s="81"/>
      <c r="N274" s="81"/>
      <c r="O274" s="81"/>
      <c r="P274" s="81"/>
      <c r="Q274" s="81"/>
      <c r="R274" s="81"/>
    </row>
    <row r="275" spans="1:18" ht="22">
      <c r="A275" s="74"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91-6-1</v>
      </c>
      <c r="B275" s="100"/>
      <c r="C275" s="103"/>
      <c r="D275" s="103"/>
      <c r="E275" s="100"/>
      <c r="F275" s="85" t="s">
        <v>423</v>
      </c>
      <c r="G275" s="125" t="s">
        <v>510</v>
      </c>
      <c r="H275" s="85"/>
      <c r="I275" s="85"/>
      <c r="J275" s="81"/>
      <c r="K275" s="81"/>
      <c r="L275" s="81"/>
      <c r="M275" s="81"/>
      <c r="N275" s="81"/>
      <c r="O275" s="81"/>
      <c r="P275" s="81"/>
      <c r="Q275" s="81"/>
      <c r="R275" s="81"/>
    </row>
    <row r="276" spans="1:18" ht="22">
      <c r="A276" s="74"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91-7-1</v>
      </c>
      <c r="B276" s="100"/>
      <c r="C276" s="103"/>
      <c r="D276" s="103"/>
      <c r="E276" s="100"/>
      <c r="F276" s="85" t="s">
        <v>424</v>
      </c>
      <c r="G276" s="125" t="s">
        <v>510</v>
      </c>
      <c r="H276" s="85"/>
      <c r="I276" s="85"/>
      <c r="J276" s="81"/>
      <c r="K276" s="81"/>
      <c r="L276" s="81"/>
      <c r="M276" s="81"/>
      <c r="N276" s="81"/>
      <c r="O276" s="81"/>
      <c r="P276" s="81"/>
      <c r="Q276" s="81"/>
      <c r="R276" s="81"/>
    </row>
    <row r="277" spans="1:18" ht="33">
      <c r="A277" s="74"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91-8-1</v>
      </c>
      <c r="B277" s="100"/>
      <c r="C277" s="103"/>
      <c r="D277" s="103"/>
      <c r="E277" s="100"/>
      <c r="F277" s="85" t="s">
        <v>425</v>
      </c>
      <c r="G277" s="125" t="s">
        <v>510</v>
      </c>
      <c r="H277" s="85"/>
      <c r="I277" s="85"/>
      <c r="J277" s="81"/>
      <c r="K277" s="81"/>
      <c r="L277" s="81"/>
      <c r="M277" s="81"/>
      <c r="N277" s="81"/>
      <c r="O277" s="81"/>
      <c r="P277" s="81"/>
      <c r="Q277" s="81"/>
      <c r="R277" s="81"/>
    </row>
    <row r="278" spans="1:18" ht="33">
      <c r="A278" s="74"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91-9-1</v>
      </c>
      <c r="B278" s="100"/>
      <c r="C278" s="103"/>
      <c r="D278" s="103"/>
      <c r="E278" s="100"/>
      <c r="F278" s="85" t="s">
        <v>426</v>
      </c>
      <c r="G278" s="125" t="s">
        <v>510</v>
      </c>
      <c r="H278" s="85"/>
      <c r="I278" s="85"/>
      <c r="J278" s="81"/>
      <c r="K278" s="81"/>
      <c r="L278" s="81"/>
      <c r="M278" s="81"/>
      <c r="N278" s="81"/>
      <c r="O278" s="81"/>
      <c r="P278" s="81"/>
      <c r="Q278" s="81"/>
      <c r="R278" s="81"/>
    </row>
    <row r="279" spans="1:18" ht="33">
      <c r="A279" s="74"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91-10-1</v>
      </c>
      <c r="B279" s="100"/>
      <c r="C279" s="103"/>
      <c r="D279" s="103"/>
      <c r="E279" s="103"/>
      <c r="F279" s="85" t="s">
        <v>427</v>
      </c>
      <c r="G279" s="125" t="s">
        <v>510</v>
      </c>
      <c r="H279" s="85"/>
      <c r="I279" s="85"/>
      <c r="J279" s="81"/>
      <c r="K279" s="81"/>
      <c r="L279" s="81"/>
      <c r="M279" s="81"/>
      <c r="N279" s="81"/>
      <c r="O279" s="81"/>
      <c r="P279" s="81"/>
      <c r="Q279" s="81"/>
      <c r="R279" s="81"/>
    </row>
    <row r="280" spans="1:18" ht="33">
      <c r="A280" s="74"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91-11-1</v>
      </c>
      <c r="B280" s="100"/>
      <c r="C280" s="103"/>
      <c r="D280" s="103"/>
      <c r="E280" s="105"/>
      <c r="F280" s="85" t="s">
        <v>428</v>
      </c>
      <c r="G280" s="125" t="s">
        <v>510</v>
      </c>
      <c r="H280" s="85"/>
      <c r="I280" s="85"/>
      <c r="J280" s="81"/>
      <c r="K280" s="81"/>
      <c r="L280" s="81"/>
      <c r="M280" s="81"/>
      <c r="N280" s="81"/>
      <c r="O280" s="81"/>
      <c r="P280" s="81"/>
      <c r="Q280" s="81"/>
      <c r="R280" s="81"/>
    </row>
    <row r="281" spans="1:18">
      <c r="A281" s="74"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92-1-1</v>
      </c>
      <c r="B281" s="100"/>
      <c r="C281" s="103"/>
      <c r="D281" s="103"/>
      <c r="E281" s="103" t="s">
        <v>109</v>
      </c>
      <c r="F281" s="85" t="s">
        <v>429</v>
      </c>
      <c r="G281" s="125" t="s">
        <v>510</v>
      </c>
      <c r="H281" s="85"/>
      <c r="I281" s="85"/>
      <c r="J281" s="81"/>
      <c r="K281" s="81"/>
      <c r="L281" s="81"/>
      <c r="M281" s="81"/>
      <c r="N281" s="81"/>
      <c r="O281" s="81"/>
      <c r="P281" s="81"/>
      <c r="Q281" s="81"/>
      <c r="R281" s="81"/>
    </row>
    <row r="282" spans="1:18">
      <c r="A282" s="74"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92-2-1</v>
      </c>
      <c r="B282" s="100"/>
      <c r="C282" s="103"/>
      <c r="D282" s="103"/>
      <c r="E282" s="103"/>
      <c r="F282" s="85" t="s">
        <v>430</v>
      </c>
      <c r="G282" s="125" t="s">
        <v>510</v>
      </c>
      <c r="H282" s="85"/>
      <c r="I282" s="85"/>
      <c r="J282" s="81"/>
      <c r="K282" s="81"/>
      <c r="L282" s="81"/>
      <c r="M282" s="81"/>
      <c r="N282" s="81"/>
      <c r="O282" s="81"/>
      <c r="P282" s="81"/>
      <c r="Q282" s="81"/>
      <c r="R282" s="81"/>
    </row>
    <row r="283" spans="1:18" ht="22">
      <c r="A283" s="74"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92-3-1</v>
      </c>
      <c r="B283" s="100"/>
      <c r="C283" s="100"/>
      <c r="D283" s="103"/>
      <c r="E283" s="103"/>
      <c r="F283" s="85" t="s">
        <v>431</v>
      </c>
      <c r="G283" s="125" t="s">
        <v>510</v>
      </c>
      <c r="H283" s="85"/>
      <c r="I283" s="85"/>
      <c r="J283" s="81"/>
      <c r="K283" s="81"/>
      <c r="L283" s="81"/>
      <c r="M283" s="81"/>
      <c r="N283" s="81"/>
      <c r="O283" s="81"/>
      <c r="P283" s="81"/>
      <c r="Q283" s="81"/>
      <c r="R283" s="81"/>
    </row>
    <row r="284" spans="1:18" ht="22">
      <c r="A284" s="74"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92-4-1</v>
      </c>
      <c r="B284" s="100"/>
      <c r="C284" s="100"/>
      <c r="D284" s="109"/>
      <c r="E284" s="103"/>
      <c r="F284" s="85" t="s">
        <v>432</v>
      </c>
      <c r="G284" s="125" t="s">
        <v>510</v>
      </c>
      <c r="H284" s="85"/>
      <c r="I284" s="85"/>
      <c r="J284" s="81"/>
      <c r="K284" s="81"/>
      <c r="L284" s="81"/>
      <c r="M284" s="81"/>
      <c r="N284" s="81"/>
      <c r="O284" s="81"/>
      <c r="P284" s="81"/>
      <c r="Q284" s="81"/>
      <c r="R284" s="81"/>
    </row>
    <row r="285" spans="1:18" ht="22">
      <c r="A285" s="74"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92-5-1</v>
      </c>
      <c r="B285" s="100"/>
      <c r="C285" s="100"/>
      <c r="D285" s="109"/>
      <c r="E285" s="103"/>
      <c r="F285" s="85" t="s">
        <v>433</v>
      </c>
      <c r="G285" s="125" t="s">
        <v>510</v>
      </c>
      <c r="H285" s="85"/>
      <c r="I285" s="85"/>
      <c r="J285" s="81"/>
      <c r="K285" s="81"/>
      <c r="L285" s="81"/>
      <c r="M285" s="81"/>
      <c r="N285" s="81"/>
      <c r="O285" s="81"/>
      <c r="P285" s="81"/>
      <c r="Q285" s="81"/>
      <c r="R285" s="81"/>
    </row>
    <row r="286" spans="1:18" ht="33">
      <c r="A286" s="74"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92-6-1</v>
      </c>
      <c r="B286" s="100"/>
      <c r="C286" s="100"/>
      <c r="D286" s="109"/>
      <c r="E286" s="105"/>
      <c r="F286" s="85" t="s">
        <v>434</v>
      </c>
      <c r="G286" s="125" t="s">
        <v>510</v>
      </c>
      <c r="H286" s="85"/>
      <c r="I286" s="85"/>
      <c r="J286" s="81"/>
      <c r="K286" s="81"/>
      <c r="L286" s="81"/>
      <c r="M286" s="81"/>
      <c r="N286" s="81"/>
      <c r="O286" s="81"/>
      <c r="P286" s="81"/>
      <c r="Q286" s="81"/>
      <c r="R286" s="81"/>
    </row>
    <row r="287" spans="1:18" ht="22">
      <c r="A287" s="74"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93-1-1</v>
      </c>
      <c r="B287" s="100"/>
      <c r="C287" s="100"/>
      <c r="D287" s="109"/>
      <c r="E287" s="103" t="s">
        <v>253</v>
      </c>
      <c r="F287" s="85" t="s">
        <v>435</v>
      </c>
      <c r="G287" s="125" t="s">
        <v>510</v>
      </c>
      <c r="H287" s="85"/>
      <c r="I287" s="85"/>
      <c r="J287" s="81"/>
      <c r="K287" s="81"/>
      <c r="L287" s="81"/>
      <c r="M287" s="81"/>
      <c r="N287" s="81"/>
      <c r="O287" s="81"/>
      <c r="P287" s="81"/>
      <c r="Q287" s="81"/>
      <c r="R287" s="81"/>
    </row>
    <row r="288" spans="1:18" ht="33">
      <c r="A288" s="74"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93-2-1</v>
      </c>
      <c r="B288" s="100"/>
      <c r="C288" s="100"/>
      <c r="D288" s="109"/>
      <c r="E288" s="103"/>
      <c r="F288" s="85" t="s">
        <v>436</v>
      </c>
      <c r="G288" s="125" t="s">
        <v>510</v>
      </c>
      <c r="H288" s="85"/>
      <c r="I288" s="85"/>
      <c r="J288" s="81"/>
      <c r="K288" s="81"/>
      <c r="L288" s="81"/>
      <c r="M288" s="81"/>
      <c r="N288" s="81"/>
      <c r="O288" s="81"/>
      <c r="P288" s="81"/>
      <c r="Q288" s="81"/>
      <c r="R288" s="81"/>
    </row>
    <row r="289" spans="1:18" ht="44">
      <c r="A289" s="74"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93-3-1</v>
      </c>
      <c r="B289" s="100"/>
      <c r="C289" s="100"/>
      <c r="D289" s="109"/>
      <c r="E289" s="103"/>
      <c r="F289" s="85" t="s">
        <v>437</v>
      </c>
      <c r="G289" s="125" t="s">
        <v>510</v>
      </c>
      <c r="H289" s="85"/>
      <c r="I289" s="85"/>
      <c r="J289" s="81"/>
      <c r="K289" s="81"/>
      <c r="L289" s="81"/>
      <c r="M289" s="81"/>
      <c r="N289" s="81"/>
      <c r="O289" s="81"/>
      <c r="P289" s="81"/>
      <c r="Q289" s="81"/>
      <c r="R289" s="81"/>
    </row>
    <row r="290" spans="1:18" ht="44">
      <c r="A290" s="74"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93-4-1</v>
      </c>
      <c r="B290" s="100"/>
      <c r="C290" s="100"/>
      <c r="D290" s="109"/>
      <c r="E290" s="103"/>
      <c r="F290" s="85" t="s">
        <v>438</v>
      </c>
      <c r="G290" s="125" t="s">
        <v>510</v>
      </c>
      <c r="H290" s="85"/>
      <c r="I290" s="85"/>
      <c r="J290" s="81"/>
      <c r="K290" s="81"/>
      <c r="L290" s="81"/>
      <c r="M290" s="81"/>
      <c r="N290" s="81"/>
      <c r="O290" s="81"/>
      <c r="P290" s="81"/>
      <c r="Q290" s="81"/>
      <c r="R290" s="81"/>
    </row>
    <row r="291" spans="1:18" ht="22">
      <c r="A291" s="74"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93-5-1</v>
      </c>
      <c r="B291" s="100"/>
      <c r="C291" s="100"/>
      <c r="D291" s="109"/>
      <c r="E291" s="103"/>
      <c r="F291" s="85" t="s">
        <v>439</v>
      </c>
      <c r="G291" s="125" t="s">
        <v>510</v>
      </c>
      <c r="H291" s="85"/>
      <c r="I291" s="85"/>
      <c r="J291" s="81"/>
      <c r="K291" s="81"/>
      <c r="L291" s="81"/>
      <c r="M291" s="81"/>
      <c r="N291" s="81"/>
      <c r="O291" s="81"/>
      <c r="P291" s="81"/>
      <c r="Q291" s="81"/>
      <c r="R291" s="81"/>
    </row>
    <row r="292" spans="1:18" ht="44">
      <c r="A292" s="74"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93-6-1</v>
      </c>
      <c r="B292" s="100"/>
      <c r="C292" s="100"/>
      <c r="D292" s="109"/>
      <c r="E292" s="103"/>
      <c r="F292" s="85" t="s">
        <v>440</v>
      </c>
      <c r="G292" s="125" t="s">
        <v>510</v>
      </c>
      <c r="H292" s="85"/>
      <c r="I292" s="85"/>
      <c r="J292" s="81"/>
      <c r="K292" s="81"/>
      <c r="L292" s="81"/>
      <c r="M292" s="81"/>
      <c r="N292" s="81"/>
      <c r="O292" s="81"/>
      <c r="P292" s="81"/>
      <c r="Q292" s="81"/>
      <c r="R292" s="81"/>
    </row>
    <row r="293" spans="1:18" ht="44">
      <c r="A293" s="74"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93-7-1</v>
      </c>
      <c r="B293" s="100"/>
      <c r="C293" s="100"/>
      <c r="D293" s="109"/>
      <c r="E293" s="103"/>
      <c r="F293" s="85" t="s">
        <v>441</v>
      </c>
      <c r="G293" s="125" t="s">
        <v>510</v>
      </c>
      <c r="H293" s="85"/>
      <c r="I293" s="85"/>
      <c r="J293" s="81"/>
      <c r="K293" s="81"/>
      <c r="L293" s="81"/>
      <c r="M293" s="81"/>
      <c r="N293" s="81"/>
      <c r="O293" s="81"/>
      <c r="P293" s="81"/>
      <c r="Q293" s="81"/>
      <c r="R293" s="81"/>
    </row>
    <row r="294" spans="1:18" ht="22">
      <c r="A294" s="74"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93-8-1</v>
      </c>
      <c r="B294" s="100"/>
      <c r="C294" s="100"/>
      <c r="D294" s="109"/>
      <c r="E294" s="105"/>
      <c r="F294" s="85" t="s">
        <v>442</v>
      </c>
      <c r="G294" s="125" t="s">
        <v>510</v>
      </c>
      <c r="H294" s="85"/>
      <c r="I294" s="85"/>
      <c r="J294" s="81"/>
      <c r="K294" s="81"/>
      <c r="L294" s="81"/>
      <c r="M294" s="81"/>
      <c r="N294" s="81"/>
      <c r="O294" s="81"/>
      <c r="P294" s="81"/>
      <c r="Q294" s="81"/>
      <c r="R294" s="81"/>
    </row>
    <row r="295" spans="1:18" ht="22">
      <c r="A295" s="74"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94-1-1</v>
      </c>
      <c r="B295" s="120"/>
      <c r="C295" s="120"/>
      <c r="D295" s="117"/>
      <c r="E295" s="105" t="s">
        <v>287</v>
      </c>
      <c r="F295" s="85" t="s">
        <v>443</v>
      </c>
      <c r="G295" s="125" t="s">
        <v>510</v>
      </c>
      <c r="H295" s="85"/>
      <c r="I295" s="85"/>
      <c r="J295" s="81"/>
      <c r="K295" s="81"/>
      <c r="L295" s="81"/>
      <c r="M295" s="81"/>
      <c r="N295" s="81"/>
      <c r="O295" s="81"/>
      <c r="P295" s="81"/>
      <c r="Q295" s="81"/>
      <c r="R295" s="81"/>
    </row>
    <row r="296" spans="1:18" ht="22">
      <c r="A296" s="74"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95-1-1</v>
      </c>
      <c r="B296" s="113" t="s">
        <v>444</v>
      </c>
      <c r="C296" s="75" t="s">
        <v>445</v>
      </c>
      <c r="D296" s="75" t="s">
        <v>102</v>
      </c>
      <c r="E296" s="75" t="s">
        <v>102</v>
      </c>
      <c r="F296" s="84" t="s">
        <v>446</v>
      </c>
      <c r="G296" s="84" t="s">
        <v>511</v>
      </c>
      <c r="H296" s="84"/>
      <c r="I296" s="84"/>
      <c r="J296" s="112"/>
      <c r="K296" s="112"/>
      <c r="L296" s="125"/>
      <c r="M296" s="125"/>
      <c r="N296" s="112"/>
      <c r="O296" s="112"/>
      <c r="P296" s="112"/>
      <c r="Q296" s="112"/>
      <c r="R296" s="112"/>
    </row>
    <row r="297" spans="1:18" ht="22">
      <c r="A297" s="74"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95-2-1</v>
      </c>
      <c r="B297" s="83"/>
      <c r="C297" s="91"/>
      <c r="D297" s="76"/>
      <c r="E297" s="76"/>
      <c r="F297" s="84" t="s">
        <v>447</v>
      </c>
      <c r="G297" s="84" t="s">
        <v>511</v>
      </c>
      <c r="H297" s="84"/>
      <c r="I297" s="84"/>
      <c r="J297" s="112"/>
      <c r="K297" s="112"/>
      <c r="L297" s="125"/>
      <c r="M297" s="125"/>
      <c r="N297" s="112"/>
      <c r="O297" s="112"/>
      <c r="P297" s="112"/>
      <c r="Q297" s="112"/>
      <c r="R297" s="112"/>
    </row>
    <row r="298" spans="1:18" ht="22">
      <c r="A298" s="74"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95-3-1</v>
      </c>
      <c r="B298" s="83"/>
      <c r="C298" s="91"/>
      <c r="D298" s="76"/>
      <c r="E298" s="76"/>
      <c r="F298" s="84" t="s">
        <v>448</v>
      </c>
      <c r="G298" s="84" t="s">
        <v>511</v>
      </c>
      <c r="H298" s="84"/>
      <c r="I298" s="84"/>
      <c r="J298" s="112"/>
      <c r="K298" s="112"/>
      <c r="L298" s="125"/>
      <c r="M298" s="125"/>
      <c r="N298" s="112"/>
      <c r="O298" s="112"/>
      <c r="P298" s="112"/>
      <c r="Q298" s="112"/>
      <c r="R298" s="112"/>
    </row>
    <row r="299" spans="1:18" ht="22">
      <c r="A299" s="74"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95-4-1</v>
      </c>
      <c r="B299" s="83"/>
      <c r="C299" s="140"/>
      <c r="D299" s="87"/>
      <c r="E299" s="87"/>
      <c r="F299" s="84" t="s">
        <v>449</v>
      </c>
      <c r="G299" s="84" t="s">
        <v>511</v>
      </c>
      <c r="H299" s="84"/>
      <c r="I299" s="84"/>
      <c r="J299" s="112"/>
      <c r="K299" s="112"/>
      <c r="L299" s="125"/>
      <c r="M299" s="125"/>
      <c r="N299" s="112"/>
      <c r="O299" s="112"/>
      <c r="P299" s="112"/>
      <c r="Q299" s="112"/>
      <c r="R299" s="112"/>
    </row>
    <row r="300" spans="1:18" ht="22">
      <c r="A300" s="74"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96-1-1</v>
      </c>
      <c r="B300" s="83"/>
      <c r="C300" s="76" t="s">
        <v>450</v>
      </c>
      <c r="D300" s="76" t="s">
        <v>262</v>
      </c>
      <c r="E300" s="84" t="s">
        <v>280</v>
      </c>
      <c r="F300" s="84" t="s">
        <v>451</v>
      </c>
      <c r="G300" s="84" t="s">
        <v>511</v>
      </c>
      <c r="H300" s="84"/>
      <c r="I300" s="84"/>
      <c r="J300" s="112"/>
      <c r="K300" s="112"/>
      <c r="L300" s="125"/>
      <c r="M300" s="125"/>
      <c r="N300" s="112"/>
      <c r="O300" s="112"/>
      <c r="P300" s="112"/>
      <c r="Q300" s="112"/>
      <c r="R300" s="112"/>
    </row>
    <row r="301" spans="1:18" ht="22">
      <c r="A301" s="74"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97-1-1</v>
      </c>
      <c r="B301" s="83"/>
      <c r="C301" s="91"/>
      <c r="D301" s="76"/>
      <c r="E301" s="87" t="s">
        <v>282</v>
      </c>
      <c r="F301" s="84" t="s">
        <v>452</v>
      </c>
      <c r="G301" s="84" t="s">
        <v>511</v>
      </c>
      <c r="H301" s="84"/>
      <c r="I301" s="84"/>
      <c r="J301" s="112"/>
      <c r="K301" s="112"/>
      <c r="L301" s="125"/>
      <c r="M301" s="125"/>
      <c r="N301" s="112"/>
      <c r="O301" s="112"/>
      <c r="P301" s="112"/>
      <c r="Q301" s="112"/>
      <c r="R301" s="112"/>
    </row>
    <row r="302" spans="1:18" ht="22">
      <c r="A302" s="74"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98-1-1</v>
      </c>
      <c r="B302" s="83"/>
      <c r="C302" s="91"/>
      <c r="D302" s="76"/>
      <c r="E302" s="84" t="s">
        <v>284</v>
      </c>
      <c r="F302" s="84" t="s">
        <v>453</v>
      </c>
      <c r="G302" s="84" t="s">
        <v>511</v>
      </c>
      <c r="H302" s="84"/>
      <c r="I302" s="84"/>
      <c r="J302" s="112"/>
      <c r="K302" s="112"/>
      <c r="L302" s="125"/>
      <c r="M302" s="125"/>
      <c r="N302" s="112"/>
      <c r="O302" s="112"/>
      <c r="P302" s="112"/>
      <c r="Q302" s="112"/>
      <c r="R302" s="112"/>
    </row>
    <row r="303" spans="1:18" ht="22">
      <c r="A303" s="74"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99-1-1</v>
      </c>
      <c r="B303" s="83"/>
      <c r="C303" s="91"/>
      <c r="D303" s="87"/>
      <c r="E303" s="87" t="s">
        <v>200</v>
      </c>
      <c r="F303" s="84" t="s">
        <v>454</v>
      </c>
      <c r="G303" s="84" t="s">
        <v>511</v>
      </c>
      <c r="H303" s="84"/>
      <c r="I303" s="84"/>
      <c r="J303" s="112"/>
      <c r="K303" s="112"/>
      <c r="L303" s="125"/>
      <c r="M303" s="125"/>
      <c r="N303" s="112"/>
      <c r="O303" s="112"/>
      <c r="P303" s="112"/>
      <c r="Q303" s="112"/>
      <c r="R303" s="112"/>
    </row>
    <row r="304" spans="1:18" ht="22">
      <c r="A304" s="74"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100-1-1</v>
      </c>
      <c r="B304" s="83"/>
      <c r="C304" s="83"/>
      <c r="D304" s="76" t="s">
        <v>455</v>
      </c>
      <c r="E304" s="76" t="s">
        <v>456</v>
      </c>
      <c r="F304" s="84" t="s">
        <v>457</v>
      </c>
      <c r="G304" s="84" t="s">
        <v>511</v>
      </c>
      <c r="H304" s="84"/>
      <c r="I304" s="84"/>
      <c r="J304" s="112"/>
      <c r="K304" s="112"/>
      <c r="L304" s="125"/>
      <c r="M304" s="125"/>
      <c r="N304" s="112"/>
      <c r="O304" s="112"/>
      <c r="P304" s="112"/>
      <c r="Q304" s="112"/>
      <c r="R304" s="112"/>
    </row>
    <row r="305" spans="1:18" ht="22">
      <c r="A305" s="74"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100-2-1</v>
      </c>
      <c r="B305" s="83"/>
      <c r="C305" s="83"/>
      <c r="D305" s="89"/>
      <c r="E305" s="76"/>
      <c r="F305" s="84" t="s">
        <v>458</v>
      </c>
      <c r="G305" s="84" t="s">
        <v>511</v>
      </c>
      <c r="H305" s="84"/>
      <c r="I305" s="84"/>
      <c r="J305" s="112"/>
      <c r="K305" s="112"/>
      <c r="L305" s="125"/>
      <c r="M305" s="125"/>
      <c r="N305" s="112"/>
      <c r="O305" s="112"/>
      <c r="P305" s="112"/>
      <c r="Q305" s="112"/>
      <c r="R305" s="112"/>
    </row>
    <row r="306" spans="1:18" ht="33">
      <c r="A306" s="74"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100-3-1</v>
      </c>
      <c r="B306" s="83"/>
      <c r="C306" s="83"/>
      <c r="D306" s="89"/>
      <c r="E306" s="76"/>
      <c r="F306" s="84" t="s">
        <v>459</v>
      </c>
      <c r="G306" s="84" t="s">
        <v>511</v>
      </c>
      <c r="H306" s="84"/>
      <c r="I306" s="84"/>
      <c r="J306" s="112"/>
      <c r="K306" s="112"/>
      <c r="L306" s="125"/>
      <c r="M306" s="125"/>
      <c r="N306" s="112"/>
      <c r="O306" s="112"/>
      <c r="P306" s="112"/>
      <c r="Q306" s="112"/>
      <c r="R306" s="112"/>
    </row>
    <row r="307" spans="1:18" ht="33">
      <c r="A307" s="74"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100-4-1</v>
      </c>
      <c r="B307" s="83"/>
      <c r="C307" s="83"/>
      <c r="D307" s="89"/>
      <c r="E307" s="76"/>
      <c r="F307" s="84" t="s">
        <v>300</v>
      </c>
      <c r="G307" s="84" t="s">
        <v>511</v>
      </c>
      <c r="H307" s="84"/>
      <c r="I307" s="84"/>
      <c r="J307" s="112"/>
      <c r="K307" s="112"/>
      <c r="L307" s="125"/>
      <c r="M307" s="125"/>
      <c r="N307" s="112"/>
      <c r="O307" s="112"/>
      <c r="P307" s="112"/>
      <c r="Q307" s="112"/>
      <c r="R307" s="112"/>
    </row>
    <row r="308" spans="1:18" ht="33">
      <c r="A308" s="74"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100-5-1</v>
      </c>
      <c r="B308" s="83"/>
      <c r="C308" s="83"/>
      <c r="D308" s="89"/>
      <c r="E308" s="76"/>
      <c r="F308" s="84" t="s">
        <v>301</v>
      </c>
      <c r="G308" s="84" t="s">
        <v>511</v>
      </c>
      <c r="H308" s="84"/>
      <c r="I308" s="84"/>
      <c r="J308" s="112"/>
      <c r="K308" s="112"/>
      <c r="L308" s="125"/>
      <c r="M308" s="125"/>
      <c r="N308" s="112"/>
      <c r="O308" s="112"/>
      <c r="P308" s="112"/>
      <c r="Q308" s="112"/>
      <c r="R308" s="112"/>
    </row>
    <row r="309" spans="1:18" ht="33">
      <c r="A309" s="74"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100-6-1</v>
      </c>
      <c r="B309" s="83"/>
      <c r="C309" s="83"/>
      <c r="D309" s="89"/>
      <c r="E309" s="76"/>
      <c r="F309" s="84" t="s">
        <v>302</v>
      </c>
      <c r="G309" s="84" t="s">
        <v>511</v>
      </c>
      <c r="H309" s="84"/>
      <c r="I309" s="84"/>
      <c r="J309" s="112"/>
      <c r="K309" s="112"/>
      <c r="L309" s="125"/>
      <c r="M309" s="125"/>
      <c r="N309" s="112"/>
      <c r="O309" s="112"/>
      <c r="P309" s="112"/>
      <c r="Q309" s="112"/>
      <c r="R309" s="112"/>
    </row>
    <row r="310" spans="1:18" ht="33">
      <c r="A310" s="74"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100-7-1</v>
      </c>
      <c r="B310" s="83"/>
      <c r="C310" s="83"/>
      <c r="D310" s="89"/>
      <c r="E310" s="76"/>
      <c r="F310" s="84" t="s">
        <v>460</v>
      </c>
      <c r="G310" s="84" t="s">
        <v>511</v>
      </c>
      <c r="H310" s="84"/>
      <c r="I310" s="84"/>
      <c r="J310" s="112"/>
      <c r="K310" s="112"/>
      <c r="L310" s="125"/>
      <c r="M310" s="125"/>
      <c r="N310" s="112"/>
      <c r="O310" s="112"/>
      <c r="P310" s="112"/>
      <c r="Q310" s="112"/>
      <c r="R310" s="112"/>
    </row>
    <row r="311" spans="1:18" ht="22">
      <c r="A311" s="74"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100-8-1</v>
      </c>
      <c r="B311" s="83"/>
      <c r="C311" s="83"/>
      <c r="D311" s="89"/>
      <c r="E311" s="76"/>
      <c r="F311" s="84" t="s">
        <v>461</v>
      </c>
      <c r="G311" s="84" t="s">
        <v>511</v>
      </c>
      <c r="H311" s="84"/>
      <c r="I311" s="84"/>
      <c r="J311" s="112"/>
      <c r="K311" s="112"/>
      <c r="L311" s="125"/>
      <c r="M311" s="125"/>
      <c r="N311" s="112"/>
      <c r="O311" s="112"/>
      <c r="P311" s="112"/>
      <c r="Q311" s="112"/>
      <c r="R311" s="112"/>
    </row>
    <row r="312" spans="1:18" ht="22">
      <c r="A312" s="74"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100-9-1</v>
      </c>
      <c r="B312" s="137"/>
      <c r="C312" s="137"/>
      <c r="D312" s="86"/>
      <c r="E312" s="87"/>
      <c r="F312" s="84" t="s">
        <v>462</v>
      </c>
      <c r="G312" s="84" t="s">
        <v>511</v>
      </c>
      <c r="H312" s="84"/>
      <c r="I312" s="84"/>
      <c r="J312" s="112"/>
      <c r="K312" s="112"/>
      <c r="L312" s="125"/>
      <c r="M312" s="125"/>
      <c r="N312" s="112"/>
      <c r="O312" s="112"/>
      <c r="P312" s="112"/>
      <c r="Q312" s="112"/>
      <c r="R312" s="112"/>
    </row>
  </sheetData>
  <autoFilter ref="A10:R10" xr:uid="{00000000-0001-0000-0200-000000000000}"/>
  <mergeCells count="2">
    <mergeCell ref="B129:B130"/>
    <mergeCell ref="B149:B150"/>
  </mergeCells>
  <phoneticPr fontId="2"/>
  <dataValidations disablePrompts="1" count="1">
    <dataValidation type="list" allowBlank="1" showInputMessage="1" showErrorMessage="1" sqref="P11:P312" xr:uid="{5729C6A4-6E4D-4F43-811A-3A513C496E71}">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&amp;C&amp;"ＭＳ 明朝,標準"&amp;9- &amp;P -</oddFooter>
  </headerFooter>
  <rowBreaks count="8" manualBreakCount="8">
    <brk id="41" max="17" man="1"/>
    <brk id="80" max="17" man="1"/>
    <brk id="110" max="17" man="1"/>
    <brk id="147" max="17" man="1"/>
    <brk id="185" max="17" man="1"/>
    <brk id="226" max="17" man="1"/>
    <brk id="259" max="17" man="1"/>
    <brk id="295" max="17"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A7F5A-E7B8-4AC0-9E80-50BF4AD5C98F}">
  <sheetPr>
    <pageSetUpPr fitToPage="1"/>
  </sheetPr>
  <dimension ref="A1:R450"/>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3" width="8.58203125" style="30" customWidth="1"/>
    <col min="4" max="5" width="8.58203125" style="31" customWidth="1"/>
    <col min="6" max="6" width="40.33203125" style="31" customWidth="1"/>
    <col min="7" max="7" width="28.08203125" style="121" customWidth="1" outlineLevel="1"/>
    <col min="8" max="9" width="16.33203125" style="30" customWidth="1"/>
    <col min="10" max="10" width="29.33203125" style="30" customWidth="1"/>
    <col min="11" max="11" width="27.33203125" style="30" customWidth="1"/>
    <col min="12" max="12" width="15.58203125" style="30" customWidth="1"/>
    <col min="13" max="18" width="8.58203125" style="30" customWidth="1"/>
    <col min="19" max="16384" width="9" style="30"/>
  </cols>
  <sheetData>
    <row r="1" spans="1:18">
      <c r="A1" s="30" t="s">
        <v>72</v>
      </c>
    </row>
    <row r="2" spans="1:18">
      <c r="A2" s="30" t="s">
        <v>5</v>
      </c>
    </row>
    <row r="4" spans="1:18">
      <c r="A4" s="30" t="s">
        <v>81</v>
      </c>
    </row>
    <row r="5" spans="1:18">
      <c r="A5" s="30" t="s">
        <v>736</v>
      </c>
    </row>
    <row r="6" spans="1:18">
      <c r="A6" s="30" t="s">
        <v>737</v>
      </c>
      <c r="O6" s="30" t="s">
        <v>17</v>
      </c>
      <c r="Q6" s="30" t="s">
        <v>0</v>
      </c>
    </row>
    <row r="7" spans="1:18">
      <c r="A7" s="30" t="s">
        <v>742</v>
      </c>
      <c r="O7" s="30" t="s">
        <v>18</v>
      </c>
      <c r="Q7" s="30" t="s">
        <v>1</v>
      </c>
    </row>
    <row r="8" spans="1:18" ht="11.5" thickBot="1">
      <c r="A8" s="32" t="s">
        <v>837</v>
      </c>
      <c r="B8" s="32"/>
      <c r="C8" s="32"/>
      <c r="D8" s="33"/>
      <c r="E8" s="33"/>
      <c r="F8" s="33"/>
      <c r="G8" s="122"/>
      <c r="H8" s="32"/>
      <c r="I8" s="32"/>
      <c r="J8" s="32"/>
      <c r="K8" s="32"/>
      <c r="L8" s="32"/>
      <c r="M8" s="32"/>
      <c r="N8" s="32"/>
      <c r="O8" s="32"/>
      <c r="P8" s="32"/>
      <c r="Q8" s="32"/>
      <c r="R8" s="32"/>
    </row>
    <row r="9" spans="1:18" ht="12" customHeight="1" thickTop="1"/>
    <row r="10" spans="1:18" s="37" customFormat="1">
      <c r="A10" s="132" t="s">
        <v>85</v>
      </c>
      <c r="B10" s="68" t="s">
        <v>86</v>
      </c>
      <c r="C10" s="68" t="s">
        <v>87</v>
      </c>
      <c r="D10" s="68" t="s">
        <v>88</v>
      </c>
      <c r="E10" s="68" t="s">
        <v>89</v>
      </c>
      <c r="F10" s="68" t="s">
        <v>90</v>
      </c>
      <c r="G10" s="141" t="s">
        <v>91</v>
      </c>
      <c r="H10" s="68" t="s">
        <v>92</v>
      </c>
      <c r="I10" s="68" t="s">
        <v>93</v>
      </c>
      <c r="J10" s="69" t="s">
        <v>3</v>
      </c>
      <c r="K10" s="70" t="s">
        <v>4</v>
      </c>
      <c r="L10" s="71" t="s">
        <v>2</v>
      </c>
      <c r="M10" s="71" t="s">
        <v>15</v>
      </c>
      <c r="N10" s="72" t="s">
        <v>6</v>
      </c>
      <c r="O10" s="72" t="s">
        <v>16</v>
      </c>
      <c r="P10" s="72" t="s">
        <v>7</v>
      </c>
      <c r="Q10" s="72" t="s">
        <v>8</v>
      </c>
      <c r="R10" s="73" t="s">
        <v>9</v>
      </c>
    </row>
    <row r="11" spans="1:18" ht="22">
      <c r="A11" s="74" t="str" cm="1">
        <f t="array" aca="1" ref="A11" ca="1">_xlfn.LET(
_xlpm.詳細項目数, COUNTA($E$11:E11),
_xlpm.直近で詳細項目が空でないセルの行番号, MAX(INDEX((LEN($E$11:E11)&gt;0)*ROW($E$11:E11),0)),
_xlpm.観点数, COUNTA(INDIRECT("F"&amp;_xlpm.直近で詳細項目が空でないセルの行番号):F11),
_xlpm.直近で観点が空でないセルの行番号, MAX(INDEX((LEN($F$11:F11)&gt;0)*ROW($F$11:F11),0)),
_xlpm.テスト内容数, COUNTA(INDIRECT("J"&amp;_xlpm.直近で観点が空でないセルの行番号):J11),
_xlpm.テスト内容数_空なら1, IF(_xlpm.テスト内容数=0,1,_xlpm.テスト内容数),
_xlpm.詳細項目数&amp;"-"&amp;_xlpm.観点数&amp;"-"&amp;_xlpm.テスト内容数_空なら1
)</f>
        <v>1-1-1</v>
      </c>
      <c r="B11" s="142" t="s">
        <v>463</v>
      </c>
      <c r="C11" s="142" t="s">
        <v>95</v>
      </c>
      <c r="D11" s="143" t="s">
        <v>96</v>
      </c>
      <c r="E11" s="124" t="s">
        <v>97</v>
      </c>
      <c r="F11" s="124" t="s">
        <v>98</v>
      </c>
      <c r="G11" s="125" t="s">
        <v>512</v>
      </c>
      <c r="H11" s="112"/>
      <c r="I11" s="112"/>
      <c r="J11" s="125"/>
      <c r="K11" s="125"/>
      <c r="L11" s="112"/>
      <c r="M11" s="112"/>
      <c r="N11" s="112"/>
      <c r="O11" s="112"/>
      <c r="P11" s="112"/>
      <c r="Q11" s="123"/>
      <c r="R11" s="125"/>
    </row>
    <row r="12" spans="1:18" ht="22">
      <c r="A12" s="74" t="str" cm="1">
        <f t="array" aca="1" ref="A12" ca="1">_xlfn.LET(
_xlpm.詳細項目数, COUNTA($E$11:E12),
_xlpm.直近で詳細項目が空でないセルの行番号, MAX(INDEX((LEN($E$11:E12)&gt;0)*ROW($E$11:E12),0)),
_xlpm.観点数, COUNTA(INDIRECT("F"&amp;_xlpm.直近で詳細項目が空でないセルの行番号):F12),
_xlpm.直近で観点が空でないセルの行番号, MAX(INDEX((LEN($F$11:F12)&gt;0)*ROW($F$11:F12),0)),
_xlpm.テスト内容数, COUNTA(INDIRECT("J"&amp;_xlpm.直近で観点が空でないセルの行番号):J12),
_xlpm.テスト内容数_空なら1, IF(_xlpm.テスト内容数=0,1,_xlpm.テスト内容数),
_xlpm.詳細項目数&amp;"-"&amp;_xlpm.観点数&amp;"-"&amp;_xlpm.テスト内容数_空なら1
)</f>
        <v>2-1-1</v>
      </c>
      <c r="B12" s="143"/>
      <c r="C12" s="144"/>
      <c r="D12" s="145"/>
      <c r="E12" s="145" t="s">
        <v>99</v>
      </c>
      <c r="F12" s="124" t="s">
        <v>100</v>
      </c>
      <c r="G12" s="125" t="s">
        <v>512</v>
      </c>
      <c r="H12" s="112"/>
      <c r="I12" s="112"/>
      <c r="J12" s="125"/>
      <c r="K12" s="125"/>
      <c r="L12" s="112"/>
      <c r="M12" s="112"/>
      <c r="N12" s="112"/>
      <c r="O12" s="112"/>
      <c r="P12" s="112"/>
      <c r="Q12" s="123"/>
      <c r="R12" s="125"/>
    </row>
    <row r="13" spans="1:18" ht="33">
      <c r="A13" s="74" t="str" cm="1">
        <f t="array" aca="1" ref="A13" ca="1">_xlfn.LET(
_xlpm.詳細項目数, COUNTA($E$11:E13),
_xlpm.直近で詳細項目が空でないセルの行番号, MAX(INDEX((LEN($E$11:E13)&gt;0)*ROW($E$11:E13),0)),
_xlpm.観点数, COUNTA(INDIRECT("F"&amp;_xlpm.直近で詳細項目が空でないセルの行番号):F13),
_xlpm.直近で観点が空でないセルの行番号, MAX(INDEX((LEN($F$11:F13)&gt;0)*ROW($F$11:F13),0)),
_xlpm.テスト内容数, COUNTA(INDIRECT("J"&amp;_xlpm.直近で観点が空でないセルの行番号):J13),
_xlpm.テスト内容数_空なら1, IF(_xlpm.テスト内容数=0,1,_xlpm.テスト内容数),
_xlpm.詳細項目数&amp;"-"&amp;_xlpm.観点数&amp;"-"&amp;_xlpm.テスト内容数_空なら1
)</f>
        <v>3-1-1</v>
      </c>
      <c r="B13" s="143"/>
      <c r="C13" s="144"/>
      <c r="D13" s="143" t="s">
        <v>101</v>
      </c>
      <c r="E13" s="146" t="s">
        <v>38</v>
      </c>
      <c r="F13" s="124" t="s">
        <v>103</v>
      </c>
      <c r="G13" s="125" t="s">
        <v>512</v>
      </c>
      <c r="H13" s="112"/>
      <c r="I13" s="112"/>
      <c r="J13" s="125"/>
      <c r="K13" s="125"/>
      <c r="L13" s="112"/>
      <c r="M13" s="112"/>
      <c r="N13" s="112"/>
      <c r="O13" s="112"/>
      <c r="P13" s="112"/>
      <c r="Q13" s="123"/>
      <c r="R13" s="125"/>
    </row>
    <row r="14" spans="1:18" ht="22">
      <c r="A14" s="74" t="str" cm="1">
        <f t="array" aca="1" ref="A14" ca="1">_xlfn.LET(
_xlpm.詳細項目数, COUNTA($E$11:E14),
_xlpm.直近で詳細項目が空でないセルの行番号, MAX(INDEX((LEN($E$11:E14)&gt;0)*ROW($E$11:E14),0)),
_xlpm.観点数, COUNTA(INDIRECT("F"&amp;_xlpm.直近で詳細項目が空でないセルの行番号):F14),
_xlpm.直近で観点が空でないセルの行番号, MAX(INDEX((LEN($F$11:F14)&gt;0)*ROW($F$11:F14),0)),
_xlpm.テスト内容数, COUNTA(INDIRECT("J"&amp;_xlpm.直近で観点が空でないセルの行番号):J14),
_xlpm.テスト内容数_空なら1, IF(_xlpm.テスト内容数=0,1,_xlpm.テスト内容数),
_xlpm.詳細項目数&amp;"-"&amp;_xlpm.観点数&amp;"-"&amp;_xlpm.テスト内容数_空なら1
)</f>
        <v>3-2-1</v>
      </c>
      <c r="B14" s="143"/>
      <c r="C14" s="144"/>
      <c r="D14" s="143"/>
      <c r="E14" s="146"/>
      <c r="F14" s="124" t="s">
        <v>104</v>
      </c>
      <c r="G14" s="125" t="s">
        <v>512</v>
      </c>
      <c r="H14" s="112"/>
      <c r="I14" s="112"/>
      <c r="J14" s="125"/>
      <c r="K14" s="125"/>
      <c r="L14" s="112"/>
      <c r="M14" s="112"/>
      <c r="N14" s="112"/>
      <c r="O14" s="112"/>
      <c r="P14" s="112"/>
      <c r="Q14" s="123"/>
      <c r="R14" s="125"/>
    </row>
    <row r="15" spans="1:18" ht="22">
      <c r="A15" s="74" t="str" cm="1">
        <f t="array" aca="1" ref="A15" ca="1">_xlfn.LET(
_xlpm.詳細項目数, COUNTA($E$11:E15),
_xlpm.直近で詳細項目が空でないセルの行番号, MAX(INDEX((LEN($E$11:E15)&gt;0)*ROW($E$11:E15),0)),
_xlpm.観点数, COUNTA(INDIRECT("F"&amp;_xlpm.直近で詳細項目が空でないセルの行番号):F15),
_xlpm.直近で観点が空でないセルの行番号, MAX(INDEX((LEN($F$11:F15)&gt;0)*ROW($F$11:F15),0)),
_xlpm.テスト内容数, COUNTA(INDIRECT("J"&amp;_xlpm.直近で観点が空でないセルの行番号):J15),
_xlpm.テスト内容数_空なら1, IF(_xlpm.テスト内容数=0,1,_xlpm.テスト内容数),
_xlpm.詳細項目数&amp;"-"&amp;_xlpm.観点数&amp;"-"&amp;_xlpm.テスト内容数_空なら1
)</f>
        <v>3-3-1</v>
      </c>
      <c r="B15" s="143"/>
      <c r="C15" s="144"/>
      <c r="D15" s="143"/>
      <c r="E15" s="146"/>
      <c r="F15" s="124" t="s">
        <v>105</v>
      </c>
      <c r="G15" s="125" t="s">
        <v>512</v>
      </c>
      <c r="H15" s="112"/>
      <c r="I15" s="112"/>
      <c r="J15" s="125"/>
      <c r="K15" s="125"/>
      <c r="L15" s="112"/>
      <c r="M15" s="112"/>
      <c r="N15" s="112"/>
      <c r="O15" s="112"/>
      <c r="P15" s="112"/>
      <c r="Q15" s="123"/>
      <c r="R15" s="125"/>
    </row>
    <row r="16" spans="1:18" ht="22">
      <c r="A16" s="74" t="str" cm="1">
        <f t="array" aca="1" ref="A16" ca="1">_xlfn.LET(
_xlpm.詳細項目数, COUNTA($E$11:E16),
_xlpm.直近で詳細項目が空でないセルの行番号, MAX(INDEX((LEN($E$11:E16)&gt;0)*ROW($E$11:E16),0)),
_xlpm.観点数, COUNTA(INDIRECT("F"&amp;_xlpm.直近で詳細項目が空でないセルの行番号):F16),
_xlpm.直近で観点が空でないセルの行番号, MAX(INDEX((LEN($F$11:F16)&gt;0)*ROW($F$11:F16),0)),
_xlpm.テスト内容数, COUNTA(INDIRECT("J"&amp;_xlpm.直近で観点が空でないセルの行番号):J16),
_xlpm.テスト内容数_空なら1, IF(_xlpm.テスト内容数=0,1,_xlpm.テスト内容数),
_xlpm.詳細項目数&amp;"-"&amp;_xlpm.観点数&amp;"-"&amp;_xlpm.テスト内容数_空なら1
)</f>
        <v>3-4-1</v>
      </c>
      <c r="B16" s="143"/>
      <c r="C16" s="144"/>
      <c r="D16" s="143"/>
      <c r="E16" s="146"/>
      <c r="F16" s="124" t="s">
        <v>106</v>
      </c>
      <c r="G16" s="125" t="s">
        <v>512</v>
      </c>
      <c r="H16" s="112"/>
      <c r="I16" s="112"/>
      <c r="J16" s="125"/>
      <c r="K16" s="125"/>
      <c r="L16" s="112"/>
      <c r="M16" s="112"/>
      <c r="N16" s="112"/>
      <c r="O16" s="112"/>
      <c r="P16" s="112"/>
      <c r="Q16" s="123"/>
      <c r="R16" s="125"/>
    </row>
    <row r="17" spans="1:18" ht="33">
      <c r="A17" s="74" t="str" cm="1">
        <f t="array" aca="1" ref="A17" ca="1">_xlfn.LET(
_xlpm.詳細項目数, COUNTA($E$11:E17),
_xlpm.直近で詳細項目が空でないセルの行番号, MAX(INDEX((LEN($E$11:E17)&gt;0)*ROW($E$11:E17),0)),
_xlpm.観点数, COUNTA(INDIRECT("F"&amp;_xlpm.直近で詳細項目が空でないセルの行番号):F17),
_xlpm.直近で観点が空でないセルの行番号, MAX(INDEX((LEN($F$11:F17)&gt;0)*ROW($F$11:F17),0)),
_xlpm.テスト内容数, COUNTA(INDIRECT("J"&amp;_xlpm.直近で観点が空でないセルの行番号):J17),
_xlpm.テスト内容数_空なら1, IF(_xlpm.テスト内容数=0,1,_xlpm.テスト内容数),
_xlpm.詳細項目数&amp;"-"&amp;_xlpm.観点数&amp;"-"&amp;_xlpm.テスト内容数_空なら1
)</f>
        <v>3-5-1</v>
      </c>
      <c r="B17" s="143"/>
      <c r="C17" s="144"/>
      <c r="D17" s="147"/>
      <c r="E17" s="145"/>
      <c r="F17" s="124" t="s">
        <v>107</v>
      </c>
      <c r="G17" s="125" t="s">
        <v>512</v>
      </c>
      <c r="H17" s="112"/>
      <c r="I17" s="112"/>
      <c r="J17" s="125"/>
      <c r="K17" s="125"/>
      <c r="L17" s="112"/>
      <c r="M17" s="112"/>
      <c r="N17" s="112"/>
      <c r="O17" s="112"/>
      <c r="P17" s="112"/>
      <c r="Q17" s="123"/>
      <c r="R17" s="125"/>
    </row>
    <row r="18" spans="1:18" ht="22">
      <c r="A18" s="74" t="str" cm="1">
        <f t="array" aca="1" ref="A18" ca="1">_xlfn.LET(
_xlpm.詳細項目数, COUNTA($E$11:E18),
_xlpm.直近で詳細項目が空でないセルの行番号, MAX(INDEX((LEN($E$11:E18)&gt;0)*ROW($E$11:E18),0)),
_xlpm.観点数, COUNTA(INDIRECT("F"&amp;_xlpm.直近で詳細項目が空でないセルの行番号):F18),
_xlpm.直近で観点が空でないセルの行番号, MAX(INDEX((LEN($F$11:F18)&gt;0)*ROW($F$11:F18),0)),
_xlpm.テスト内容数, COUNTA(INDIRECT("J"&amp;_xlpm.直近で観点が空でないセルの行番号):J18),
_xlpm.テスト内容数_空なら1, IF(_xlpm.テスト内容数=0,1,_xlpm.テスト内容数),
_xlpm.詳細項目数&amp;"-"&amp;_xlpm.観点数&amp;"-"&amp;_xlpm.テスト内容数_空なら1
)</f>
        <v>4-1-1</v>
      </c>
      <c r="B18" s="143"/>
      <c r="C18" s="144"/>
      <c r="D18" s="146" t="s">
        <v>108</v>
      </c>
      <c r="E18" s="146" t="s">
        <v>109</v>
      </c>
      <c r="F18" s="124" t="s">
        <v>110</v>
      </c>
      <c r="G18" s="125" t="s">
        <v>512</v>
      </c>
      <c r="H18" s="112"/>
      <c r="I18" s="112"/>
      <c r="J18" s="125"/>
      <c r="K18" s="125"/>
      <c r="L18" s="112"/>
      <c r="M18" s="112"/>
      <c r="N18" s="112"/>
      <c r="O18" s="112"/>
      <c r="P18" s="112"/>
      <c r="Q18" s="123"/>
      <c r="R18" s="125"/>
    </row>
    <row r="19" spans="1:18" ht="22">
      <c r="A19" s="74" t="str" cm="1">
        <f t="array" aca="1" ref="A19" ca="1">_xlfn.LET(
_xlpm.詳細項目数, COUNTA($E$11:E19),
_xlpm.直近で詳細項目が空でないセルの行番号, MAX(INDEX((LEN($E$11:E19)&gt;0)*ROW($E$11:E19),0)),
_xlpm.観点数, COUNTA(INDIRECT("F"&amp;_xlpm.直近で詳細項目が空でないセルの行番号):F19),
_xlpm.直近で観点が空でないセルの行番号, MAX(INDEX((LEN($F$11:F19)&gt;0)*ROW($F$11:F19),0)),
_xlpm.テスト内容数, COUNTA(INDIRECT("J"&amp;_xlpm.直近で観点が空でないセルの行番号):J19),
_xlpm.テスト内容数_空なら1, IF(_xlpm.テスト内容数=0,1,_xlpm.テスト内容数),
_xlpm.詳細項目数&amp;"-"&amp;_xlpm.観点数&amp;"-"&amp;_xlpm.テスト内容数_空なら1
)</f>
        <v>4-2-1</v>
      </c>
      <c r="B19" s="143"/>
      <c r="C19" s="144"/>
      <c r="D19" s="146"/>
      <c r="E19" s="146"/>
      <c r="F19" s="124" t="s">
        <v>111</v>
      </c>
      <c r="G19" s="125" t="s">
        <v>512</v>
      </c>
      <c r="H19" s="112"/>
      <c r="I19" s="112"/>
      <c r="J19" s="125"/>
      <c r="K19" s="125"/>
      <c r="L19" s="112"/>
      <c r="M19" s="112"/>
      <c r="N19" s="112"/>
      <c r="O19" s="112"/>
      <c r="P19" s="112"/>
      <c r="Q19" s="123"/>
      <c r="R19" s="125"/>
    </row>
    <row r="20" spans="1:18" ht="22">
      <c r="A20" s="74" t="str" cm="1">
        <f t="array" aca="1" ref="A20" ca="1">_xlfn.LET(
_xlpm.詳細項目数, COUNTA($E$11:E20),
_xlpm.直近で詳細項目が空でないセルの行番号, MAX(INDEX((LEN($E$11:E20)&gt;0)*ROW($E$11:E20),0)),
_xlpm.観点数, COUNTA(INDIRECT("F"&amp;_xlpm.直近で詳細項目が空でないセルの行番号):F20),
_xlpm.直近で観点が空でないセルの行番号, MAX(INDEX((LEN($F$11:F20)&gt;0)*ROW($F$11:F20),0)),
_xlpm.テスト内容数, COUNTA(INDIRECT("J"&amp;_xlpm.直近で観点が空でないセルの行番号):J20),
_xlpm.テスト内容数_空なら1, IF(_xlpm.テスト内容数=0,1,_xlpm.テスト内容数),
_xlpm.詳細項目数&amp;"-"&amp;_xlpm.観点数&amp;"-"&amp;_xlpm.テスト内容数_空なら1
)</f>
        <v>4-3-1</v>
      </c>
      <c r="B20" s="143"/>
      <c r="C20" s="144"/>
      <c r="D20" s="146"/>
      <c r="E20" s="145"/>
      <c r="F20" s="124" t="s">
        <v>112</v>
      </c>
      <c r="G20" s="125" t="s">
        <v>512</v>
      </c>
      <c r="H20" s="112"/>
      <c r="I20" s="112"/>
      <c r="J20" s="125"/>
      <c r="K20" s="125"/>
      <c r="L20" s="112"/>
      <c r="M20" s="112"/>
      <c r="N20" s="112"/>
      <c r="O20" s="112"/>
      <c r="P20" s="112"/>
      <c r="Q20" s="123"/>
      <c r="R20" s="125"/>
    </row>
    <row r="21" spans="1:18" ht="22">
      <c r="A21" s="74" t="str" cm="1">
        <f t="array" aca="1" ref="A21" ca="1">_xlfn.LET(
_xlpm.詳細項目数, COUNTA($E$11:E21),
_xlpm.直近で詳細項目が空でないセルの行番号, MAX(INDEX((LEN($E$11:E21)&gt;0)*ROW($E$11:E21),0)),
_xlpm.観点数, COUNTA(INDIRECT("F"&amp;_xlpm.直近で詳細項目が空でないセルの行番号):F21),
_xlpm.直近で観点が空でないセルの行番号, MAX(INDEX((LEN($F$11:F21)&gt;0)*ROW($F$11:F21),0)),
_xlpm.テスト内容数, COUNTA(INDIRECT("J"&amp;_xlpm.直近で観点が空でないセルの行番号):J21),
_xlpm.テスト内容数_空なら1, IF(_xlpm.テスト内容数=0,1,_xlpm.テスト内容数),
_xlpm.詳細項目数&amp;"-"&amp;_xlpm.観点数&amp;"-"&amp;_xlpm.テスト内容数_空なら1
)</f>
        <v>5-1-1</v>
      </c>
      <c r="B21" s="143"/>
      <c r="C21" s="144"/>
      <c r="D21" s="146"/>
      <c r="E21" s="146" t="s">
        <v>113</v>
      </c>
      <c r="F21" s="124" t="s">
        <v>114</v>
      </c>
      <c r="G21" s="125" t="s">
        <v>512</v>
      </c>
      <c r="H21" s="112"/>
      <c r="I21" s="112"/>
      <c r="J21" s="125"/>
      <c r="K21" s="125"/>
      <c r="L21" s="112"/>
      <c r="M21" s="112"/>
      <c r="N21" s="112"/>
      <c r="O21" s="112"/>
      <c r="P21" s="112"/>
      <c r="Q21" s="123"/>
      <c r="R21" s="125"/>
    </row>
    <row r="22" spans="1:18" ht="22">
      <c r="A22" s="74" t="str" cm="1">
        <f t="array" aca="1" ref="A22" ca="1">_xlfn.LET(
_xlpm.詳細項目数, COUNTA($E$11:E22),
_xlpm.直近で詳細項目が空でないセルの行番号, MAX(INDEX((LEN($E$11:E22)&gt;0)*ROW($E$11:E22),0)),
_xlpm.観点数, COUNTA(INDIRECT("F"&amp;_xlpm.直近で詳細項目が空でないセルの行番号):F22),
_xlpm.直近で観点が空でないセルの行番号, MAX(INDEX((LEN($F$11:F22)&gt;0)*ROW($F$11:F22),0)),
_xlpm.テスト内容数, COUNTA(INDIRECT("J"&amp;_xlpm.直近で観点が空でないセルの行番号):J22),
_xlpm.テスト内容数_空なら1, IF(_xlpm.テスト内容数=0,1,_xlpm.テスト内容数),
_xlpm.詳細項目数&amp;"-"&amp;_xlpm.観点数&amp;"-"&amp;_xlpm.テスト内容数_空なら1
)</f>
        <v>5-2-1</v>
      </c>
      <c r="B22" s="143"/>
      <c r="C22" s="144"/>
      <c r="D22" s="146"/>
      <c r="E22" s="146"/>
      <c r="F22" s="124" t="s">
        <v>115</v>
      </c>
      <c r="G22" s="125" t="s">
        <v>512</v>
      </c>
      <c r="H22" s="112"/>
      <c r="I22" s="112"/>
      <c r="J22" s="125"/>
      <c r="K22" s="125"/>
      <c r="L22" s="112"/>
      <c r="M22" s="112"/>
      <c r="N22" s="112"/>
      <c r="O22" s="112"/>
      <c r="P22" s="112"/>
      <c r="Q22" s="123"/>
      <c r="R22" s="125"/>
    </row>
    <row r="23" spans="1:18" ht="22">
      <c r="A23" s="74" t="str" cm="1">
        <f t="array" aca="1" ref="A23" ca="1">_xlfn.LET(
_xlpm.詳細項目数, COUNTA($E$11:E23),
_xlpm.直近で詳細項目が空でないセルの行番号, MAX(INDEX((LEN($E$11:E23)&gt;0)*ROW($E$11:E23),0)),
_xlpm.観点数, COUNTA(INDIRECT("F"&amp;_xlpm.直近で詳細項目が空でないセルの行番号):F23),
_xlpm.直近で観点が空でないセルの行番号, MAX(INDEX((LEN($F$11:F23)&gt;0)*ROW($F$11:F23),0)),
_xlpm.テスト内容数, COUNTA(INDIRECT("J"&amp;_xlpm.直近で観点が空でないセルの行番号):J23),
_xlpm.テスト内容数_空なら1, IF(_xlpm.テスト内容数=0,1,_xlpm.テスト内容数),
_xlpm.詳細項目数&amp;"-"&amp;_xlpm.観点数&amp;"-"&amp;_xlpm.テスト内容数_空なら1
)</f>
        <v>5-3-1</v>
      </c>
      <c r="B23" s="143"/>
      <c r="C23" s="144"/>
      <c r="D23" s="146"/>
      <c r="E23" s="146"/>
      <c r="F23" s="124" t="s">
        <v>464</v>
      </c>
      <c r="G23" s="125" t="s">
        <v>512</v>
      </c>
      <c r="H23" s="112"/>
      <c r="I23" s="112"/>
      <c r="J23" s="125"/>
      <c r="K23" s="125"/>
      <c r="L23" s="112"/>
      <c r="M23" s="112"/>
      <c r="N23" s="112"/>
      <c r="O23" s="112"/>
      <c r="P23" s="112"/>
      <c r="Q23" s="123"/>
      <c r="R23" s="125"/>
    </row>
    <row r="24" spans="1:18" ht="22">
      <c r="A24" s="74" t="str" cm="1">
        <f t="array" aca="1" ref="A24" ca="1">_xlfn.LET(
_xlpm.詳細項目数, COUNTA($E$11:E24),
_xlpm.直近で詳細項目が空でないセルの行番号, MAX(INDEX((LEN($E$11:E24)&gt;0)*ROW($E$11:E24),0)),
_xlpm.観点数, COUNTA(INDIRECT("F"&amp;_xlpm.直近で詳細項目が空でないセルの行番号):F24),
_xlpm.直近で観点が空でないセルの行番号, MAX(INDEX((LEN($F$11:F24)&gt;0)*ROW($F$11:F24),0)),
_xlpm.テスト内容数, COUNTA(INDIRECT("J"&amp;_xlpm.直近で観点が空でないセルの行番号):J24),
_xlpm.テスト内容数_空なら1, IF(_xlpm.テスト内容数=0,1,_xlpm.テスト内容数),
_xlpm.詳細項目数&amp;"-"&amp;_xlpm.観点数&amp;"-"&amp;_xlpm.テスト内容数_空なら1
)</f>
        <v>5-4-1</v>
      </c>
      <c r="B24" s="143"/>
      <c r="C24" s="144"/>
      <c r="D24" s="147"/>
      <c r="E24" s="145"/>
      <c r="F24" s="75" t="s">
        <v>117</v>
      </c>
      <c r="G24" s="125" t="s">
        <v>512</v>
      </c>
      <c r="H24" s="112"/>
      <c r="I24" s="112"/>
      <c r="J24" s="125"/>
      <c r="K24" s="125"/>
      <c r="L24" s="112"/>
      <c r="M24" s="112"/>
      <c r="N24" s="112"/>
      <c r="O24" s="112"/>
      <c r="P24" s="112"/>
      <c r="Q24" s="123"/>
      <c r="R24" s="125"/>
    </row>
    <row r="25" spans="1:18" ht="22">
      <c r="A25" s="74" t="str" cm="1">
        <f t="array" aca="1" ref="A25" ca="1">_xlfn.LET(
_xlpm.詳細項目数, COUNTA($E$11:E25),
_xlpm.直近で詳細項目が空でないセルの行番号, MAX(INDEX((LEN($E$11:E25)&gt;0)*ROW($E$11:E25),0)),
_xlpm.観点数, COUNTA(INDIRECT("F"&amp;_xlpm.直近で詳細項目が空でないセルの行番号):F25),
_xlpm.直近で観点が空でないセルの行番号, MAX(INDEX((LEN($F$11:F25)&gt;0)*ROW($F$11:F25),0)),
_xlpm.テスト内容数, COUNTA(INDIRECT("J"&amp;_xlpm.直近で観点が空でないセルの行番号):J25),
_xlpm.テスト内容数_空なら1, IF(_xlpm.テスト内容数=0,1,_xlpm.テスト内容数),
_xlpm.詳細項目数&amp;"-"&amp;_xlpm.観点数&amp;"-"&amp;_xlpm.テスト内容数_空なら1
)</f>
        <v>6-1-1</v>
      </c>
      <c r="B25" s="143"/>
      <c r="C25" s="144"/>
      <c r="D25" s="146" t="s">
        <v>118</v>
      </c>
      <c r="E25" s="146" t="s">
        <v>38</v>
      </c>
      <c r="F25" s="124" t="s">
        <v>119</v>
      </c>
      <c r="G25" s="125" t="s">
        <v>512</v>
      </c>
      <c r="H25" s="112"/>
      <c r="I25" s="112"/>
      <c r="J25" s="125"/>
      <c r="K25" s="125"/>
      <c r="L25" s="112"/>
      <c r="M25" s="112"/>
      <c r="N25" s="112"/>
      <c r="O25" s="112"/>
      <c r="P25" s="112"/>
      <c r="Q25" s="123"/>
      <c r="R25" s="125"/>
    </row>
    <row r="26" spans="1:18">
      <c r="A26" s="74" t="str" cm="1">
        <f t="array" aca="1" ref="A26" ca="1">_xlfn.LET(
_xlpm.詳細項目数, COUNTA($E$11:E26),
_xlpm.直近で詳細項目が空でないセルの行番号, MAX(INDEX((LEN($E$11:E26)&gt;0)*ROW($E$11:E26),0)),
_xlpm.観点数, COUNTA(INDIRECT("F"&amp;_xlpm.直近で詳細項目が空でないセルの行番号):F26),
_xlpm.直近で観点が空でないセルの行番号, MAX(INDEX((LEN($F$11:F26)&gt;0)*ROW($F$11:F26),0)),
_xlpm.テスト内容数, COUNTA(INDIRECT("J"&amp;_xlpm.直近で観点が空でないセルの行番号):J26),
_xlpm.テスト内容数_空なら1, IF(_xlpm.テスト内容数=0,1,_xlpm.テスト内容数),
_xlpm.詳細項目数&amp;"-"&amp;_xlpm.観点数&amp;"-"&amp;_xlpm.テスト内容数_空なら1
)</f>
        <v>6-2-1</v>
      </c>
      <c r="B26" s="143"/>
      <c r="C26" s="144"/>
      <c r="D26" s="147"/>
      <c r="E26" s="145"/>
      <c r="F26" s="124" t="s">
        <v>120</v>
      </c>
      <c r="G26" s="125" t="s">
        <v>512</v>
      </c>
      <c r="H26" s="112"/>
      <c r="I26" s="112"/>
      <c r="J26" s="125"/>
      <c r="K26" s="125"/>
      <c r="L26" s="112"/>
      <c r="M26" s="112"/>
      <c r="N26" s="112"/>
      <c r="O26" s="112"/>
      <c r="P26" s="112"/>
      <c r="Q26" s="123"/>
      <c r="R26" s="125"/>
    </row>
    <row r="27" spans="1:18" ht="33">
      <c r="A27" s="74" t="str" cm="1">
        <f t="array" aca="1" ref="A27" ca="1">_xlfn.LET(
_xlpm.詳細項目数, COUNTA($E$11:E27),
_xlpm.直近で詳細項目が空でないセルの行番号, MAX(INDEX((LEN($E$11:E27)&gt;0)*ROW($E$11:E27),0)),
_xlpm.観点数, COUNTA(INDIRECT("F"&amp;_xlpm.直近で詳細項目が空でないセルの行番号):F27),
_xlpm.直近で観点が空でないセルの行番号, MAX(INDEX((LEN($F$11:F27)&gt;0)*ROW($F$11:F27),0)),
_xlpm.テスト内容数, COUNTA(INDIRECT("J"&amp;_xlpm.直近で観点が空でないセルの行番号):J27),
_xlpm.テスト内容数_空なら1, IF(_xlpm.テスト内容数=0,1,_xlpm.テスト内容数),
_xlpm.詳細項目数&amp;"-"&amp;_xlpm.観点数&amp;"-"&amp;_xlpm.テスト内容数_空なら1
)</f>
        <v>7-1-1</v>
      </c>
      <c r="B27" s="143"/>
      <c r="C27" s="144"/>
      <c r="D27" s="146" t="s">
        <v>121</v>
      </c>
      <c r="E27" s="146" t="s">
        <v>122</v>
      </c>
      <c r="F27" s="124" t="s">
        <v>123</v>
      </c>
      <c r="G27" s="125" t="s">
        <v>512</v>
      </c>
      <c r="H27" s="112"/>
      <c r="I27" s="112"/>
      <c r="J27" s="125"/>
      <c r="K27" s="125"/>
      <c r="L27" s="112"/>
      <c r="M27" s="112"/>
      <c r="N27" s="112"/>
      <c r="O27" s="112"/>
      <c r="P27" s="112"/>
      <c r="Q27" s="123"/>
      <c r="R27" s="125"/>
    </row>
    <row r="28" spans="1:18" ht="22">
      <c r="A28" s="74" t="str" cm="1">
        <f t="array" aca="1" ref="A28" ca="1">_xlfn.LET(
_xlpm.詳細項目数, COUNTA($E$11:E28),
_xlpm.直近で詳細項目が空でないセルの行番号, MAX(INDEX((LEN($E$11:E28)&gt;0)*ROW($E$11:E28),0)),
_xlpm.観点数, COUNTA(INDIRECT("F"&amp;_xlpm.直近で詳細項目が空でないセルの行番号):F28),
_xlpm.直近で観点が空でないセルの行番号, MAX(INDEX((LEN($F$11:F28)&gt;0)*ROW($F$11:F28),0)),
_xlpm.テスト内容数, COUNTA(INDIRECT("J"&amp;_xlpm.直近で観点が空でないセルの行番号):J28),
_xlpm.テスト内容数_空なら1, IF(_xlpm.テスト内容数=0,1,_xlpm.テスト内容数),
_xlpm.詳細項目数&amp;"-"&amp;_xlpm.観点数&amp;"-"&amp;_xlpm.テスト内容数_空なら1
)</f>
        <v>7-2-1</v>
      </c>
      <c r="B28" s="143"/>
      <c r="C28" s="144"/>
      <c r="D28" s="146"/>
      <c r="E28" s="145"/>
      <c r="F28" s="124" t="s">
        <v>124</v>
      </c>
      <c r="G28" s="125" t="s">
        <v>512</v>
      </c>
      <c r="H28" s="112"/>
      <c r="I28" s="112"/>
      <c r="J28" s="125"/>
      <c r="K28" s="125"/>
      <c r="L28" s="112"/>
      <c r="M28" s="112"/>
      <c r="N28" s="112"/>
      <c r="O28" s="112"/>
      <c r="P28" s="112"/>
      <c r="Q28" s="123"/>
      <c r="R28" s="125"/>
    </row>
    <row r="29" spans="1:18" ht="22">
      <c r="A29" s="74" t="str" cm="1">
        <f t="array" aca="1" ref="A29" ca="1">_xlfn.LET(
_xlpm.詳細項目数, COUNTA($E$11:E29),
_xlpm.直近で詳細項目が空でないセルの行番号, MAX(INDEX((LEN($E$11:E29)&gt;0)*ROW($E$11:E29),0)),
_xlpm.観点数, COUNTA(INDIRECT("F"&amp;_xlpm.直近で詳細項目が空でないセルの行番号):F29),
_xlpm.直近で観点が空でないセルの行番号, MAX(INDEX((LEN($F$11:F29)&gt;0)*ROW($F$11:F29),0)),
_xlpm.テスト内容数, COUNTA(INDIRECT("J"&amp;_xlpm.直近で観点が空でないセルの行番号):J29),
_xlpm.テスト内容数_空なら1, IF(_xlpm.テスト内容数=0,1,_xlpm.テスト内容数),
_xlpm.詳細項目数&amp;"-"&amp;_xlpm.観点数&amp;"-"&amp;_xlpm.テスト内容数_空なら1
)</f>
        <v>8-1-1</v>
      </c>
      <c r="B29" s="143"/>
      <c r="C29" s="144"/>
      <c r="D29" s="143"/>
      <c r="E29" s="146" t="s">
        <v>125</v>
      </c>
      <c r="F29" s="124" t="s">
        <v>126</v>
      </c>
      <c r="G29" s="125" t="s">
        <v>512</v>
      </c>
      <c r="H29" s="112"/>
      <c r="I29" s="112"/>
      <c r="J29" s="125"/>
      <c r="K29" s="125"/>
      <c r="L29" s="112"/>
      <c r="M29" s="112"/>
      <c r="N29" s="112"/>
      <c r="O29" s="112"/>
      <c r="P29" s="112"/>
      <c r="Q29" s="123"/>
      <c r="R29" s="125"/>
    </row>
    <row r="30" spans="1:18" ht="22">
      <c r="A30" s="74" t="str" cm="1">
        <f t="array" aca="1" ref="A30" ca="1">_xlfn.LET(
_xlpm.詳細項目数, COUNTA($E$11:E30),
_xlpm.直近で詳細項目が空でないセルの行番号, MAX(INDEX((LEN($E$11:E30)&gt;0)*ROW($E$11:E30),0)),
_xlpm.観点数, COUNTA(INDIRECT("F"&amp;_xlpm.直近で詳細項目が空でないセルの行番号):F30),
_xlpm.直近で観点が空でないセルの行番号, MAX(INDEX((LEN($F$11:F30)&gt;0)*ROW($F$11:F30),0)),
_xlpm.テスト内容数, COUNTA(INDIRECT("J"&amp;_xlpm.直近で観点が空でないセルの行番号):J30),
_xlpm.テスト内容数_空なら1, IF(_xlpm.テスト内容数=0,1,_xlpm.テスト内容数),
_xlpm.詳細項目数&amp;"-"&amp;_xlpm.観点数&amp;"-"&amp;_xlpm.テスト内容数_空なら1
)</f>
        <v>8-2-1</v>
      </c>
      <c r="B30" s="143"/>
      <c r="C30" s="144"/>
      <c r="D30" s="146"/>
      <c r="E30" s="146"/>
      <c r="F30" s="124" t="s">
        <v>127</v>
      </c>
      <c r="G30" s="125" t="s">
        <v>512</v>
      </c>
      <c r="H30" s="112"/>
      <c r="I30" s="112"/>
      <c r="J30" s="125"/>
      <c r="K30" s="125"/>
      <c r="L30" s="112"/>
      <c r="M30" s="112"/>
      <c r="N30" s="112"/>
      <c r="O30" s="112"/>
      <c r="P30" s="112"/>
      <c r="Q30" s="123"/>
      <c r="R30" s="125"/>
    </row>
    <row r="31" spans="1:18" ht="22">
      <c r="A31" s="74" t="str" cm="1">
        <f t="array" aca="1" ref="A31" ca="1">_xlfn.LET(
_xlpm.詳細項目数, COUNTA($E$11:E31),
_xlpm.直近で詳細項目が空でないセルの行番号, MAX(INDEX((LEN($E$11:E31)&gt;0)*ROW($E$11:E31),0)),
_xlpm.観点数, COUNTA(INDIRECT("F"&amp;_xlpm.直近で詳細項目が空でないセルの行番号):F31),
_xlpm.直近で観点が空でないセルの行番号, MAX(INDEX((LEN($F$11:F31)&gt;0)*ROW($F$11:F31),0)),
_xlpm.テスト内容数, COUNTA(INDIRECT("J"&amp;_xlpm.直近で観点が空でないセルの行番号):J31),
_xlpm.テスト内容数_空なら1, IF(_xlpm.テスト内容数=0,1,_xlpm.テスト内容数),
_xlpm.詳細項目数&amp;"-"&amp;_xlpm.観点数&amp;"-"&amp;_xlpm.テスト内容数_空なら1
)</f>
        <v>8-3-1</v>
      </c>
      <c r="B31" s="143"/>
      <c r="C31" s="144"/>
      <c r="D31" s="146"/>
      <c r="E31" s="146"/>
      <c r="F31" s="124" t="s">
        <v>128</v>
      </c>
      <c r="G31" s="125" t="s">
        <v>512</v>
      </c>
      <c r="H31" s="112"/>
      <c r="I31" s="112"/>
      <c r="J31" s="125"/>
      <c r="K31" s="125"/>
      <c r="L31" s="112"/>
      <c r="M31" s="112"/>
      <c r="N31" s="112"/>
      <c r="O31" s="112"/>
      <c r="P31" s="112"/>
      <c r="Q31" s="123"/>
      <c r="R31" s="125"/>
    </row>
    <row r="32" spans="1:18" ht="22">
      <c r="A32" s="74" t="str" cm="1">
        <f t="array" aca="1" ref="A32" ca="1">_xlfn.LET(
_xlpm.詳細項目数, COUNTA($E$11:E32),
_xlpm.直近で詳細項目が空でないセルの行番号, MAX(INDEX((LEN($E$11:E32)&gt;0)*ROW($E$11:E32),0)),
_xlpm.観点数, COUNTA(INDIRECT("F"&amp;_xlpm.直近で詳細項目が空でないセルの行番号):F32),
_xlpm.直近で観点が空でないセルの行番号, MAX(INDEX((LEN($F$11:F32)&gt;0)*ROW($F$11:F32),0)),
_xlpm.テスト内容数, COUNTA(INDIRECT("J"&amp;_xlpm.直近で観点が空でないセルの行番号):J32),
_xlpm.テスト内容数_空なら1, IF(_xlpm.テスト内容数=0,1,_xlpm.テスト内容数),
_xlpm.詳細項目数&amp;"-"&amp;_xlpm.観点数&amp;"-"&amp;_xlpm.テスト内容数_空なら1
)</f>
        <v>8-4-1</v>
      </c>
      <c r="B32" s="143"/>
      <c r="C32" s="144"/>
      <c r="D32" s="146"/>
      <c r="E32" s="145"/>
      <c r="F32" s="124" t="s">
        <v>129</v>
      </c>
      <c r="G32" s="125" t="s">
        <v>512</v>
      </c>
      <c r="H32" s="112"/>
      <c r="I32" s="112"/>
      <c r="J32" s="125"/>
      <c r="K32" s="125"/>
      <c r="L32" s="112"/>
      <c r="M32" s="112"/>
      <c r="N32" s="112"/>
      <c r="O32" s="112"/>
      <c r="P32" s="112"/>
      <c r="Q32" s="123"/>
      <c r="R32" s="125"/>
    </row>
    <row r="33" spans="1:18" ht="22">
      <c r="A33" s="74" t="str" cm="1">
        <f t="array" aca="1" ref="A33" ca="1">_xlfn.LET(
_xlpm.詳細項目数, COUNTA($E$11:E33),
_xlpm.直近で詳細項目が空でないセルの行番号, MAX(INDEX((LEN($E$11:E33)&gt;0)*ROW($E$11:E33),0)),
_xlpm.観点数, COUNTA(INDIRECT("F"&amp;_xlpm.直近で詳細項目が空でないセルの行番号):F33),
_xlpm.直近で観点が空でないセルの行番号, MAX(INDEX((LEN($F$11:F33)&gt;0)*ROW($F$11:F33),0)),
_xlpm.テスト内容数, COUNTA(INDIRECT("J"&amp;_xlpm.直近で観点が空でないセルの行番号):J33),
_xlpm.テスト内容数_空なら1, IF(_xlpm.テスト内容数=0,1,_xlpm.テスト内容数),
_xlpm.詳細項目数&amp;"-"&amp;_xlpm.観点数&amp;"-"&amp;_xlpm.テスト内容数_空なら1
)</f>
        <v>9-1-1</v>
      </c>
      <c r="B33" s="143"/>
      <c r="C33" s="144"/>
      <c r="D33" s="146"/>
      <c r="E33" s="146" t="s">
        <v>465</v>
      </c>
      <c r="F33" s="124" t="s">
        <v>131</v>
      </c>
      <c r="G33" s="125" t="s">
        <v>512</v>
      </c>
      <c r="H33" s="112"/>
      <c r="I33" s="112"/>
      <c r="J33" s="125"/>
      <c r="K33" s="125"/>
      <c r="L33" s="112"/>
      <c r="M33" s="112"/>
      <c r="N33" s="112"/>
      <c r="O33" s="112"/>
      <c r="P33" s="112"/>
      <c r="Q33" s="123"/>
      <c r="R33" s="125"/>
    </row>
    <row r="34" spans="1:18" ht="22">
      <c r="A34" s="74" t="str" cm="1">
        <f t="array" aca="1" ref="A34" ca="1">_xlfn.LET(
_xlpm.詳細項目数, COUNTA($E$11:E34),
_xlpm.直近で詳細項目が空でないセルの行番号, MAX(INDEX((LEN($E$11:E34)&gt;0)*ROW($E$11:E34),0)),
_xlpm.観点数, COUNTA(INDIRECT("F"&amp;_xlpm.直近で詳細項目が空でないセルの行番号):F34),
_xlpm.直近で観点が空でないセルの行番号, MAX(INDEX((LEN($F$11:F34)&gt;0)*ROW($F$11:F34),0)),
_xlpm.テスト内容数, COUNTA(INDIRECT("J"&amp;_xlpm.直近で観点が空でないセルの行番号):J34),
_xlpm.テスト内容数_空なら1, IF(_xlpm.テスト内容数=0,1,_xlpm.テスト内容数),
_xlpm.詳細項目数&amp;"-"&amp;_xlpm.観点数&amp;"-"&amp;_xlpm.テスト内容数_空なら1
)</f>
        <v>9-2-1</v>
      </c>
      <c r="B34" s="143"/>
      <c r="C34" s="144"/>
      <c r="D34" s="146"/>
      <c r="E34" s="145"/>
      <c r="F34" s="124" t="s">
        <v>132</v>
      </c>
      <c r="G34" s="125" t="s">
        <v>512</v>
      </c>
      <c r="H34" s="112"/>
      <c r="I34" s="112"/>
      <c r="J34" s="125"/>
      <c r="K34" s="125"/>
      <c r="L34" s="112"/>
      <c r="M34" s="112"/>
      <c r="N34" s="112"/>
      <c r="O34" s="112"/>
      <c r="P34" s="112"/>
      <c r="Q34" s="123"/>
      <c r="R34" s="125"/>
    </row>
    <row r="35" spans="1:18" ht="44">
      <c r="A35" s="74" t="str" cm="1">
        <f t="array" aca="1" ref="A35" ca="1">_xlfn.LET(
_xlpm.詳細項目数, COUNTA($E$11:E35),
_xlpm.直近で詳細項目が空でないセルの行番号, MAX(INDEX((LEN($E$11:E35)&gt;0)*ROW($E$11:E35),0)),
_xlpm.観点数, COUNTA(INDIRECT("F"&amp;_xlpm.直近で詳細項目が空でないセルの行番号):F35),
_xlpm.直近で観点が空でないセルの行番号, MAX(INDEX((LEN($F$11:F35)&gt;0)*ROW($F$11:F35),0)),
_xlpm.テスト内容数, COUNTA(INDIRECT("J"&amp;_xlpm.直近で観点が空でないセルの行番号):J35),
_xlpm.テスト内容数_空なら1, IF(_xlpm.テスト内容数=0,1,_xlpm.テスト内容数),
_xlpm.詳細項目数&amp;"-"&amp;_xlpm.観点数&amp;"-"&amp;_xlpm.テスト内容数_空なら1
)</f>
        <v>10-1-1</v>
      </c>
      <c r="B35" s="143"/>
      <c r="C35" s="143"/>
      <c r="D35" s="146"/>
      <c r="E35" s="143" t="s">
        <v>133</v>
      </c>
      <c r="F35" s="124" t="s">
        <v>466</v>
      </c>
      <c r="G35" s="125" t="s">
        <v>512</v>
      </c>
      <c r="H35" s="84"/>
      <c r="I35" s="84"/>
      <c r="J35" s="126"/>
      <c r="K35" s="126"/>
      <c r="L35" s="112"/>
      <c r="M35" s="112"/>
      <c r="N35" s="112"/>
      <c r="O35" s="112"/>
      <c r="P35" s="112"/>
      <c r="Q35" s="123"/>
      <c r="R35" s="125"/>
    </row>
    <row r="36" spans="1:18" ht="33">
      <c r="A36" s="74" t="str" cm="1">
        <f t="array" aca="1" ref="A36" ca="1">_xlfn.LET(
_xlpm.詳細項目数, COUNTA($E$11:E36),
_xlpm.直近で詳細項目が空でないセルの行番号, MAX(INDEX((LEN($E$11:E36)&gt;0)*ROW($E$11:E36),0)),
_xlpm.観点数, COUNTA(INDIRECT("F"&amp;_xlpm.直近で詳細項目が空でないセルの行番号):F36),
_xlpm.直近で観点が空でないセルの行番号, MAX(INDEX((LEN($F$11:F36)&gt;0)*ROW($F$11:F36),0)),
_xlpm.テスト内容数, COUNTA(INDIRECT("J"&amp;_xlpm.直近で観点が空でないセルの行番号):J36),
_xlpm.テスト内容数_空なら1, IF(_xlpm.テスト内容数=0,1,_xlpm.テスト内容数),
_xlpm.詳細項目数&amp;"-"&amp;_xlpm.観点数&amp;"-"&amp;_xlpm.テスト内容数_空なら1
)</f>
        <v>11-1-1</v>
      </c>
      <c r="B36" s="143"/>
      <c r="C36" s="148" t="s">
        <v>135</v>
      </c>
      <c r="D36" s="148" t="s">
        <v>467</v>
      </c>
      <c r="E36" s="142" t="s">
        <v>467</v>
      </c>
      <c r="F36" s="145" t="s">
        <v>136</v>
      </c>
      <c r="G36" s="125" t="s">
        <v>512</v>
      </c>
      <c r="H36" s="112"/>
      <c r="I36" s="112"/>
      <c r="J36" s="125"/>
      <c r="K36" s="125"/>
      <c r="L36" s="112"/>
      <c r="M36" s="112"/>
      <c r="N36" s="112"/>
      <c r="O36" s="112"/>
      <c r="P36" s="112"/>
      <c r="Q36" s="123"/>
      <c r="R36" s="125"/>
    </row>
    <row r="37" spans="1:18" ht="33">
      <c r="A37" s="74" t="str" cm="1">
        <f t="array" aca="1" ref="A37" ca="1">_xlfn.LET(
_xlpm.詳細項目数, COUNTA($E$11:E37),
_xlpm.直近で詳細項目が空でないセルの行番号, MAX(INDEX((LEN($E$11:E37)&gt;0)*ROW($E$11:E37),0)),
_xlpm.観点数, COUNTA(INDIRECT("F"&amp;_xlpm.直近で詳細項目が空でないセルの行番号):F37),
_xlpm.直近で観点が空でないセルの行番号, MAX(INDEX((LEN($F$11:F37)&gt;0)*ROW($F$11:F37),0)),
_xlpm.テスト内容数, COUNTA(INDIRECT("J"&amp;_xlpm.直近で観点が空でないセルの行番号):J37),
_xlpm.テスト内容数_空なら1, IF(_xlpm.テスト内容数=0,1,_xlpm.テスト内容数),
_xlpm.詳細項目数&amp;"-"&amp;_xlpm.観点数&amp;"-"&amp;_xlpm.テスト内容数_空なら1
)</f>
        <v>11-2-1</v>
      </c>
      <c r="B37" s="143"/>
      <c r="C37" s="143"/>
      <c r="D37" s="146"/>
      <c r="E37" s="143"/>
      <c r="F37" s="124" t="s">
        <v>468</v>
      </c>
      <c r="G37" s="125" t="s">
        <v>512</v>
      </c>
      <c r="H37" s="112"/>
      <c r="I37" s="112"/>
      <c r="J37" s="125"/>
      <c r="K37" s="125"/>
      <c r="L37" s="112"/>
      <c r="M37" s="112"/>
      <c r="N37" s="112"/>
      <c r="O37" s="112"/>
      <c r="P37" s="112"/>
      <c r="Q37" s="123"/>
      <c r="R37" s="125"/>
    </row>
    <row r="38" spans="1:18" ht="22">
      <c r="A38" s="74" t="str" cm="1">
        <f t="array" aca="1" ref="A38" ca="1">_xlfn.LET(
_xlpm.詳細項目数, COUNTA($E$11:E38),
_xlpm.直近で詳細項目が空でないセルの行番号, MAX(INDEX((LEN($E$11:E38)&gt;0)*ROW($E$11:E38),0)),
_xlpm.観点数, COUNTA(INDIRECT("F"&amp;_xlpm.直近で詳細項目が空でないセルの行番号):F38),
_xlpm.直近で観点が空でないセルの行番号, MAX(INDEX((LEN($F$11:F38)&gt;0)*ROW($F$11:F38),0)),
_xlpm.テスト内容数, COUNTA(INDIRECT("J"&amp;_xlpm.直近で観点が空でないセルの行番号):J38),
_xlpm.テスト内容数_空なら1, IF(_xlpm.テスト内容数=0,1,_xlpm.テスト内容数),
_xlpm.詳細項目数&amp;"-"&amp;_xlpm.観点数&amp;"-"&amp;_xlpm.テスト内容数_空なら1
)</f>
        <v>11-3-1</v>
      </c>
      <c r="B38" s="143"/>
      <c r="C38" s="143"/>
      <c r="D38" s="146"/>
      <c r="E38" s="143"/>
      <c r="F38" s="124" t="s">
        <v>138</v>
      </c>
      <c r="G38" s="125" t="s">
        <v>512</v>
      </c>
      <c r="H38" s="112"/>
      <c r="I38" s="112"/>
      <c r="J38" s="125"/>
      <c r="K38" s="125"/>
      <c r="L38" s="112"/>
      <c r="M38" s="112"/>
      <c r="N38" s="112"/>
      <c r="O38" s="112"/>
      <c r="P38" s="112"/>
      <c r="Q38" s="123"/>
      <c r="R38" s="125"/>
    </row>
    <row r="39" spans="1:18" ht="22">
      <c r="A39" s="74" t="str" cm="1">
        <f t="array" aca="1" ref="A39" ca="1">_xlfn.LET(
_xlpm.詳細項目数, COUNTA($E$11:E39),
_xlpm.直近で詳細項目が空でないセルの行番号, MAX(INDEX((LEN($E$11:E39)&gt;0)*ROW($E$11:E39),0)),
_xlpm.観点数, COUNTA(INDIRECT("F"&amp;_xlpm.直近で詳細項目が空でないセルの行番号):F39),
_xlpm.直近で観点が空でないセルの行番号, MAX(INDEX((LEN($F$11:F39)&gt;0)*ROW($F$11:F39),0)),
_xlpm.テスト内容数, COUNTA(INDIRECT("J"&amp;_xlpm.直近で観点が空でないセルの行番号):J39),
_xlpm.テスト内容数_空なら1, IF(_xlpm.テスト内容数=0,1,_xlpm.テスト内容数),
_xlpm.詳細項目数&amp;"-"&amp;_xlpm.観点数&amp;"-"&amp;_xlpm.テスト内容数_空なら1
)</f>
        <v>11-4-1</v>
      </c>
      <c r="B39" s="143"/>
      <c r="C39" s="143"/>
      <c r="D39" s="147"/>
      <c r="E39" s="145"/>
      <c r="F39" s="124" t="s">
        <v>139</v>
      </c>
      <c r="G39" s="125" t="s">
        <v>512</v>
      </c>
      <c r="H39" s="112"/>
      <c r="I39" s="112"/>
      <c r="J39" s="125"/>
      <c r="K39" s="125"/>
      <c r="L39" s="112"/>
      <c r="M39" s="112"/>
      <c r="N39" s="112"/>
      <c r="O39" s="112"/>
      <c r="P39" s="112"/>
      <c r="Q39" s="123"/>
      <c r="R39" s="125"/>
    </row>
    <row r="40" spans="1:18" ht="33">
      <c r="A40" s="74" t="str" cm="1">
        <f t="array" aca="1" ref="A40" ca="1">_xlfn.LET(
_xlpm.詳細項目数, COUNTA($E$11:E40),
_xlpm.直近で詳細項目が空でないセルの行番号, MAX(INDEX((LEN($E$11:E40)&gt;0)*ROW($E$11:E40),0)),
_xlpm.観点数, COUNTA(INDIRECT("F"&amp;_xlpm.直近で詳細項目が空でないセルの行番号):F40),
_xlpm.直近で観点が空でないセルの行番号, MAX(INDEX((LEN($F$11:F40)&gt;0)*ROW($F$11:F40),0)),
_xlpm.テスト内容数, COUNTA(INDIRECT("J"&amp;_xlpm.直近で観点が空でないセルの行番号):J40),
_xlpm.テスト内容数_空なら1, IF(_xlpm.テスト内容数=0,1,_xlpm.テスト内容数),
_xlpm.詳細項目数&amp;"-"&amp;_xlpm.観点数&amp;"-"&amp;_xlpm.テスト内容数_空なら1
)</f>
        <v>12-1-1</v>
      </c>
      <c r="B40" s="143"/>
      <c r="C40" s="143"/>
      <c r="D40" s="146" t="s">
        <v>140</v>
      </c>
      <c r="E40" s="143" t="s">
        <v>102</v>
      </c>
      <c r="F40" s="124" t="s">
        <v>469</v>
      </c>
      <c r="G40" s="125" t="s">
        <v>512</v>
      </c>
      <c r="H40" s="112"/>
      <c r="I40" s="112"/>
      <c r="J40" s="125"/>
      <c r="K40" s="125"/>
      <c r="L40" s="112"/>
      <c r="M40" s="112"/>
      <c r="N40" s="112"/>
      <c r="O40" s="112"/>
      <c r="P40" s="112"/>
      <c r="Q40" s="123"/>
      <c r="R40" s="125"/>
    </row>
    <row r="41" spans="1:18">
      <c r="A41" s="74" t="str" cm="1">
        <f t="array" aca="1" ref="A41" ca="1">_xlfn.LET(
_xlpm.詳細項目数, COUNTA($E$11:E41),
_xlpm.直近で詳細項目が空でないセルの行番号, MAX(INDEX((LEN($E$11:E41)&gt;0)*ROW($E$11:E41),0)),
_xlpm.観点数, COUNTA(INDIRECT("F"&amp;_xlpm.直近で詳細項目が空でないセルの行番号):F41),
_xlpm.直近で観点が空でないセルの行番号, MAX(INDEX((LEN($F$11:F41)&gt;0)*ROW($F$11:F41),0)),
_xlpm.テスト内容数, COUNTA(INDIRECT("J"&amp;_xlpm.直近で観点が空でないセルの行番号):J41),
_xlpm.テスト内容数_空なら1, IF(_xlpm.テスト内容数=0,1,_xlpm.テスト内容数),
_xlpm.詳細項目数&amp;"-"&amp;_xlpm.観点数&amp;"-"&amp;_xlpm.テスト内容数_空なら1
)</f>
        <v>12-2-1</v>
      </c>
      <c r="B41" s="145"/>
      <c r="C41" s="145"/>
      <c r="D41" s="147"/>
      <c r="E41" s="145"/>
      <c r="F41" s="124" t="s">
        <v>470</v>
      </c>
      <c r="G41" s="125" t="s">
        <v>512</v>
      </c>
      <c r="H41" s="112"/>
      <c r="I41" s="112"/>
      <c r="J41" s="125"/>
      <c r="K41" s="125"/>
      <c r="L41" s="112"/>
      <c r="M41" s="112"/>
      <c r="N41" s="112"/>
      <c r="O41" s="112"/>
      <c r="P41" s="112"/>
      <c r="Q41" s="123"/>
      <c r="R41" s="125"/>
    </row>
    <row r="42" spans="1:18" ht="22">
      <c r="A42" s="74" t="str" cm="1">
        <f t="array" aca="1" ref="A42" ca="1">_xlfn.LET(
_xlpm.詳細項目数, COUNTA($E$11:E42),
_xlpm.直近で詳細項目が空でないセルの行番号, MAX(INDEX((LEN($E$11:E42)&gt;0)*ROW($E$11:E42),0)),
_xlpm.観点数, COUNTA(INDIRECT("F"&amp;_xlpm.直近で詳細項目が空でないセルの行番号):F42),
_xlpm.直近で観点が空でないセルの行番号, MAX(INDEX((LEN($F$11:F42)&gt;0)*ROW($F$11:F42),0)),
_xlpm.テスト内容数, COUNTA(INDIRECT("J"&amp;_xlpm.直近で観点が空でないセルの行番号):J42),
_xlpm.テスト内容数_空なら1, IF(_xlpm.テスト内容数=0,1,_xlpm.テスト内容数),
_xlpm.詳細項目数&amp;"-"&amp;_xlpm.観点数&amp;"-"&amp;_xlpm.テスト内容数_空なら1
)</f>
        <v>13-1-1</v>
      </c>
      <c r="B42" s="143" t="s">
        <v>143</v>
      </c>
      <c r="C42" s="149" t="s">
        <v>144</v>
      </c>
      <c r="D42" s="149" t="s">
        <v>145</v>
      </c>
      <c r="E42" s="150" t="s">
        <v>146</v>
      </c>
      <c r="F42" s="124" t="s">
        <v>147</v>
      </c>
      <c r="G42" s="125" t="s">
        <v>498</v>
      </c>
      <c r="H42" s="84"/>
      <c r="I42" s="84"/>
      <c r="J42" s="128"/>
      <c r="K42" s="128"/>
      <c r="L42" s="112"/>
      <c r="M42" s="112"/>
      <c r="N42" s="112"/>
      <c r="O42" s="112"/>
      <c r="P42" s="112"/>
      <c r="Q42" s="123"/>
      <c r="R42" s="125"/>
    </row>
    <row r="43" spans="1:18" ht="22">
      <c r="A43" s="74" t="str" cm="1">
        <f t="array" aca="1" ref="A43" ca="1">_xlfn.LET(
_xlpm.詳細項目数, COUNTA($E$11:E43),
_xlpm.直近で詳細項目が空でないセルの行番号, MAX(INDEX((LEN($E$11:E43)&gt;0)*ROW($E$11:E43),0)),
_xlpm.観点数, COUNTA(INDIRECT("F"&amp;_xlpm.直近で詳細項目が空でないセルの行番号):F43),
_xlpm.直近で観点が空でないセルの行番号, MAX(INDEX((LEN($F$11:F43)&gt;0)*ROW($F$11:F43),0)),
_xlpm.テスト内容数, COUNTA(INDIRECT("J"&amp;_xlpm.直近で観点が空でないセルの行番号):J43),
_xlpm.テスト内容数_空なら1, IF(_xlpm.テスト内容数=0,1,_xlpm.テスト内容数),
_xlpm.詳細項目数&amp;"-"&amp;_xlpm.観点数&amp;"-"&amp;_xlpm.テスト内容数_空なら1
)</f>
        <v>13-2-1</v>
      </c>
      <c r="B43" s="143"/>
      <c r="C43" s="143"/>
      <c r="D43" s="143"/>
      <c r="E43" s="146"/>
      <c r="F43" s="124" t="s">
        <v>148</v>
      </c>
      <c r="G43" s="125" t="s">
        <v>498</v>
      </c>
      <c r="H43" s="75"/>
      <c r="I43" s="84"/>
      <c r="J43" s="128"/>
      <c r="K43" s="128"/>
      <c r="L43" s="112"/>
      <c r="M43" s="112"/>
      <c r="N43" s="112"/>
      <c r="O43" s="112"/>
      <c r="P43" s="112"/>
      <c r="Q43" s="123"/>
      <c r="R43" s="125"/>
    </row>
    <row r="44" spans="1:18" ht="33">
      <c r="A44" s="74" t="str" cm="1">
        <f t="array" aca="1" ref="A44" ca="1">_xlfn.LET(
_xlpm.詳細項目数, COUNTA($E$11:E44),
_xlpm.直近で詳細項目が空でないセルの行番号, MAX(INDEX((LEN($E$11:E44)&gt;0)*ROW($E$11:E44),0)),
_xlpm.観点数, COUNTA(INDIRECT("F"&amp;_xlpm.直近で詳細項目が空でないセルの行番号):F44),
_xlpm.直近で観点が空でないセルの行番号, MAX(INDEX((LEN($F$11:F44)&gt;0)*ROW($F$11:F44),0)),
_xlpm.テスト内容数, COUNTA(INDIRECT("J"&amp;_xlpm.直近で観点が空でないセルの行番号):J44),
_xlpm.テスト内容数_空なら1, IF(_xlpm.テスト内容数=0,1,_xlpm.テスト内容数),
_xlpm.詳細項目数&amp;"-"&amp;_xlpm.観点数&amp;"-"&amp;_xlpm.テスト内容数_空なら1
)</f>
        <v>13-3-1</v>
      </c>
      <c r="B44" s="143"/>
      <c r="C44" s="143"/>
      <c r="D44" s="143"/>
      <c r="E44" s="145"/>
      <c r="F44" s="124" t="s">
        <v>149</v>
      </c>
      <c r="G44" s="125" t="s">
        <v>498</v>
      </c>
      <c r="H44" s="75"/>
      <c r="I44" s="84"/>
      <c r="J44" s="128"/>
      <c r="K44" s="128"/>
      <c r="L44" s="112"/>
      <c r="M44" s="112"/>
      <c r="N44" s="112"/>
      <c r="O44" s="112"/>
      <c r="P44" s="112"/>
      <c r="Q44" s="123"/>
      <c r="R44" s="125"/>
    </row>
    <row r="45" spans="1:18" ht="22">
      <c r="A45" s="74" t="str" cm="1">
        <f t="array" aca="1" ref="A45" ca="1">_xlfn.LET(
_xlpm.詳細項目数, COUNTA($E$11:E45),
_xlpm.直近で詳細項目が空でないセルの行番号, MAX(INDEX((LEN($E$11:E45)&gt;0)*ROW($E$11:E45),0)),
_xlpm.観点数, COUNTA(INDIRECT("F"&amp;_xlpm.直近で詳細項目が空でないセルの行番号):F45),
_xlpm.直近で観点が空でないセルの行番号, MAX(INDEX((LEN($F$11:F45)&gt;0)*ROW($F$11:F45),0)),
_xlpm.テスト内容数, COUNTA(INDIRECT("J"&amp;_xlpm.直近で観点が空でないセルの行番号):J45),
_xlpm.テスト内容数_空なら1, IF(_xlpm.テスト内容数=0,1,_xlpm.テスト内容数),
_xlpm.詳細項目数&amp;"-"&amp;_xlpm.観点数&amp;"-"&amp;_xlpm.テスト内容数_空なら1
)</f>
        <v>14-1-1</v>
      </c>
      <c r="B45" s="143"/>
      <c r="C45" s="143"/>
      <c r="D45" s="143"/>
      <c r="E45" s="146" t="s">
        <v>150</v>
      </c>
      <c r="F45" s="124" t="s">
        <v>151</v>
      </c>
      <c r="G45" s="125" t="s">
        <v>498</v>
      </c>
      <c r="H45" s="112"/>
      <c r="I45" s="112"/>
      <c r="J45" s="131"/>
      <c r="K45" s="125"/>
      <c r="L45" s="112"/>
      <c r="M45" s="112"/>
      <c r="N45" s="112"/>
      <c r="O45" s="112"/>
      <c r="P45" s="112"/>
      <c r="Q45" s="123"/>
      <c r="R45" s="125"/>
    </row>
    <row r="46" spans="1:18" ht="22">
      <c r="A46" s="74" t="str" cm="1">
        <f t="array" aca="1" ref="A46" ca="1">_xlfn.LET(
_xlpm.詳細項目数, COUNTA($E$11:E46),
_xlpm.直近で詳細項目が空でないセルの行番号, MAX(INDEX((LEN($E$11:E46)&gt;0)*ROW($E$11:E46),0)),
_xlpm.観点数, COUNTA(INDIRECT("F"&amp;_xlpm.直近で詳細項目が空でないセルの行番号):F46),
_xlpm.直近で観点が空でないセルの行番号, MAX(INDEX((LEN($F$11:F46)&gt;0)*ROW($F$11:F46),0)),
_xlpm.テスト内容数, COUNTA(INDIRECT("J"&amp;_xlpm.直近で観点が空でないセルの行番号):J46),
_xlpm.テスト内容数_空なら1, IF(_xlpm.テスト内容数=0,1,_xlpm.テスト内容数),
_xlpm.詳細項目数&amp;"-"&amp;_xlpm.観点数&amp;"-"&amp;_xlpm.テスト内容数_空なら1
)</f>
        <v>14-2-1</v>
      </c>
      <c r="B46" s="143"/>
      <c r="C46" s="143"/>
      <c r="D46" s="143"/>
      <c r="E46" s="146"/>
      <c r="F46" s="124" t="s">
        <v>152</v>
      </c>
      <c r="G46" s="125" t="s">
        <v>498</v>
      </c>
      <c r="H46" s="112"/>
      <c r="I46" s="112"/>
      <c r="J46" s="131"/>
      <c r="K46" s="125"/>
      <c r="L46" s="112"/>
      <c r="M46" s="112"/>
      <c r="N46" s="112"/>
      <c r="O46" s="112"/>
      <c r="P46" s="112"/>
      <c r="Q46" s="123"/>
      <c r="R46" s="125"/>
    </row>
    <row r="47" spans="1:18" ht="33">
      <c r="A47" s="74" t="str" cm="1">
        <f t="array" aca="1" ref="A47" ca="1">_xlfn.LET(
_xlpm.詳細項目数, COUNTA($E$11:E47),
_xlpm.直近で詳細項目が空でないセルの行番号, MAX(INDEX((LEN($E$11:E47)&gt;0)*ROW($E$11:E47),0)),
_xlpm.観点数, COUNTA(INDIRECT("F"&amp;_xlpm.直近で詳細項目が空でないセルの行番号):F47),
_xlpm.直近で観点が空でないセルの行番号, MAX(INDEX((LEN($F$11:F47)&gt;0)*ROW($F$11:F47),0)),
_xlpm.テスト内容数, COUNTA(INDIRECT("J"&amp;_xlpm.直近で観点が空でないセルの行番号):J47),
_xlpm.テスト内容数_空なら1, IF(_xlpm.テスト内容数=0,1,_xlpm.テスト内容数),
_xlpm.詳細項目数&amp;"-"&amp;_xlpm.観点数&amp;"-"&amp;_xlpm.テスト内容数_空なら1
)</f>
        <v>14-3-1</v>
      </c>
      <c r="B47" s="143"/>
      <c r="C47" s="143"/>
      <c r="D47" s="143"/>
      <c r="E47" s="145"/>
      <c r="F47" s="124" t="s">
        <v>149</v>
      </c>
      <c r="G47" s="125" t="s">
        <v>498</v>
      </c>
      <c r="H47" s="112"/>
      <c r="I47" s="112"/>
      <c r="J47" s="131"/>
      <c r="K47" s="125"/>
      <c r="L47" s="112"/>
      <c r="M47" s="112"/>
      <c r="N47" s="112"/>
      <c r="O47" s="112"/>
      <c r="P47" s="112"/>
      <c r="Q47" s="123"/>
      <c r="R47" s="125"/>
    </row>
    <row r="48" spans="1:18" ht="22">
      <c r="A48" s="74" t="str" cm="1">
        <f t="array" aca="1" ref="A48" ca="1">_xlfn.LET(
_xlpm.詳細項目数, COUNTA($E$11:E48),
_xlpm.直近で詳細項目が空でないセルの行番号, MAX(INDEX((LEN($E$11:E48)&gt;0)*ROW($E$11:E48),0)),
_xlpm.観点数, COUNTA(INDIRECT("F"&amp;_xlpm.直近で詳細項目が空でないセルの行番号):F48),
_xlpm.直近で観点が空でないセルの行番号, MAX(INDEX((LEN($F$11:F48)&gt;0)*ROW($F$11:F48),0)),
_xlpm.テスト内容数, COUNTA(INDIRECT("J"&amp;_xlpm.直近で観点が空でないセルの行番号):J48),
_xlpm.テスト内容数_空なら1, IF(_xlpm.テスト内容数=0,1,_xlpm.テスト内容数),
_xlpm.詳細項目数&amp;"-"&amp;_xlpm.観点数&amp;"-"&amp;_xlpm.テスト内容数_空なら1
)</f>
        <v>15-1-1</v>
      </c>
      <c r="B48" s="143"/>
      <c r="C48" s="143"/>
      <c r="D48" s="143"/>
      <c r="E48" s="146" t="s">
        <v>153</v>
      </c>
      <c r="F48" s="142" t="s">
        <v>154</v>
      </c>
      <c r="G48" s="125" t="s">
        <v>498</v>
      </c>
      <c r="H48" s="84"/>
      <c r="I48" s="84"/>
      <c r="J48" s="128"/>
      <c r="K48" s="128"/>
      <c r="L48" s="112"/>
      <c r="M48" s="112"/>
      <c r="N48" s="112"/>
      <c r="O48" s="112"/>
      <c r="P48" s="112"/>
      <c r="Q48" s="123"/>
      <c r="R48" s="125"/>
    </row>
    <row r="49" spans="1:18" ht="22">
      <c r="A49" s="74" t="str" cm="1">
        <f t="array" aca="1" ref="A49" ca="1">_xlfn.LET(
_xlpm.詳細項目数, COUNTA($E$11:E49),
_xlpm.直近で詳細項目が空でないセルの行番号, MAX(INDEX((LEN($E$11:E49)&gt;0)*ROW($E$11:E49),0)),
_xlpm.観点数, COUNTA(INDIRECT("F"&amp;_xlpm.直近で詳細項目が空でないセルの行番号):F49),
_xlpm.直近で観点が空でないセルの行番号, MAX(INDEX((LEN($F$11:F49)&gt;0)*ROW($F$11:F49),0)),
_xlpm.テスト内容数, COUNTA(INDIRECT("J"&amp;_xlpm.直近で観点が空でないセルの行番号):J49),
_xlpm.テスト内容数_空なら1, IF(_xlpm.テスト内容数=0,1,_xlpm.テスト内容数),
_xlpm.詳細項目数&amp;"-"&amp;_xlpm.観点数&amp;"-"&amp;_xlpm.テスト内容数_空なら1
)</f>
        <v>15-2-1</v>
      </c>
      <c r="B49" s="143"/>
      <c r="C49" s="143"/>
      <c r="D49" s="143"/>
      <c r="E49" s="145"/>
      <c r="F49" s="142" t="s">
        <v>155</v>
      </c>
      <c r="G49" s="125" t="s">
        <v>498</v>
      </c>
      <c r="H49" s="84"/>
      <c r="I49" s="84"/>
      <c r="J49" s="128"/>
      <c r="K49" s="128"/>
      <c r="L49" s="112"/>
      <c r="M49" s="112"/>
      <c r="N49" s="112"/>
      <c r="O49" s="112"/>
      <c r="P49" s="112"/>
      <c r="Q49" s="123"/>
      <c r="R49" s="125"/>
    </row>
    <row r="50" spans="1:18" ht="22">
      <c r="A50" s="74" t="str" cm="1">
        <f t="array" aca="1" ref="A50" ca="1">_xlfn.LET(
_xlpm.詳細項目数, COUNTA($E$11:E50),
_xlpm.直近で詳細項目が空でないセルの行番号, MAX(INDEX((LEN($E$11:E50)&gt;0)*ROW($E$11:E50),0)),
_xlpm.観点数, COUNTA(INDIRECT("F"&amp;_xlpm.直近で詳細項目が空でないセルの行番号):F50),
_xlpm.直近で観点が空でないセルの行番号, MAX(INDEX((LEN($F$11:F50)&gt;0)*ROW($F$11:F50),0)),
_xlpm.テスト内容数, COUNTA(INDIRECT("J"&amp;_xlpm.直近で観点が空でないセルの行番号):J50),
_xlpm.テスト内容数_空なら1, IF(_xlpm.テスト内容数=0,1,_xlpm.テスト内容数),
_xlpm.詳細項目数&amp;"-"&amp;_xlpm.観点数&amp;"-"&amp;_xlpm.テスト内容数_空なら1
)</f>
        <v>16-1-1</v>
      </c>
      <c r="B50" s="143"/>
      <c r="C50" s="143"/>
      <c r="D50" s="143"/>
      <c r="E50" s="146" t="s">
        <v>156</v>
      </c>
      <c r="F50" s="124" t="s">
        <v>157</v>
      </c>
      <c r="G50" s="125" t="s">
        <v>498</v>
      </c>
      <c r="H50" s="112"/>
      <c r="I50" s="112"/>
      <c r="J50" s="125"/>
      <c r="K50" s="125"/>
      <c r="L50" s="112"/>
      <c r="M50" s="112"/>
      <c r="N50" s="112"/>
      <c r="O50" s="112"/>
      <c r="P50" s="112"/>
      <c r="Q50" s="123"/>
      <c r="R50" s="125"/>
    </row>
    <row r="51" spans="1:18" ht="22">
      <c r="A51" s="74" t="str" cm="1">
        <f t="array" aca="1" ref="A51" ca="1">_xlfn.LET(
_xlpm.詳細項目数, COUNTA($E$11:E51),
_xlpm.直近で詳細項目が空でないセルの行番号, MAX(INDEX((LEN($E$11:E51)&gt;0)*ROW($E$11:E51),0)),
_xlpm.観点数, COUNTA(INDIRECT("F"&amp;_xlpm.直近で詳細項目が空でないセルの行番号):F51),
_xlpm.直近で観点が空でないセルの行番号, MAX(INDEX((LEN($F$11:F51)&gt;0)*ROW($F$11:F51),0)),
_xlpm.テスト内容数, COUNTA(INDIRECT("J"&amp;_xlpm.直近で観点が空でないセルの行番号):J51),
_xlpm.テスト内容数_空なら1, IF(_xlpm.テスト内容数=0,1,_xlpm.テスト内容数),
_xlpm.詳細項目数&amp;"-"&amp;_xlpm.観点数&amp;"-"&amp;_xlpm.テスト内容数_空なら1
)</f>
        <v>16-2-1</v>
      </c>
      <c r="B51" s="143"/>
      <c r="C51" s="143"/>
      <c r="D51" s="143"/>
      <c r="E51" s="146"/>
      <c r="F51" s="124" t="s">
        <v>158</v>
      </c>
      <c r="G51" s="125" t="s">
        <v>498</v>
      </c>
      <c r="H51" s="112"/>
      <c r="I51" s="112"/>
      <c r="J51" s="125"/>
      <c r="K51" s="125"/>
      <c r="L51" s="112"/>
      <c r="M51" s="112"/>
      <c r="N51" s="112"/>
      <c r="O51" s="112"/>
      <c r="P51" s="112"/>
      <c r="Q51" s="123"/>
      <c r="R51" s="125"/>
    </row>
    <row r="52" spans="1:18" ht="22">
      <c r="A52" s="74" t="str" cm="1">
        <f t="array" aca="1" ref="A52" ca="1">_xlfn.LET(
_xlpm.詳細項目数, COUNTA($E$11:E52),
_xlpm.直近で詳細項目が空でないセルの行番号, MAX(INDEX((LEN($E$11:E52)&gt;0)*ROW($E$11:E52),0)),
_xlpm.観点数, COUNTA(INDIRECT("F"&amp;_xlpm.直近で詳細項目が空でないセルの行番号):F52),
_xlpm.直近で観点が空でないセルの行番号, MAX(INDEX((LEN($F$11:F52)&gt;0)*ROW($F$11:F52),0)),
_xlpm.テスト内容数, COUNTA(INDIRECT("J"&amp;_xlpm.直近で観点が空でないセルの行番号):J52),
_xlpm.テスト内容数_空なら1, IF(_xlpm.テスト内容数=0,1,_xlpm.テスト内容数),
_xlpm.詳細項目数&amp;"-"&amp;_xlpm.観点数&amp;"-"&amp;_xlpm.テスト内容数_空なら1
)</f>
        <v>16-3-1</v>
      </c>
      <c r="B52" s="143"/>
      <c r="C52" s="143"/>
      <c r="D52" s="143"/>
      <c r="E52" s="146"/>
      <c r="F52" s="124" t="s">
        <v>159</v>
      </c>
      <c r="G52" s="125" t="s">
        <v>498</v>
      </c>
      <c r="H52" s="112"/>
      <c r="I52" s="112"/>
      <c r="J52" s="125"/>
      <c r="K52" s="125"/>
      <c r="L52" s="112"/>
      <c r="M52" s="112"/>
      <c r="N52" s="112"/>
      <c r="O52" s="112"/>
      <c r="P52" s="112"/>
      <c r="Q52" s="123"/>
      <c r="R52" s="125"/>
    </row>
    <row r="53" spans="1:18" ht="22">
      <c r="A53" s="74" t="str" cm="1">
        <f t="array" aca="1" ref="A53" ca="1">_xlfn.LET(
_xlpm.詳細項目数, COUNTA($E$11:E53),
_xlpm.直近で詳細項目が空でないセルの行番号, MAX(INDEX((LEN($E$11:E53)&gt;0)*ROW($E$11:E53),0)),
_xlpm.観点数, COUNTA(INDIRECT("F"&amp;_xlpm.直近で詳細項目が空でないセルの行番号):F53),
_xlpm.直近で観点が空でないセルの行番号, MAX(INDEX((LEN($F$11:F53)&gt;0)*ROW($F$11:F53),0)),
_xlpm.テスト内容数, COUNTA(INDIRECT("J"&amp;_xlpm.直近で観点が空でないセルの行番号):J53),
_xlpm.テスト内容数_空なら1, IF(_xlpm.テスト内容数=0,1,_xlpm.テスト内容数),
_xlpm.詳細項目数&amp;"-"&amp;_xlpm.観点数&amp;"-"&amp;_xlpm.テスト内容数_空なら1
)</f>
        <v>16-4-1</v>
      </c>
      <c r="B53" s="143"/>
      <c r="C53" s="143"/>
      <c r="D53" s="143"/>
      <c r="E53" s="146"/>
      <c r="F53" s="124" t="s">
        <v>160</v>
      </c>
      <c r="G53" s="125" t="s">
        <v>498</v>
      </c>
      <c r="H53" s="112"/>
      <c r="I53" s="112"/>
      <c r="J53" s="125"/>
      <c r="K53" s="125"/>
      <c r="L53" s="112"/>
      <c r="M53" s="112"/>
      <c r="N53" s="112"/>
      <c r="O53" s="112"/>
      <c r="P53" s="112"/>
      <c r="Q53" s="123"/>
      <c r="R53" s="125"/>
    </row>
    <row r="54" spans="1:18" ht="22">
      <c r="A54" s="74" t="str" cm="1">
        <f t="array" aca="1" ref="A54" ca="1">_xlfn.LET(
_xlpm.詳細項目数, COUNTA($E$11:E54),
_xlpm.直近で詳細項目が空でないセルの行番号, MAX(INDEX((LEN($E$11:E54)&gt;0)*ROW($E$11:E54),0)),
_xlpm.観点数, COUNTA(INDIRECT("F"&amp;_xlpm.直近で詳細項目が空でないセルの行番号):F54),
_xlpm.直近で観点が空でないセルの行番号, MAX(INDEX((LEN($F$11:F54)&gt;0)*ROW($F$11:F54),0)),
_xlpm.テスト内容数, COUNTA(INDIRECT("J"&amp;_xlpm.直近で観点が空でないセルの行番号):J54),
_xlpm.テスト内容数_空なら1, IF(_xlpm.テスト内容数=0,1,_xlpm.テスト内容数),
_xlpm.詳細項目数&amp;"-"&amp;_xlpm.観点数&amp;"-"&amp;_xlpm.テスト内容数_空なら1
)</f>
        <v>16-5-1</v>
      </c>
      <c r="B54" s="143"/>
      <c r="C54" s="143"/>
      <c r="D54" s="143"/>
      <c r="E54" s="146"/>
      <c r="F54" s="124" t="s">
        <v>161</v>
      </c>
      <c r="G54" s="125" t="s">
        <v>498</v>
      </c>
      <c r="H54" s="112"/>
      <c r="I54" s="112"/>
      <c r="J54" s="125"/>
      <c r="K54" s="125"/>
      <c r="L54" s="112"/>
      <c r="M54" s="112"/>
      <c r="N54" s="112"/>
      <c r="O54" s="112"/>
      <c r="P54" s="112"/>
      <c r="Q54" s="123"/>
      <c r="R54" s="125"/>
    </row>
    <row r="55" spans="1:18" ht="22">
      <c r="A55" s="74" t="str" cm="1">
        <f t="array" aca="1" ref="A55" ca="1">_xlfn.LET(
_xlpm.詳細項目数, COUNTA($E$11:E55),
_xlpm.直近で詳細項目が空でないセルの行番号, MAX(INDEX((LEN($E$11:E55)&gt;0)*ROW($E$11:E55),0)),
_xlpm.観点数, COUNTA(INDIRECT("F"&amp;_xlpm.直近で詳細項目が空でないセルの行番号):F55),
_xlpm.直近で観点が空でないセルの行番号, MAX(INDEX((LEN($F$11:F55)&gt;0)*ROW($F$11:F55),0)),
_xlpm.テスト内容数, COUNTA(INDIRECT("J"&amp;_xlpm.直近で観点が空でないセルの行番号):J55),
_xlpm.テスト内容数_空なら1, IF(_xlpm.テスト内容数=0,1,_xlpm.テスト内容数),
_xlpm.詳細項目数&amp;"-"&amp;_xlpm.観点数&amp;"-"&amp;_xlpm.テスト内容数_空なら1
)</f>
        <v>16-6-1</v>
      </c>
      <c r="B55" s="143"/>
      <c r="C55" s="143"/>
      <c r="D55" s="143"/>
      <c r="E55" s="145"/>
      <c r="F55" s="124" t="s">
        <v>162</v>
      </c>
      <c r="G55" s="125" t="s">
        <v>498</v>
      </c>
      <c r="H55" s="112"/>
      <c r="I55" s="112"/>
      <c r="J55" s="125"/>
      <c r="K55" s="125"/>
      <c r="L55" s="112"/>
      <c r="M55" s="112"/>
      <c r="N55" s="112"/>
      <c r="O55" s="112"/>
      <c r="P55" s="112"/>
      <c r="Q55" s="123"/>
      <c r="R55" s="125"/>
    </row>
    <row r="56" spans="1:18" ht="33">
      <c r="A56" s="74" t="str" cm="1">
        <f t="array" aca="1" ref="A56" ca="1">_xlfn.LET(
_xlpm.詳細項目数, COUNTA($E$11:E56),
_xlpm.直近で詳細項目が空でないセルの行番号, MAX(INDEX((LEN($E$11:E56)&gt;0)*ROW($E$11:E56),0)),
_xlpm.観点数, COUNTA(INDIRECT("F"&amp;_xlpm.直近で詳細項目が空でないセルの行番号):F56),
_xlpm.直近で観点が空でないセルの行番号, MAX(INDEX((LEN($F$11:F56)&gt;0)*ROW($F$11:F56),0)),
_xlpm.テスト内容数, COUNTA(INDIRECT("J"&amp;_xlpm.直近で観点が空でないセルの行番号):J56),
_xlpm.テスト内容数_空なら1, IF(_xlpm.テスト内容数=0,1,_xlpm.テスト内容数),
_xlpm.詳細項目数&amp;"-"&amp;_xlpm.観点数&amp;"-"&amp;_xlpm.テスト内容数_空なら1
)</f>
        <v>17-1-1</v>
      </c>
      <c r="B56" s="143"/>
      <c r="C56" s="143"/>
      <c r="D56" s="143"/>
      <c r="E56" s="142" t="s">
        <v>163</v>
      </c>
      <c r="F56" s="142" t="s">
        <v>164</v>
      </c>
      <c r="G56" s="125" t="s">
        <v>498</v>
      </c>
      <c r="H56" s="84"/>
      <c r="I56" s="84"/>
      <c r="J56" s="128"/>
      <c r="K56" s="128"/>
      <c r="L56" s="112"/>
      <c r="M56" s="112"/>
      <c r="N56" s="112"/>
      <c r="O56" s="112"/>
      <c r="P56" s="112"/>
      <c r="Q56" s="123"/>
      <c r="R56" s="125"/>
    </row>
    <row r="57" spans="1:18" ht="22">
      <c r="A57" s="74" t="str" cm="1">
        <f t="array" aca="1" ref="A57" ca="1">_xlfn.LET(
_xlpm.詳細項目数, COUNTA($E$11:E57),
_xlpm.直近で詳細項目が空でないセルの行番号, MAX(INDEX((LEN($E$11:E57)&gt;0)*ROW($E$11:E57),0)),
_xlpm.観点数, COUNTA(INDIRECT("F"&amp;_xlpm.直近で詳細項目が空でないセルの行番号):F57),
_xlpm.直近で観点が空でないセルの行番号, MAX(INDEX((LEN($F$11:F57)&gt;0)*ROW($F$11:F57),0)),
_xlpm.テスト内容数, COUNTA(INDIRECT("J"&amp;_xlpm.直近で観点が空でないセルの行番号):J57),
_xlpm.テスト内容数_空なら1, IF(_xlpm.テスト内容数=0,1,_xlpm.テスト内容数),
_xlpm.詳細項目数&amp;"-"&amp;_xlpm.観点数&amp;"-"&amp;_xlpm.テスト内容数_空なら1
)</f>
        <v>18-1-1</v>
      </c>
      <c r="B57" s="143"/>
      <c r="C57" s="143"/>
      <c r="D57" s="143"/>
      <c r="E57" s="124" t="s">
        <v>471</v>
      </c>
      <c r="F57" s="124" t="s">
        <v>166</v>
      </c>
      <c r="G57" s="125" t="s">
        <v>498</v>
      </c>
      <c r="H57" s="112"/>
      <c r="I57" s="112"/>
      <c r="J57" s="125"/>
      <c r="K57" s="125"/>
      <c r="L57" s="112"/>
      <c r="M57" s="112"/>
      <c r="N57" s="112"/>
      <c r="O57" s="112"/>
      <c r="P57" s="112"/>
      <c r="Q57" s="123"/>
      <c r="R57" s="125"/>
    </row>
    <row r="58" spans="1:18" ht="22">
      <c r="A58" s="74" t="str" cm="1">
        <f t="array" aca="1" ref="A58" ca="1">_xlfn.LET(
_xlpm.詳細項目数, COUNTA($E$11:E58),
_xlpm.直近で詳細項目が空でないセルの行番号, MAX(INDEX((LEN($E$11:E58)&gt;0)*ROW($E$11:E58),0)),
_xlpm.観点数, COUNTA(INDIRECT("F"&amp;_xlpm.直近で詳細項目が空でないセルの行番号):F58),
_xlpm.直近で観点が空でないセルの行番号, MAX(INDEX((LEN($F$11:F58)&gt;0)*ROW($F$11:F58),0)),
_xlpm.テスト内容数, COUNTA(INDIRECT("J"&amp;_xlpm.直近で観点が空でないセルの行番号):J58),
_xlpm.テスト内容数_空なら1, IF(_xlpm.テスト内容数=0,1,_xlpm.テスト内容数),
_xlpm.詳細項目数&amp;"-"&amp;_xlpm.観点数&amp;"-"&amp;_xlpm.テスト内容数_空なら1
)</f>
        <v>19-1-1</v>
      </c>
      <c r="B58" s="143"/>
      <c r="C58" s="143"/>
      <c r="D58" s="145"/>
      <c r="E58" s="124" t="s">
        <v>167</v>
      </c>
      <c r="F58" s="124" t="s">
        <v>168</v>
      </c>
      <c r="G58" s="125" t="s">
        <v>498</v>
      </c>
      <c r="H58" s="112"/>
      <c r="I58" s="112"/>
      <c r="J58" s="125"/>
      <c r="K58" s="125"/>
      <c r="L58" s="112"/>
      <c r="M58" s="112"/>
      <c r="N58" s="112"/>
      <c r="O58" s="112"/>
      <c r="P58" s="112"/>
      <c r="Q58" s="123"/>
      <c r="R58" s="125"/>
    </row>
    <row r="59" spans="1:18" ht="22">
      <c r="A59" s="74" t="str" cm="1">
        <f t="array" aca="1" ref="A59" ca="1">_xlfn.LET(
_xlpm.詳細項目数, COUNTA($E$11:E59),
_xlpm.直近で詳細項目が空でないセルの行番号, MAX(INDEX((LEN($E$11:E59)&gt;0)*ROW($E$11:E59),0)),
_xlpm.観点数, COUNTA(INDIRECT("F"&amp;_xlpm.直近で詳細項目が空でないセルの行番号):F59),
_xlpm.直近で観点が空でないセルの行番号, MAX(INDEX((LEN($F$11:F59)&gt;0)*ROW($F$11:F59),0)),
_xlpm.テスト内容数, COUNTA(INDIRECT("J"&amp;_xlpm.直近で観点が空でないセルの行番号):J59),
_xlpm.テスト内容数_空なら1, IF(_xlpm.テスト内容数=0,1,_xlpm.テスト内容数),
_xlpm.詳細項目数&amp;"-"&amp;_xlpm.観点数&amp;"-"&amp;_xlpm.テスト内容数_空なら1
)</f>
        <v>20-1-1</v>
      </c>
      <c r="B59" s="143"/>
      <c r="C59" s="143"/>
      <c r="D59" s="143" t="s">
        <v>169</v>
      </c>
      <c r="E59" s="146" t="s">
        <v>467</v>
      </c>
      <c r="F59" s="124" t="s">
        <v>472</v>
      </c>
      <c r="G59" s="125" t="s">
        <v>498</v>
      </c>
      <c r="H59" s="112"/>
      <c r="I59" s="112"/>
      <c r="J59" s="125"/>
      <c r="K59" s="125"/>
      <c r="L59" s="112"/>
      <c r="M59" s="112"/>
      <c r="N59" s="112"/>
      <c r="O59" s="112"/>
      <c r="P59" s="112"/>
      <c r="Q59" s="123"/>
      <c r="R59" s="125"/>
    </row>
    <row r="60" spans="1:18" ht="22">
      <c r="A60" s="74" t="str" cm="1">
        <f t="array" aca="1" ref="A60" ca="1">_xlfn.LET(
_xlpm.詳細項目数, COUNTA($E$11:E60),
_xlpm.直近で詳細項目が空でないセルの行番号, MAX(INDEX((LEN($E$11:E60)&gt;0)*ROW($E$11:E60),0)),
_xlpm.観点数, COUNTA(INDIRECT("F"&amp;_xlpm.直近で詳細項目が空でないセルの行番号):F60),
_xlpm.直近で観点が空でないセルの行番号, MAX(INDEX((LEN($F$11:F60)&gt;0)*ROW($F$11:F60),0)),
_xlpm.テスト内容数, COUNTA(INDIRECT("J"&amp;_xlpm.直近で観点が空でないセルの行番号):J60),
_xlpm.テスト内容数_空なら1, IF(_xlpm.テスト内容数=0,1,_xlpm.テスト内容数),
_xlpm.詳細項目数&amp;"-"&amp;_xlpm.観点数&amp;"-"&amp;_xlpm.テスト内容数_空なら1
)</f>
        <v>20-2-1</v>
      </c>
      <c r="B60" s="143"/>
      <c r="C60" s="144"/>
      <c r="D60" s="143"/>
      <c r="E60" s="146"/>
      <c r="F60" s="142" t="s">
        <v>473</v>
      </c>
      <c r="G60" s="125" t="s">
        <v>498</v>
      </c>
      <c r="H60" s="84"/>
      <c r="I60" s="84"/>
      <c r="J60" s="125"/>
      <c r="K60" s="128"/>
      <c r="L60" s="112"/>
      <c r="M60" s="112"/>
      <c r="N60" s="112"/>
      <c r="O60" s="112"/>
      <c r="P60" s="112"/>
      <c r="Q60" s="123"/>
      <c r="R60" s="125"/>
    </row>
    <row r="61" spans="1:18" ht="22">
      <c r="A61" s="74" t="str" cm="1">
        <f t="array" aca="1" ref="A61" ca="1">_xlfn.LET(
_xlpm.詳細項目数, COUNTA($E$11:E61),
_xlpm.直近で詳細項目が空でないセルの行番号, MAX(INDEX((LEN($E$11:E61)&gt;0)*ROW($E$11:E61),0)),
_xlpm.観点数, COUNTA(INDIRECT("F"&amp;_xlpm.直近で詳細項目が空でないセルの行番号):F61),
_xlpm.直近で観点が空でないセルの行番号, MAX(INDEX((LEN($F$11:F61)&gt;0)*ROW($F$11:F61),0)),
_xlpm.テスト内容数, COUNTA(INDIRECT("J"&amp;_xlpm.直近で観点が空でないセルの行番号):J61),
_xlpm.テスト内容数_空なら1, IF(_xlpm.テスト内容数=0,1,_xlpm.テスト内容数),
_xlpm.詳細項目数&amp;"-"&amp;_xlpm.観点数&amp;"-"&amp;_xlpm.テスト内容数_空なら1
)</f>
        <v>20-3-1</v>
      </c>
      <c r="B61" s="143"/>
      <c r="C61" s="144"/>
      <c r="D61" s="143"/>
      <c r="E61" s="146"/>
      <c r="F61" s="124" t="s">
        <v>474</v>
      </c>
      <c r="G61" s="125" t="s">
        <v>498</v>
      </c>
      <c r="H61" s="112"/>
      <c r="I61" s="112"/>
      <c r="J61" s="125"/>
      <c r="K61" s="125"/>
      <c r="L61" s="112"/>
      <c r="M61" s="112"/>
      <c r="N61" s="112"/>
      <c r="O61" s="112"/>
      <c r="P61" s="112"/>
      <c r="Q61" s="123"/>
      <c r="R61" s="125"/>
    </row>
    <row r="62" spans="1:18" ht="22">
      <c r="A62" s="74" t="str" cm="1">
        <f t="array" aca="1" ref="A62" ca="1">_xlfn.LET(
_xlpm.詳細項目数, COUNTA($E$11:E62),
_xlpm.直近で詳細項目が空でないセルの行番号, MAX(INDEX((LEN($E$11:E62)&gt;0)*ROW($E$11:E62),0)),
_xlpm.観点数, COUNTA(INDIRECT("F"&amp;_xlpm.直近で詳細項目が空でないセルの行番号):F62),
_xlpm.直近で観点が空でないセルの行番号, MAX(INDEX((LEN($F$11:F62)&gt;0)*ROW($F$11:F62),0)),
_xlpm.テスト内容数, COUNTA(INDIRECT("J"&amp;_xlpm.直近で観点が空でないセルの行番号):J62),
_xlpm.テスト内容数_空なら1, IF(_xlpm.テスト内容数=0,1,_xlpm.テスト内容数),
_xlpm.詳細項目数&amp;"-"&amp;_xlpm.観点数&amp;"-"&amp;_xlpm.テスト内容数_空なら1
)</f>
        <v>20-4-1</v>
      </c>
      <c r="B62" s="143"/>
      <c r="C62" s="144"/>
      <c r="D62" s="143"/>
      <c r="E62" s="146"/>
      <c r="F62" s="124" t="s">
        <v>475</v>
      </c>
      <c r="G62" s="125" t="s">
        <v>498</v>
      </c>
      <c r="H62" s="112"/>
      <c r="I62" s="112"/>
      <c r="J62" s="125"/>
      <c r="K62" s="125"/>
      <c r="L62" s="112"/>
      <c r="M62" s="112"/>
      <c r="N62" s="112"/>
      <c r="O62" s="112"/>
      <c r="P62" s="112"/>
      <c r="Q62" s="123"/>
      <c r="R62" s="125"/>
    </row>
    <row r="63" spans="1:18" ht="22">
      <c r="A63" s="74" t="str" cm="1">
        <f t="array" aca="1" ref="A63" ca="1">_xlfn.LET(
_xlpm.詳細項目数, COUNTA($E$11:E63),
_xlpm.直近で詳細項目が空でないセルの行番号, MAX(INDEX((LEN($E$11:E63)&gt;0)*ROW($E$11:E63),0)),
_xlpm.観点数, COUNTA(INDIRECT("F"&amp;_xlpm.直近で詳細項目が空でないセルの行番号):F63),
_xlpm.直近で観点が空でないセルの行番号, MAX(INDEX((LEN($F$11:F63)&gt;0)*ROW($F$11:F63),0)),
_xlpm.テスト内容数, COUNTA(INDIRECT("J"&amp;_xlpm.直近で観点が空でないセルの行番号):J63),
_xlpm.テスト内容数_空なら1, IF(_xlpm.テスト内容数=0,1,_xlpm.テスト内容数),
_xlpm.詳細項目数&amp;"-"&amp;_xlpm.観点数&amp;"-"&amp;_xlpm.テスト内容数_空なら1
)</f>
        <v>20-5-1</v>
      </c>
      <c r="B63" s="143"/>
      <c r="C63" s="144"/>
      <c r="D63" s="143"/>
      <c r="E63" s="145"/>
      <c r="F63" s="124" t="s">
        <v>174</v>
      </c>
      <c r="G63" s="125" t="s">
        <v>498</v>
      </c>
      <c r="H63" s="112"/>
      <c r="I63" s="112"/>
      <c r="J63" s="125"/>
      <c r="K63" s="125"/>
      <c r="L63" s="112"/>
      <c r="M63" s="112"/>
      <c r="N63" s="112"/>
      <c r="O63" s="112"/>
      <c r="P63" s="112"/>
      <c r="Q63" s="123"/>
      <c r="R63" s="125"/>
    </row>
    <row r="64" spans="1:18" ht="33">
      <c r="A64" s="74" t="str" cm="1">
        <f t="array" aca="1" ref="A64" ca="1">_xlfn.LET(
_xlpm.詳細項目数, COUNTA($E$11:E64),
_xlpm.直近で詳細項目が空でないセルの行番号, MAX(INDEX((LEN($E$11:E64)&gt;0)*ROW($E$11:E64),0)),
_xlpm.観点数, COUNTA(INDIRECT("F"&amp;_xlpm.直近で詳細項目が空でないセルの行番号):F64),
_xlpm.直近で観点が空でないセルの行番号, MAX(INDEX((LEN($F$11:F64)&gt;0)*ROW($F$11:F64),0)),
_xlpm.テスト内容数, COUNTA(INDIRECT("J"&amp;_xlpm.直近で観点が空でないセルの行番号):J64),
_xlpm.テスト内容数_空なら1, IF(_xlpm.テスト内容数=0,1,_xlpm.テスト内容数),
_xlpm.詳細項目数&amp;"-"&amp;_xlpm.観点数&amp;"-"&amp;_xlpm.テスト内容数_空なら1
)</f>
        <v>21-1-1</v>
      </c>
      <c r="B64" s="143"/>
      <c r="C64" s="144"/>
      <c r="D64" s="143"/>
      <c r="E64" s="146" t="s">
        <v>175</v>
      </c>
      <c r="F64" s="124" t="s">
        <v>176</v>
      </c>
      <c r="G64" s="125" t="s">
        <v>498</v>
      </c>
      <c r="H64" s="112"/>
      <c r="I64" s="112"/>
      <c r="J64" s="125"/>
      <c r="K64" s="125"/>
      <c r="L64" s="112"/>
      <c r="M64" s="112"/>
      <c r="N64" s="112"/>
      <c r="O64" s="112"/>
      <c r="P64" s="112"/>
      <c r="Q64" s="123"/>
      <c r="R64" s="125"/>
    </row>
    <row r="65" spans="1:18" ht="33">
      <c r="A65" s="74" t="str" cm="1">
        <f t="array" aca="1" ref="A65" ca="1">_xlfn.LET(
_xlpm.詳細項目数, COUNTA($E$11:E65),
_xlpm.直近で詳細項目が空でないセルの行番号, MAX(INDEX((LEN($E$11:E65)&gt;0)*ROW($E$11:E65),0)),
_xlpm.観点数, COUNTA(INDIRECT("F"&amp;_xlpm.直近で詳細項目が空でないセルの行番号):F65),
_xlpm.直近で観点が空でないセルの行番号, MAX(INDEX((LEN($F$11:F65)&gt;0)*ROW($F$11:F65),0)),
_xlpm.テスト内容数, COUNTA(INDIRECT("J"&amp;_xlpm.直近で観点が空でないセルの行番号):J65),
_xlpm.テスト内容数_空なら1, IF(_xlpm.テスト内容数=0,1,_xlpm.テスト内容数),
_xlpm.詳細項目数&amp;"-"&amp;_xlpm.観点数&amp;"-"&amp;_xlpm.テスト内容数_空なら1
)</f>
        <v>21-2-1</v>
      </c>
      <c r="B65" s="143"/>
      <c r="C65" s="144"/>
      <c r="D65" s="143"/>
      <c r="E65" s="146"/>
      <c r="F65" s="124" t="s">
        <v>177</v>
      </c>
      <c r="G65" s="125" t="s">
        <v>498</v>
      </c>
      <c r="H65" s="112"/>
      <c r="I65" s="112"/>
      <c r="J65" s="125"/>
      <c r="K65" s="125"/>
      <c r="L65" s="112"/>
      <c r="M65" s="112"/>
      <c r="N65" s="112"/>
      <c r="O65" s="112"/>
      <c r="P65" s="112"/>
      <c r="Q65" s="123"/>
      <c r="R65" s="125"/>
    </row>
    <row r="66" spans="1:18" ht="33">
      <c r="A66" s="74" t="str" cm="1">
        <f t="array" aca="1" ref="A66" ca="1">_xlfn.LET(
_xlpm.詳細項目数, COUNTA($E$11:E66),
_xlpm.直近で詳細項目が空でないセルの行番号, MAX(INDEX((LEN($E$11:E66)&gt;0)*ROW($E$11:E66),0)),
_xlpm.観点数, COUNTA(INDIRECT("F"&amp;_xlpm.直近で詳細項目が空でないセルの行番号):F66),
_xlpm.直近で観点が空でないセルの行番号, MAX(INDEX((LEN($F$11:F66)&gt;0)*ROW($F$11:F66),0)),
_xlpm.テスト内容数, COUNTA(INDIRECT("J"&amp;_xlpm.直近で観点が空でないセルの行番号):J66),
_xlpm.テスト内容数_空なら1, IF(_xlpm.テスト内容数=0,1,_xlpm.テスト内容数),
_xlpm.詳細項目数&amp;"-"&amp;_xlpm.観点数&amp;"-"&amp;_xlpm.テスト内容数_空なら1
)</f>
        <v>21-3-1</v>
      </c>
      <c r="B66" s="143"/>
      <c r="C66" s="144"/>
      <c r="D66" s="143"/>
      <c r="E66" s="146"/>
      <c r="F66" s="124" t="s">
        <v>178</v>
      </c>
      <c r="G66" s="125" t="s">
        <v>498</v>
      </c>
      <c r="H66" s="112"/>
      <c r="I66" s="112"/>
      <c r="J66" s="125"/>
      <c r="K66" s="125"/>
      <c r="L66" s="112"/>
      <c r="M66" s="112"/>
      <c r="N66" s="112"/>
      <c r="O66" s="112"/>
      <c r="P66" s="112"/>
      <c r="Q66" s="123"/>
      <c r="R66" s="125"/>
    </row>
    <row r="67" spans="1:18" ht="33">
      <c r="A67" s="74" t="str" cm="1">
        <f t="array" aca="1" ref="A67" ca="1">_xlfn.LET(
_xlpm.詳細項目数, COUNTA($E$11:E67),
_xlpm.直近で詳細項目が空でないセルの行番号, MAX(INDEX((LEN($E$11:E67)&gt;0)*ROW($E$11:E67),0)),
_xlpm.観点数, COUNTA(INDIRECT("F"&amp;_xlpm.直近で詳細項目が空でないセルの行番号):F67),
_xlpm.直近で観点が空でないセルの行番号, MAX(INDEX((LEN($F$11:F67)&gt;0)*ROW($F$11:F67),0)),
_xlpm.テスト内容数, COUNTA(INDIRECT("J"&amp;_xlpm.直近で観点が空でないセルの行番号):J67),
_xlpm.テスト内容数_空なら1, IF(_xlpm.テスト内容数=0,1,_xlpm.テスト内容数),
_xlpm.詳細項目数&amp;"-"&amp;_xlpm.観点数&amp;"-"&amp;_xlpm.テスト内容数_空なら1
)</f>
        <v>21-4-1</v>
      </c>
      <c r="B67" s="143"/>
      <c r="C67" s="144"/>
      <c r="D67" s="143"/>
      <c r="E67" s="146"/>
      <c r="F67" s="124" t="s">
        <v>179</v>
      </c>
      <c r="G67" s="125" t="s">
        <v>498</v>
      </c>
      <c r="H67" s="112"/>
      <c r="I67" s="112"/>
      <c r="J67" s="125"/>
      <c r="K67" s="125"/>
      <c r="L67" s="112"/>
      <c r="M67" s="112"/>
      <c r="N67" s="112"/>
      <c r="O67" s="112"/>
      <c r="P67" s="112"/>
      <c r="Q67" s="123"/>
      <c r="R67" s="125"/>
    </row>
    <row r="68" spans="1:18" ht="33">
      <c r="A68" s="74" t="str" cm="1">
        <f t="array" aca="1" ref="A68" ca="1">_xlfn.LET(
_xlpm.詳細項目数, COUNTA($E$11:E68),
_xlpm.直近で詳細項目が空でないセルの行番号, MAX(INDEX((LEN($E$11:E68)&gt;0)*ROW($E$11:E68),0)),
_xlpm.観点数, COUNTA(INDIRECT("F"&amp;_xlpm.直近で詳細項目が空でないセルの行番号):F68),
_xlpm.直近で観点が空でないセルの行番号, MAX(INDEX((LEN($F$11:F68)&gt;0)*ROW($F$11:F68),0)),
_xlpm.テスト内容数, COUNTA(INDIRECT("J"&amp;_xlpm.直近で観点が空でないセルの行番号):J68),
_xlpm.テスト内容数_空なら1, IF(_xlpm.テスト内容数=0,1,_xlpm.テスト内容数),
_xlpm.詳細項目数&amp;"-"&amp;_xlpm.観点数&amp;"-"&amp;_xlpm.テスト内容数_空なら1
)</f>
        <v>21-5-1</v>
      </c>
      <c r="B68" s="143"/>
      <c r="C68" s="144"/>
      <c r="D68" s="143"/>
      <c r="E68" s="146"/>
      <c r="F68" s="124" t="s">
        <v>180</v>
      </c>
      <c r="G68" s="125" t="s">
        <v>498</v>
      </c>
      <c r="H68" s="112"/>
      <c r="I68" s="112"/>
      <c r="J68" s="125"/>
      <c r="K68" s="125"/>
      <c r="L68" s="112"/>
      <c r="M68" s="112"/>
      <c r="N68" s="112"/>
      <c r="O68" s="112"/>
      <c r="P68" s="112"/>
      <c r="Q68" s="123"/>
      <c r="R68" s="125"/>
    </row>
    <row r="69" spans="1:18" ht="22">
      <c r="A69" s="74" t="str" cm="1">
        <f t="array" aca="1" ref="A69" ca="1">_xlfn.LET(
_xlpm.詳細項目数, COUNTA($E$11:E69),
_xlpm.直近で詳細項目が空でないセルの行番号, MAX(INDEX((LEN($E$11:E69)&gt;0)*ROW($E$11:E69),0)),
_xlpm.観点数, COUNTA(INDIRECT("F"&amp;_xlpm.直近で詳細項目が空でないセルの行番号):F69),
_xlpm.直近で観点が空でないセルの行番号, MAX(INDEX((LEN($F$11:F69)&gt;0)*ROW($F$11:F69),0)),
_xlpm.テスト内容数, COUNTA(INDIRECT("J"&amp;_xlpm.直近で観点が空でないセルの行番号):J69),
_xlpm.テスト内容数_空なら1, IF(_xlpm.テスト内容数=0,1,_xlpm.テスト内容数),
_xlpm.詳細項目数&amp;"-"&amp;_xlpm.観点数&amp;"-"&amp;_xlpm.テスト内容数_空なら1
)</f>
        <v>21-6-1</v>
      </c>
      <c r="B69" s="143"/>
      <c r="C69" s="144"/>
      <c r="D69" s="143"/>
      <c r="E69" s="146"/>
      <c r="F69" s="124" t="s">
        <v>181</v>
      </c>
      <c r="G69" s="125" t="s">
        <v>498</v>
      </c>
      <c r="H69" s="112"/>
      <c r="I69" s="112"/>
      <c r="J69" s="125"/>
      <c r="K69" s="125"/>
      <c r="L69" s="112"/>
      <c r="M69" s="112"/>
      <c r="N69" s="112"/>
      <c r="O69" s="112"/>
      <c r="P69" s="112"/>
      <c r="Q69" s="123"/>
      <c r="R69" s="125"/>
    </row>
    <row r="70" spans="1:18" ht="22">
      <c r="A70" s="74" t="str" cm="1">
        <f t="array" aca="1" ref="A70" ca="1">_xlfn.LET(
_xlpm.詳細項目数, COUNTA($E$11:E70),
_xlpm.直近で詳細項目が空でないセルの行番号, MAX(INDEX((LEN($E$11:E70)&gt;0)*ROW($E$11:E70),0)),
_xlpm.観点数, COUNTA(INDIRECT("F"&amp;_xlpm.直近で詳細項目が空でないセルの行番号):F70),
_xlpm.直近で観点が空でないセルの行番号, MAX(INDEX((LEN($F$11:F70)&gt;0)*ROW($F$11:F70),0)),
_xlpm.テスト内容数, COUNTA(INDIRECT("J"&amp;_xlpm.直近で観点が空でないセルの行番号):J70),
_xlpm.テスト内容数_空なら1, IF(_xlpm.テスト内容数=0,1,_xlpm.テスト内容数),
_xlpm.詳細項目数&amp;"-"&amp;_xlpm.観点数&amp;"-"&amp;_xlpm.テスト内容数_空なら1
)</f>
        <v>21-7-1</v>
      </c>
      <c r="B70" s="143"/>
      <c r="C70" s="144"/>
      <c r="D70" s="143"/>
      <c r="E70" s="146"/>
      <c r="F70" s="124" t="s">
        <v>182</v>
      </c>
      <c r="G70" s="125" t="s">
        <v>498</v>
      </c>
      <c r="H70" s="112"/>
      <c r="I70" s="112"/>
      <c r="J70" s="125"/>
      <c r="K70" s="125"/>
      <c r="L70" s="112"/>
      <c r="M70" s="112"/>
      <c r="N70" s="112"/>
      <c r="O70" s="112"/>
      <c r="P70" s="112"/>
      <c r="Q70" s="123"/>
      <c r="R70" s="125"/>
    </row>
    <row r="71" spans="1:18" ht="33">
      <c r="A71" s="74" t="str" cm="1">
        <f t="array" aca="1" ref="A71" ca="1">_xlfn.LET(
_xlpm.詳細項目数, COUNTA($E$11:E71),
_xlpm.直近で詳細項目が空でないセルの行番号, MAX(INDEX((LEN($E$11:E71)&gt;0)*ROW($E$11:E71),0)),
_xlpm.観点数, COUNTA(INDIRECT("F"&amp;_xlpm.直近で詳細項目が空でないセルの行番号):F71),
_xlpm.直近で観点が空でないセルの行番号, MAX(INDEX((LEN($F$11:F71)&gt;0)*ROW($F$11:F71),0)),
_xlpm.テスト内容数, COUNTA(INDIRECT("J"&amp;_xlpm.直近で観点が空でないセルの行番号):J71),
_xlpm.テスト内容数_空なら1, IF(_xlpm.テスト内容数=0,1,_xlpm.テスト内容数),
_xlpm.詳細項目数&amp;"-"&amp;_xlpm.観点数&amp;"-"&amp;_xlpm.テスト内容数_空なら1
)</f>
        <v>21-8-1</v>
      </c>
      <c r="B71" s="143"/>
      <c r="C71" s="144"/>
      <c r="D71" s="143"/>
      <c r="E71" s="145"/>
      <c r="F71" s="124" t="s">
        <v>183</v>
      </c>
      <c r="G71" s="125" t="s">
        <v>498</v>
      </c>
      <c r="H71" s="112"/>
      <c r="I71" s="112"/>
      <c r="J71" s="125"/>
      <c r="K71" s="125"/>
      <c r="L71" s="112"/>
      <c r="M71" s="112"/>
      <c r="N71" s="112"/>
      <c r="O71" s="112"/>
      <c r="P71" s="112"/>
      <c r="Q71" s="123"/>
      <c r="R71" s="125"/>
    </row>
    <row r="72" spans="1:18" ht="22">
      <c r="A72" s="74" t="str" cm="1">
        <f t="array" aca="1" ref="A72" ca="1">_xlfn.LET(
_xlpm.詳細項目数, COUNTA($E$11:E72),
_xlpm.直近で詳細項目が空でないセルの行番号, MAX(INDEX((LEN($E$11:E72)&gt;0)*ROW($E$11:E72),0)),
_xlpm.観点数, COUNTA(INDIRECT("F"&amp;_xlpm.直近で詳細項目が空でないセルの行番号):F72),
_xlpm.直近で観点が空でないセルの行番号, MAX(INDEX((LEN($F$11:F72)&gt;0)*ROW($F$11:F72),0)),
_xlpm.テスト内容数, COUNTA(INDIRECT("J"&amp;_xlpm.直近で観点が空でないセルの行番号):J72),
_xlpm.テスト内容数_空なら1, IF(_xlpm.テスト内容数=0,1,_xlpm.テスト内容数),
_xlpm.詳細項目数&amp;"-"&amp;_xlpm.観点数&amp;"-"&amp;_xlpm.テスト内容数_空なら1
)</f>
        <v>22-1-1</v>
      </c>
      <c r="B72" s="143"/>
      <c r="C72" s="144"/>
      <c r="D72" s="143"/>
      <c r="E72" s="129" t="s">
        <v>184</v>
      </c>
      <c r="F72" s="151" t="s">
        <v>185</v>
      </c>
      <c r="G72" s="125" t="s">
        <v>498</v>
      </c>
      <c r="H72" s="84"/>
      <c r="I72" s="84"/>
      <c r="J72" s="128"/>
      <c r="K72" s="128"/>
      <c r="L72" s="134"/>
      <c r="M72" s="134"/>
      <c r="N72" s="112"/>
      <c r="O72" s="133"/>
      <c r="P72" s="112"/>
      <c r="Q72" s="123"/>
      <c r="R72" s="125"/>
    </row>
    <row r="73" spans="1:18">
      <c r="A73" s="74" t="str" cm="1">
        <f t="array" aca="1" ref="A73" ca="1">_xlfn.LET(
_xlpm.詳細項目数, COUNTA($E$11:E73),
_xlpm.直近で詳細項目が空でないセルの行番号, MAX(INDEX((LEN($E$11:E73)&gt;0)*ROW($E$11:E73),0)),
_xlpm.観点数, COUNTA(INDIRECT("F"&amp;_xlpm.直近で詳細項目が空でないセルの行番号):F73),
_xlpm.直近で観点が空でないセルの行番号, MAX(INDEX((LEN($F$11:F73)&gt;0)*ROW($F$11:F73),0)),
_xlpm.テスト内容数, COUNTA(INDIRECT("J"&amp;_xlpm.直近で観点が空でないセルの行番号):J73),
_xlpm.テスト内容数_空なら1, IF(_xlpm.テスト内容数=0,1,_xlpm.テスト内容数),
_xlpm.詳細項目数&amp;"-"&amp;_xlpm.観点数&amp;"-"&amp;_xlpm.テスト内容数_空なら1
)</f>
        <v>23-1-1</v>
      </c>
      <c r="B73" s="143"/>
      <c r="C73" s="152"/>
      <c r="D73" s="143"/>
      <c r="E73" s="146" t="s">
        <v>186</v>
      </c>
      <c r="F73" s="124" t="s">
        <v>187</v>
      </c>
      <c r="G73" s="125" t="s">
        <v>498</v>
      </c>
      <c r="H73" s="112"/>
      <c r="I73" s="112"/>
      <c r="J73" s="128"/>
      <c r="K73" s="125"/>
      <c r="L73" s="112"/>
      <c r="M73" s="112"/>
      <c r="N73" s="112"/>
      <c r="O73" s="112"/>
      <c r="P73" s="112"/>
      <c r="Q73" s="123"/>
      <c r="R73" s="125"/>
    </row>
    <row r="74" spans="1:18">
      <c r="A74" s="74" t="str" cm="1">
        <f t="array" aca="1" ref="A74" ca="1">_xlfn.LET(
_xlpm.詳細項目数, COUNTA($E$11:E74),
_xlpm.直近で詳細項目が空でないセルの行番号, MAX(INDEX((LEN($E$11:E74)&gt;0)*ROW($E$11:E74),0)),
_xlpm.観点数, COUNTA(INDIRECT("F"&amp;_xlpm.直近で詳細項目が空でないセルの行番号):F74),
_xlpm.直近で観点が空でないセルの行番号, MAX(INDEX((LEN($F$11:F74)&gt;0)*ROW($F$11:F74),0)),
_xlpm.テスト内容数, COUNTA(INDIRECT("J"&amp;_xlpm.直近で観点が空でないセルの行番号):J74),
_xlpm.テスト内容数_空なら1, IF(_xlpm.テスト内容数=0,1,_xlpm.テスト内容数),
_xlpm.詳細項目数&amp;"-"&amp;_xlpm.観点数&amp;"-"&amp;_xlpm.テスト内容数_空なら1
)</f>
        <v>23-2-1</v>
      </c>
      <c r="B74" s="143"/>
      <c r="C74" s="152"/>
      <c r="D74" s="143"/>
      <c r="E74" s="146"/>
      <c r="F74" s="124" t="s">
        <v>188</v>
      </c>
      <c r="G74" s="125" t="s">
        <v>498</v>
      </c>
      <c r="H74" s="112"/>
      <c r="I74" s="112"/>
      <c r="J74" s="128"/>
      <c r="K74" s="125"/>
      <c r="L74" s="112"/>
      <c r="M74" s="112"/>
      <c r="N74" s="112"/>
      <c r="O74" s="112"/>
      <c r="P74" s="112"/>
      <c r="Q74" s="123"/>
      <c r="R74" s="125"/>
    </row>
    <row r="75" spans="1:18">
      <c r="A75" s="74" t="str" cm="1">
        <f t="array" aca="1" ref="A75" ca="1">_xlfn.LET(
_xlpm.詳細項目数, COUNTA($E$11:E75),
_xlpm.直近で詳細項目が空でないセルの行番号, MAX(INDEX((LEN($E$11:E75)&gt;0)*ROW($E$11:E75),0)),
_xlpm.観点数, COUNTA(INDIRECT("F"&amp;_xlpm.直近で詳細項目が空でないセルの行番号):F75),
_xlpm.直近で観点が空でないセルの行番号, MAX(INDEX((LEN($F$11:F75)&gt;0)*ROW($F$11:F75),0)),
_xlpm.テスト内容数, COUNTA(INDIRECT("J"&amp;_xlpm.直近で観点が空でないセルの行番号):J75),
_xlpm.テスト内容数_空なら1, IF(_xlpm.テスト内容数=0,1,_xlpm.テスト内容数),
_xlpm.詳細項目数&amp;"-"&amp;_xlpm.観点数&amp;"-"&amp;_xlpm.テスト内容数_空なら1
)</f>
        <v>23-3-1</v>
      </c>
      <c r="B75" s="143"/>
      <c r="C75" s="152"/>
      <c r="D75" s="143"/>
      <c r="E75" s="146"/>
      <c r="F75" s="124" t="s">
        <v>189</v>
      </c>
      <c r="G75" s="125" t="s">
        <v>498</v>
      </c>
      <c r="H75" s="112"/>
      <c r="I75" s="112"/>
      <c r="J75" s="128"/>
      <c r="K75" s="125"/>
      <c r="L75" s="112"/>
      <c r="M75" s="112"/>
      <c r="N75" s="112"/>
      <c r="O75" s="112"/>
      <c r="P75" s="112"/>
      <c r="Q75" s="123"/>
      <c r="R75" s="125"/>
    </row>
    <row r="76" spans="1:18">
      <c r="A76" s="74" t="str" cm="1">
        <f t="array" aca="1" ref="A76" ca="1">_xlfn.LET(
_xlpm.詳細項目数, COUNTA($E$11:E76),
_xlpm.直近で詳細項目が空でないセルの行番号, MAX(INDEX((LEN($E$11:E76)&gt;0)*ROW($E$11:E76),0)),
_xlpm.観点数, COUNTA(INDIRECT("F"&amp;_xlpm.直近で詳細項目が空でないセルの行番号):F76),
_xlpm.直近で観点が空でないセルの行番号, MAX(INDEX((LEN($F$11:F76)&gt;0)*ROW($F$11:F76),0)),
_xlpm.テスト内容数, COUNTA(INDIRECT("J"&amp;_xlpm.直近で観点が空でないセルの行番号):J76),
_xlpm.テスト内容数_空なら1, IF(_xlpm.テスト内容数=0,1,_xlpm.テスト内容数),
_xlpm.詳細項目数&amp;"-"&amp;_xlpm.観点数&amp;"-"&amp;_xlpm.テスト内容数_空なら1
)</f>
        <v>23-4-1</v>
      </c>
      <c r="B76" s="143"/>
      <c r="C76" s="152"/>
      <c r="D76" s="143"/>
      <c r="E76" s="146"/>
      <c r="F76" s="124" t="s">
        <v>190</v>
      </c>
      <c r="G76" s="125" t="s">
        <v>498</v>
      </c>
      <c r="H76" s="112"/>
      <c r="I76" s="112"/>
      <c r="J76" s="128"/>
      <c r="K76" s="125"/>
      <c r="L76" s="112"/>
      <c r="M76" s="112"/>
      <c r="N76" s="112"/>
      <c r="O76" s="112"/>
      <c r="P76" s="112"/>
      <c r="Q76" s="123"/>
      <c r="R76" s="125"/>
    </row>
    <row r="77" spans="1:18" ht="22">
      <c r="A77" s="74" t="str" cm="1">
        <f t="array" aca="1" ref="A77" ca="1">_xlfn.LET(
_xlpm.詳細項目数, COUNTA($E$11:E77),
_xlpm.直近で詳細項目が空でないセルの行番号, MAX(INDEX((LEN($E$11:E77)&gt;0)*ROW($E$11:E77),0)),
_xlpm.観点数, COUNTA(INDIRECT("F"&amp;_xlpm.直近で詳細項目が空でないセルの行番号):F77),
_xlpm.直近で観点が空でないセルの行番号, MAX(INDEX((LEN($F$11:F77)&gt;0)*ROW($F$11:F77),0)),
_xlpm.テスト内容数, COUNTA(INDIRECT("J"&amp;_xlpm.直近で観点が空でないセルの行番号):J77),
_xlpm.テスト内容数_空なら1, IF(_xlpm.テスト内容数=0,1,_xlpm.テスト内容数),
_xlpm.詳細項目数&amp;"-"&amp;_xlpm.観点数&amp;"-"&amp;_xlpm.テスト内容数_空なら1
)</f>
        <v>23-5-1</v>
      </c>
      <c r="B77" s="143"/>
      <c r="C77" s="147"/>
      <c r="D77" s="145"/>
      <c r="E77" s="147"/>
      <c r="F77" s="124" t="s">
        <v>191</v>
      </c>
      <c r="G77" s="125" t="s">
        <v>498</v>
      </c>
      <c r="H77" s="112"/>
      <c r="I77" s="112"/>
      <c r="J77" s="128"/>
      <c r="K77" s="125"/>
      <c r="L77" s="112"/>
      <c r="M77" s="112"/>
      <c r="N77" s="112"/>
      <c r="O77" s="112"/>
      <c r="P77" s="112"/>
      <c r="Q77" s="123"/>
      <c r="R77" s="125"/>
    </row>
    <row r="78" spans="1:18" ht="22">
      <c r="A78" s="74" t="str" cm="1">
        <f t="array" aca="1" ref="A78" ca="1">_xlfn.LET(
_xlpm.詳細項目数, COUNTA($E$11:E78),
_xlpm.直近で詳細項目が空でないセルの行番号, MAX(INDEX((LEN($E$11:E78)&gt;0)*ROW($E$11:E78),0)),
_xlpm.観点数, COUNTA(INDIRECT("F"&amp;_xlpm.直近で詳細項目が空でないセルの行番号):F78),
_xlpm.直近で観点が空でないセルの行番号, MAX(INDEX((LEN($F$11:F78)&gt;0)*ROW($F$11:F78),0)),
_xlpm.テスト内容数, COUNTA(INDIRECT("J"&amp;_xlpm.直近で観点が空でないセルの行番号):J78),
_xlpm.テスト内容数_空なら1, IF(_xlpm.テスト内容数=0,1,_xlpm.テスト内容数),
_xlpm.詳細項目数&amp;"-"&amp;_xlpm.観点数&amp;"-"&amp;_xlpm.テスト内容数_空なら1
)</f>
        <v>24-1-1</v>
      </c>
      <c r="B78" s="153"/>
      <c r="C78" s="148" t="s">
        <v>192</v>
      </c>
      <c r="D78" s="142" t="s">
        <v>26</v>
      </c>
      <c r="E78" s="148" t="s">
        <v>38</v>
      </c>
      <c r="F78" s="124" t="s">
        <v>193</v>
      </c>
      <c r="G78" s="125" t="s">
        <v>498</v>
      </c>
      <c r="H78" s="84"/>
      <c r="I78" s="84"/>
      <c r="J78" s="128"/>
      <c r="K78" s="128"/>
      <c r="L78" s="112"/>
      <c r="M78" s="112"/>
      <c r="N78" s="112"/>
      <c r="O78" s="112"/>
      <c r="P78" s="112"/>
      <c r="Q78" s="123"/>
      <c r="R78" s="125"/>
    </row>
    <row r="79" spans="1:18" ht="33">
      <c r="A79" s="74" t="str" cm="1">
        <f t="array" aca="1" ref="A79" ca="1">_xlfn.LET(
_xlpm.詳細項目数, COUNTA($E$11:E79),
_xlpm.直近で詳細項目が空でないセルの行番号, MAX(INDEX((LEN($E$11:E79)&gt;0)*ROW($E$11:E79),0)),
_xlpm.観点数, COUNTA(INDIRECT("F"&amp;_xlpm.直近で詳細項目が空でないセルの行番号):F79),
_xlpm.直近で観点が空でないセルの行番号, MAX(INDEX((LEN($F$11:F79)&gt;0)*ROW($F$11:F79),0)),
_xlpm.テスト内容数, COUNTA(INDIRECT("J"&amp;_xlpm.直近で観点が空でないセルの行番号):J79),
_xlpm.テスト内容数_空なら1, IF(_xlpm.テスト内容数=0,1,_xlpm.テスト内容数),
_xlpm.詳細項目数&amp;"-"&amp;_xlpm.観点数&amp;"-"&amp;_xlpm.テスト内容数_空なら1
)</f>
        <v>24-2-1</v>
      </c>
      <c r="B79" s="143"/>
      <c r="C79" s="146"/>
      <c r="D79" s="143"/>
      <c r="E79" s="145"/>
      <c r="F79" s="124" t="s">
        <v>194</v>
      </c>
      <c r="G79" s="125" t="s">
        <v>498</v>
      </c>
      <c r="H79" s="84"/>
      <c r="I79" s="84"/>
      <c r="J79" s="84"/>
      <c r="K79" s="128"/>
      <c r="L79" s="112"/>
      <c r="M79" s="112"/>
      <c r="N79" s="112"/>
      <c r="O79" s="112"/>
      <c r="P79" s="112"/>
      <c r="Q79" s="123"/>
      <c r="R79" s="125"/>
    </row>
    <row r="80" spans="1:18">
      <c r="A80" s="74" t="str" cm="1">
        <f t="array" aca="1" ref="A80" ca="1">_xlfn.LET(
_xlpm.詳細項目数, COUNTA($E$11:E80),
_xlpm.直近で詳細項目が空でないセルの行番号, MAX(INDEX((LEN($E$11:E80)&gt;0)*ROW($E$11:E80),0)),
_xlpm.観点数, COUNTA(INDIRECT("F"&amp;_xlpm.直近で詳細項目が空でないセルの行番号):F80),
_xlpm.直近で観点が空でないセルの行番号, MAX(INDEX((LEN($F$11:F80)&gt;0)*ROW($F$11:F80),0)),
_xlpm.テスト内容数, COUNTA(INDIRECT("J"&amp;_xlpm.直近で観点が空でないセルの行番号):J80),
_xlpm.テスト内容数_空なら1, IF(_xlpm.テスト内容数=0,1,_xlpm.テスト内容数),
_xlpm.詳細項目数&amp;"-"&amp;_xlpm.観点数&amp;"-"&amp;_xlpm.テスト内容数_空なら1
)</f>
        <v>25-1-1</v>
      </c>
      <c r="B80" s="143"/>
      <c r="C80" s="146"/>
      <c r="D80" s="143"/>
      <c r="E80" s="124" t="s">
        <v>195</v>
      </c>
      <c r="F80" s="124" t="s">
        <v>196</v>
      </c>
      <c r="G80" s="125" t="s">
        <v>498</v>
      </c>
      <c r="H80" s="112"/>
      <c r="I80" s="112"/>
      <c r="J80" s="131"/>
      <c r="K80" s="125"/>
      <c r="L80" s="112"/>
      <c r="M80" s="112"/>
      <c r="N80" s="112"/>
      <c r="O80" s="112"/>
      <c r="P80" s="112"/>
      <c r="Q80" s="123"/>
      <c r="R80" s="125"/>
    </row>
    <row r="81" spans="1:18" ht="33">
      <c r="A81" s="74" t="str" cm="1">
        <f t="array" aca="1" ref="A81" ca="1">_xlfn.LET(
_xlpm.詳細項目数, COUNTA($E$11:E81),
_xlpm.直近で詳細項目が空でないセルの行番号, MAX(INDEX((LEN($E$11:E81)&gt;0)*ROW($E$11:E81),0)),
_xlpm.観点数, COUNTA(INDIRECT("F"&amp;_xlpm.直近で詳細項目が空でないセルの行番号):F81),
_xlpm.直近で観点が空でないセルの行番号, MAX(INDEX((LEN($F$11:F81)&gt;0)*ROW($F$11:F81),0)),
_xlpm.テスト内容数, COUNTA(INDIRECT("J"&amp;_xlpm.直近で観点が空でないセルの行番号):J81),
_xlpm.テスト内容数_空なら1, IF(_xlpm.テスト内容数=0,1,_xlpm.テスト内容数),
_xlpm.詳細項目数&amp;"-"&amp;_xlpm.観点数&amp;"-"&amp;_xlpm.テスト内容数_空なら1
)</f>
        <v>26-1-1</v>
      </c>
      <c r="B81" s="143"/>
      <c r="C81" s="146"/>
      <c r="D81" s="143"/>
      <c r="E81" s="146" t="s">
        <v>197</v>
      </c>
      <c r="F81" s="124" t="s">
        <v>198</v>
      </c>
      <c r="G81" s="125" t="s">
        <v>498</v>
      </c>
      <c r="H81" s="112"/>
      <c r="I81" s="112"/>
      <c r="J81" s="125"/>
      <c r="K81" s="125"/>
      <c r="L81" s="112"/>
      <c r="M81" s="112"/>
      <c r="N81" s="112"/>
      <c r="O81" s="112"/>
      <c r="P81" s="112"/>
      <c r="Q81" s="123"/>
      <c r="R81" s="125"/>
    </row>
    <row r="82" spans="1:18" ht="33">
      <c r="A82" s="74" t="str" cm="1">
        <f t="array" aca="1" ref="A82" ca="1">_xlfn.LET(
_xlpm.詳細項目数, COUNTA($E$11:E82),
_xlpm.直近で詳細項目が空でないセルの行番号, MAX(INDEX((LEN($E$11:E82)&gt;0)*ROW($E$11:E82),0)),
_xlpm.観点数, COUNTA(INDIRECT("F"&amp;_xlpm.直近で詳細項目が空でないセルの行番号):F82),
_xlpm.直近で観点が空でないセルの行番号, MAX(INDEX((LEN($F$11:F82)&gt;0)*ROW($F$11:F82),0)),
_xlpm.テスト内容数, COUNTA(INDIRECT("J"&amp;_xlpm.直近で観点が空でないセルの行番号):J82),
_xlpm.テスト内容数_空なら1, IF(_xlpm.テスト内容数=0,1,_xlpm.テスト内容数),
_xlpm.詳細項目数&amp;"-"&amp;_xlpm.観点数&amp;"-"&amp;_xlpm.テスト内容数_空なら1
)</f>
        <v>26-2-1</v>
      </c>
      <c r="B82" s="143"/>
      <c r="C82" s="146"/>
      <c r="D82" s="143"/>
      <c r="E82" s="145"/>
      <c r="F82" s="124" t="s">
        <v>199</v>
      </c>
      <c r="G82" s="125" t="s">
        <v>498</v>
      </c>
      <c r="H82" s="112"/>
      <c r="I82" s="112"/>
      <c r="J82" s="125"/>
      <c r="K82" s="125"/>
      <c r="L82" s="112"/>
      <c r="M82" s="112"/>
      <c r="N82" s="112"/>
      <c r="O82" s="112"/>
      <c r="P82" s="112"/>
      <c r="Q82" s="123"/>
      <c r="R82" s="125"/>
    </row>
    <row r="83" spans="1:18" ht="22">
      <c r="A83" s="74" t="str" cm="1">
        <f t="array" aca="1" ref="A83" ca="1">_xlfn.LET(
_xlpm.詳細項目数, COUNTA($E$11:E83),
_xlpm.直近で詳細項目が空でないセルの行番号, MAX(INDEX((LEN($E$11:E83)&gt;0)*ROW($E$11:E83),0)),
_xlpm.観点数, COUNTA(INDIRECT("F"&amp;_xlpm.直近で詳細項目が空でないセルの行番号):F83),
_xlpm.直近で観点が空でないセルの行番号, MAX(INDEX((LEN($F$11:F83)&gt;0)*ROW($F$11:F83),0)),
_xlpm.テスト内容数, COUNTA(INDIRECT("J"&amp;_xlpm.直近で観点が空でないセルの行番号):J83),
_xlpm.テスト内容数_空なら1, IF(_xlpm.テスト内容数=0,1,_xlpm.テスト内容数),
_xlpm.詳細項目数&amp;"-"&amp;_xlpm.観点数&amp;"-"&amp;_xlpm.テスト内容数_空なら1
)</f>
        <v>27-1-1</v>
      </c>
      <c r="B83" s="143"/>
      <c r="C83" s="146"/>
      <c r="D83" s="143"/>
      <c r="E83" s="124" t="s">
        <v>200</v>
      </c>
      <c r="F83" s="124" t="s">
        <v>201</v>
      </c>
      <c r="G83" s="125" t="s">
        <v>498</v>
      </c>
      <c r="H83" s="112"/>
      <c r="I83" s="112"/>
      <c r="J83" s="125"/>
      <c r="K83" s="125"/>
      <c r="L83" s="112"/>
      <c r="M83" s="112"/>
      <c r="N83" s="112"/>
      <c r="O83" s="112"/>
      <c r="P83" s="112"/>
      <c r="Q83" s="123"/>
      <c r="R83" s="125"/>
    </row>
    <row r="84" spans="1:18" ht="22">
      <c r="A84" s="74" t="str" cm="1">
        <f t="array" aca="1" ref="A84" ca="1">_xlfn.LET(
_xlpm.詳細項目数, COUNTA($E$11:E84),
_xlpm.直近で詳細項目が空でないセルの行番号, MAX(INDEX((LEN($E$11:E84)&gt;0)*ROW($E$11:E84),0)),
_xlpm.観点数, COUNTA(INDIRECT("F"&amp;_xlpm.直近で詳細項目が空でないセルの行番号):F84),
_xlpm.直近で観点が空でないセルの行番号, MAX(INDEX((LEN($F$11:F84)&gt;0)*ROW($F$11:F84),0)),
_xlpm.テスト内容数, COUNTA(INDIRECT("J"&amp;_xlpm.直近で観点が空でないセルの行番号):J84),
_xlpm.テスト内容数_空なら1, IF(_xlpm.テスト内容数=0,1,_xlpm.テスト内容数),
_xlpm.詳細項目数&amp;"-"&amp;_xlpm.観点数&amp;"-"&amp;_xlpm.テスト内容数_空なら1
)</f>
        <v>28-1-1</v>
      </c>
      <c r="B84" s="143"/>
      <c r="C84" s="145"/>
      <c r="D84" s="145"/>
      <c r="E84" s="124" t="s">
        <v>202</v>
      </c>
      <c r="F84" s="124" t="s">
        <v>203</v>
      </c>
      <c r="G84" s="125" t="s">
        <v>498</v>
      </c>
      <c r="H84" s="112"/>
      <c r="I84" s="112"/>
      <c r="J84" s="125"/>
      <c r="K84" s="125"/>
      <c r="L84" s="112"/>
      <c r="M84" s="112"/>
      <c r="N84" s="112"/>
      <c r="O84" s="112"/>
      <c r="P84" s="112"/>
      <c r="Q84" s="123"/>
      <c r="R84" s="125"/>
    </row>
    <row r="85" spans="1:18" ht="22">
      <c r="A85" s="74" t="str" cm="1">
        <f t="array" aca="1" ref="A85" ca="1">_xlfn.LET(
_xlpm.詳細項目数, COUNTA($E$11:E85),
_xlpm.直近で詳細項目が空でないセルの行番号, MAX(INDEX((LEN($E$11:E85)&gt;0)*ROW($E$11:E85),0)),
_xlpm.観点数, COUNTA(INDIRECT("F"&amp;_xlpm.直近で詳細項目が空でないセルの行番号):F85),
_xlpm.直近で観点が空でないセルの行番号, MAX(INDEX((LEN($F$11:F85)&gt;0)*ROW($F$11:F85),0)),
_xlpm.テスト内容数, COUNTA(INDIRECT("J"&amp;_xlpm.直近で観点が空でないセルの行番号):J85),
_xlpm.テスト内容数_空なら1, IF(_xlpm.テスト内容数=0,1,_xlpm.テスト内容数),
_xlpm.詳細項目数&amp;"-"&amp;_xlpm.観点数&amp;"-"&amp;_xlpm.テスト内容数_空なら1
)</f>
        <v>29-1-1</v>
      </c>
      <c r="B85" s="143"/>
      <c r="C85" s="143" t="s">
        <v>204</v>
      </c>
      <c r="D85" s="143" t="s">
        <v>26</v>
      </c>
      <c r="E85" s="124" t="s">
        <v>467</v>
      </c>
      <c r="F85" s="124" t="s">
        <v>205</v>
      </c>
      <c r="G85" s="125" t="s">
        <v>498</v>
      </c>
      <c r="H85" s="112"/>
      <c r="I85" s="112"/>
      <c r="J85" s="125"/>
      <c r="K85" s="125"/>
      <c r="L85" s="112"/>
      <c r="M85" s="112"/>
      <c r="N85" s="112"/>
      <c r="O85" s="112"/>
      <c r="P85" s="112"/>
      <c r="Q85" s="123"/>
      <c r="R85" s="125"/>
    </row>
    <row r="86" spans="1:18">
      <c r="A86" s="74" t="str" cm="1">
        <f t="array" aca="1" ref="A86" ca="1">_xlfn.LET(
_xlpm.詳細項目数, COUNTA($E$11:E86),
_xlpm.直近で詳細項目が空でないセルの行番号, MAX(INDEX((LEN($E$11:E86)&gt;0)*ROW($E$11:E86),0)),
_xlpm.観点数, COUNTA(INDIRECT("F"&amp;_xlpm.直近で詳細項目が空でないセルの行番号):F86),
_xlpm.直近で観点が空でないセルの行番号, MAX(INDEX((LEN($F$11:F86)&gt;0)*ROW($F$11:F86),0)),
_xlpm.テスト内容数, COUNTA(INDIRECT("J"&amp;_xlpm.直近で観点が空でないセルの行番号):J86),
_xlpm.テスト内容数_空なら1, IF(_xlpm.テスト内容数=0,1,_xlpm.テスト内容数),
_xlpm.詳細項目数&amp;"-"&amp;_xlpm.観点数&amp;"-"&amp;_xlpm.テスト内容数_空なら1
)</f>
        <v>30-1-1</v>
      </c>
      <c r="B86" s="143"/>
      <c r="C86" s="146"/>
      <c r="D86" s="143"/>
      <c r="E86" s="124" t="s">
        <v>195</v>
      </c>
      <c r="F86" s="124" t="s">
        <v>206</v>
      </c>
      <c r="G86" s="125" t="s">
        <v>498</v>
      </c>
      <c r="H86" s="112"/>
      <c r="I86" s="112"/>
      <c r="J86" s="125"/>
      <c r="K86" s="125"/>
      <c r="L86" s="112"/>
      <c r="M86" s="112"/>
      <c r="N86" s="112"/>
      <c r="O86" s="112"/>
      <c r="P86" s="112"/>
      <c r="Q86" s="123"/>
      <c r="R86" s="125"/>
    </row>
    <row r="87" spans="1:18" ht="33">
      <c r="A87" s="74" t="str" cm="1">
        <f t="array" aca="1" ref="A87" ca="1">_xlfn.LET(
_xlpm.詳細項目数, COUNTA($E$11:E87),
_xlpm.直近で詳細項目が空でないセルの行番号, MAX(INDEX((LEN($E$11:E87)&gt;0)*ROW($E$11:E87),0)),
_xlpm.観点数, COUNTA(INDIRECT("F"&amp;_xlpm.直近で詳細項目が空でないセルの行番号):F87),
_xlpm.直近で観点が空でないセルの行番号, MAX(INDEX((LEN($F$11:F87)&gt;0)*ROW($F$11:F87),0)),
_xlpm.テスト内容数, COUNTA(INDIRECT("J"&amp;_xlpm.直近で観点が空でないセルの行番号):J87),
_xlpm.テスト内容数_空なら1, IF(_xlpm.テスト内容数=0,1,_xlpm.テスト内容数),
_xlpm.詳細項目数&amp;"-"&amp;_xlpm.観点数&amp;"-"&amp;_xlpm.テスト内容数_空なら1
)</f>
        <v>31-1-1</v>
      </c>
      <c r="B87" s="143"/>
      <c r="C87" s="145"/>
      <c r="D87" s="145"/>
      <c r="E87" s="145" t="s">
        <v>476</v>
      </c>
      <c r="F87" s="124" t="s">
        <v>208</v>
      </c>
      <c r="G87" s="125" t="s">
        <v>498</v>
      </c>
      <c r="H87" s="112"/>
      <c r="I87" s="112"/>
      <c r="J87" s="125"/>
      <c r="K87" s="125"/>
      <c r="L87" s="112"/>
      <c r="M87" s="112"/>
      <c r="N87" s="112"/>
      <c r="O87" s="112"/>
      <c r="P87" s="112"/>
      <c r="Q87" s="123"/>
      <c r="R87" s="125"/>
    </row>
    <row r="88" spans="1:18" ht="22">
      <c r="A88" s="74" t="str" cm="1">
        <f t="array" aca="1" ref="A88" ca="1">_xlfn.LET(
_xlpm.詳細項目数, COUNTA($E$11:E88),
_xlpm.直近で詳細項目が空でないセルの行番号, MAX(INDEX((LEN($E$11:E88)&gt;0)*ROW($E$11:E88),0)),
_xlpm.観点数, COUNTA(INDIRECT("F"&amp;_xlpm.直近で詳細項目が空でないセルの行番号):F88),
_xlpm.直近で観点が空でないセルの行番号, MAX(INDEX((LEN($F$11:F88)&gt;0)*ROW($F$11:F88),0)),
_xlpm.テスト内容数, COUNTA(INDIRECT("J"&amp;_xlpm.直近で観点が空でないセルの行番号):J88),
_xlpm.テスト内容数_空なら1, IF(_xlpm.テスト内容数=0,1,_xlpm.テスト内容数),
_xlpm.詳細項目数&amp;"-"&amp;_xlpm.観点数&amp;"-"&amp;_xlpm.テスト内容数_空なら1
)</f>
        <v>32-1-1</v>
      </c>
      <c r="B88" s="143"/>
      <c r="C88" s="146" t="s">
        <v>209</v>
      </c>
      <c r="D88" s="143" t="s">
        <v>26</v>
      </c>
      <c r="E88" s="146" t="s">
        <v>467</v>
      </c>
      <c r="F88" s="142" t="s">
        <v>210</v>
      </c>
      <c r="G88" s="125" t="s">
        <v>505</v>
      </c>
      <c r="H88" s="84"/>
      <c r="I88" s="84"/>
      <c r="J88" s="128"/>
      <c r="K88" s="112"/>
      <c r="L88" s="112"/>
      <c r="M88" s="112"/>
      <c r="N88" s="112"/>
      <c r="O88" s="112"/>
      <c r="P88" s="112"/>
      <c r="Q88" s="123"/>
      <c r="R88" s="125"/>
    </row>
    <row r="89" spans="1:18" ht="33">
      <c r="A89" s="74" t="str" cm="1">
        <f t="array" aca="1" ref="A89" ca="1">_xlfn.LET(
_xlpm.詳細項目数, COUNTA($E$11:E89),
_xlpm.直近で詳細項目が空でないセルの行番号, MAX(INDEX((LEN($E$11:E89)&gt;0)*ROW($E$11:E89),0)),
_xlpm.観点数, COUNTA(INDIRECT("F"&amp;_xlpm.直近で詳細項目が空でないセルの行番号):F89),
_xlpm.直近で観点が空でないセルの行番号, MAX(INDEX((LEN($F$11:F89)&gt;0)*ROW($F$11:F89),0)),
_xlpm.テスト内容数, COUNTA(INDIRECT("J"&amp;_xlpm.直近で観点が空でないセルの行番号):J89),
_xlpm.テスト内容数_空なら1, IF(_xlpm.テスト内容数=0,1,_xlpm.テスト内容数),
_xlpm.詳細項目数&amp;"-"&amp;_xlpm.観点数&amp;"-"&amp;_xlpm.テスト内容数_空なら1
)</f>
        <v>32-2-1</v>
      </c>
      <c r="B89" s="143"/>
      <c r="C89" s="146"/>
      <c r="D89" s="143"/>
      <c r="E89" s="145"/>
      <c r="F89" s="124" t="s">
        <v>211</v>
      </c>
      <c r="G89" s="125" t="s">
        <v>505</v>
      </c>
      <c r="H89" s="112"/>
      <c r="I89" s="112"/>
      <c r="J89" s="125"/>
      <c r="K89" s="125"/>
      <c r="L89" s="112"/>
      <c r="M89" s="112"/>
      <c r="N89" s="112"/>
      <c r="O89" s="112"/>
      <c r="P89" s="112"/>
      <c r="Q89" s="123"/>
      <c r="R89" s="125"/>
    </row>
    <row r="90" spans="1:18">
      <c r="A90" s="74" t="str" cm="1">
        <f t="array" aca="1" ref="A90" ca="1">_xlfn.LET(
_xlpm.詳細項目数, COUNTA($E$11:E90),
_xlpm.直近で詳細項目が空でないセルの行番号, MAX(INDEX((LEN($E$11:E90)&gt;0)*ROW($E$11:E90),0)),
_xlpm.観点数, COUNTA(INDIRECT("F"&amp;_xlpm.直近で詳細項目が空でないセルの行番号):F90),
_xlpm.直近で観点が空でないセルの行番号, MAX(INDEX((LEN($F$11:F90)&gt;0)*ROW($F$11:F90),0)),
_xlpm.テスト内容数, COUNTA(INDIRECT("J"&amp;_xlpm.直近で観点が空でないセルの行番号):J90),
_xlpm.テスト内容数_空なら1, IF(_xlpm.テスト内容数=0,1,_xlpm.テスト内容数),
_xlpm.詳細項目数&amp;"-"&amp;_xlpm.観点数&amp;"-"&amp;_xlpm.テスト内容数_空なら1
)</f>
        <v>33-1-1</v>
      </c>
      <c r="B90" s="143"/>
      <c r="C90" s="146"/>
      <c r="D90" s="143"/>
      <c r="E90" s="124" t="s">
        <v>195</v>
      </c>
      <c r="F90" s="124" t="s">
        <v>212</v>
      </c>
      <c r="G90" s="125" t="s">
        <v>505</v>
      </c>
      <c r="H90" s="112"/>
      <c r="I90" s="112"/>
      <c r="J90" s="125"/>
      <c r="K90" s="125"/>
      <c r="L90" s="112"/>
      <c r="M90" s="112"/>
      <c r="N90" s="112"/>
      <c r="O90" s="112"/>
      <c r="P90" s="112"/>
      <c r="Q90" s="123"/>
      <c r="R90" s="125"/>
    </row>
    <row r="91" spans="1:18" ht="33">
      <c r="A91" s="74" t="str" cm="1">
        <f t="array" aca="1" ref="A91" ca="1">_xlfn.LET(
_xlpm.詳細項目数, COUNTA($E$11:E91),
_xlpm.直近で詳細項目が空でないセルの行番号, MAX(INDEX((LEN($E$11:E91)&gt;0)*ROW($E$11:E91),0)),
_xlpm.観点数, COUNTA(INDIRECT("F"&amp;_xlpm.直近で詳細項目が空でないセルの行番号):F91),
_xlpm.直近で観点が空でないセルの行番号, MAX(INDEX((LEN($F$11:F91)&gt;0)*ROW($F$11:F91),0)),
_xlpm.テスト内容数, COUNTA(INDIRECT("J"&amp;_xlpm.直近で観点が空でないセルの行番号):J91),
_xlpm.テスト内容数_空なら1, IF(_xlpm.テスト内容数=0,1,_xlpm.テスト内容数),
_xlpm.詳細項目数&amp;"-"&amp;_xlpm.観点数&amp;"-"&amp;_xlpm.テスト内容数_空なら1
)</f>
        <v>34-1-1</v>
      </c>
      <c r="B91" s="143"/>
      <c r="C91" s="146"/>
      <c r="D91" s="143"/>
      <c r="E91" s="146" t="s">
        <v>197</v>
      </c>
      <c r="F91" s="124" t="s">
        <v>213</v>
      </c>
      <c r="G91" s="125" t="s">
        <v>505</v>
      </c>
      <c r="H91" s="112"/>
      <c r="I91" s="112"/>
      <c r="J91" s="125"/>
      <c r="K91" s="125"/>
      <c r="L91" s="112"/>
      <c r="M91" s="112"/>
      <c r="N91" s="112"/>
      <c r="O91" s="112"/>
      <c r="P91" s="112"/>
      <c r="Q91" s="123"/>
      <c r="R91" s="125"/>
    </row>
    <row r="92" spans="1:18" ht="33">
      <c r="A92" s="74" t="str" cm="1">
        <f t="array" aca="1" ref="A92" ca="1">_xlfn.LET(
_xlpm.詳細項目数, COUNTA($E$11:E92),
_xlpm.直近で詳細項目が空でないセルの行番号, MAX(INDEX((LEN($E$11:E92)&gt;0)*ROW($E$11:E92),0)),
_xlpm.観点数, COUNTA(INDIRECT("F"&amp;_xlpm.直近で詳細項目が空でないセルの行番号):F92),
_xlpm.直近で観点が空でないセルの行番号, MAX(INDEX((LEN($F$11:F92)&gt;0)*ROW($F$11:F92),0)),
_xlpm.テスト内容数, COUNTA(INDIRECT("J"&amp;_xlpm.直近で観点が空でないセルの行番号):J92),
_xlpm.テスト内容数_空なら1, IF(_xlpm.テスト内容数=0,1,_xlpm.テスト内容数),
_xlpm.詳細項目数&amp;"-"&amp;_xlpm.観点数&amp;"-"&amp;_xlpm.テスト内容数_空なら1
)</f>
        <v>34-2-1</v>
      </c>
      <c r="B92" s="143"/>
      <c r="C92" s="146"/>
      <c r="D92" s="143"/>
      <c r="E92" s="145"/>
      <c r="F92" s="124" t="s">
        <v>214</v>
      </c>
      <c r="G92" s="125" t="s">
        <v>505</v>
      </c>
      <c r="H92" s="112"/>
      <c r="I92" s="112"/>
      <c r="J92" s="125"/>
      <c r="K92" s="125"/>
      <c r="L92" s="112"/>
      <c r="M92" s="112"/>
      <c r="N92" s="112"/>
      <c r="O92" s="112"/>
      <c r="P92" s="112"/>
      <c r="Q92" s="123"/>
      <c r="R92" s="125"/>
    </row>
    <row r="93" spans="1:18" ht="33">
      <c r="A93" s="74" t="str" cm="1">
        <f t="array" aca="1" ref="A93" ca="1">_xlfn.LET(
_xlpm.詳細項目数, COUNTA($E$11:E93),
_xlpm.直近で詳細項目が空でないセルの行番号, MAX(INDEX((LEN($E$11:E93)&gt;0)*ROW($E$11:E93),0)),
_xlpm.観点数, COUNTA(INDIRECT("F"&amp;_xlpm.直近で詳細項目が空でないセルの行番号):F93),
_xlpm.直近で観点が空でないセルの行番号, MAX(INDEX((LEN($F$11:F93)&gt;0)*ROW($F$11:F93),0)),
_xlpm.テスト内容数, COUNTA(INDIRECT("J"&amp;_xlpm.直近で観点が空でないセルの行番号):J93),
_xlpm.テスト内容数_空なら1, IF(_xlpm.テスト内容数=0,1,_xlpm.テスト内容数),
_xlpm.詳細項目数&amp;"-"&amp;_xlpm.観点数&amp;"-"&amp;_xlpm.テスト内容数_空なら1
)</f>
        <v>35-1-1</v>
      </c>
      <c r="B93" s="143"/>
      <c r="C93" s="145"/>
      <c r="D93" s="145"/>
      <c r="E93" s="145" t="s">
        <v>476</v>
      </c>
      <c r="F93" s="124" t="s">
        <v>215</v>
      </c>
      <c r="G93" s="125" t="s">
        <v>505</v>
      </c>
      <c r="H93" s="112"/>
      <c r="I93" s="112"/>
      <c r="J93" s="125"/>
      <c r="K93" s="125"/>
      <c r="L93" s="112"/>
      <c r="M93" s="112"/>
      <c r="N93" s="112"/>
      <c r="O93" s="112"/>
      <c r="P93" s="112"/>
      <c r="Q93" s="123"/>
      <c r="R93" s="125"/>
    </row>
    <row r="94" spans="1:18" ht="22">
      <c r="A94" s="74" t="str" cm="1">
        <f t="array" aca="1" ref="A94" ca="1">_xlfn.LET(
_xlpm.詳細項目数, COUNTA($E$11:E94),
_xlpm.直近で詳細項目が空でないセルの行番号, MAX(INDEX((LEN($E$11:E94)&gt;0)*ROW($E$11:E94),0)),
_xlpm.観点数, COUNTA(INDIRECT("F"&amp;_xlpm.直近で詳細項目が空でないセルの行番号):F94),
_xlpm.直近で観点が空でないセルの行番号, MAX(INDEX((LEN($F$11:F94)&gt;0)*ROW($F$11:F94),0)),
_xlpm.テスト内容数, COUNTA(INDIRECT("J"&amp;_xlpm.直近で観点が空でないセルの行番号):J94),
_xlpm.テスト内容数_空なら1, IF(_xlpm.テスト内容数=0,1,_xlpm.テスト内容数),
_xlpm.詳細項目数&amp;"-"&amp;_xlpm.観点数&amp;"-"&amp;_xlpm.テスト内容数_空なら1
)</f>
        <v>36-1-1</v>
      </c>
      <c r="B94" s="143"/>
      <c r="C94" s="142" t="s">
        <v>216</v>
      </c>
      <c r="D94" s="142" t="s">
        <v>26</v>
      </c>
      <c r="E94" s="146" t="s">
        <v>217</v>
      </c>
      <c r="F94" s="124" t="s">
        <v>218</v>
      </c>
      <c r="G94" s="125" t="s">
        <v>506</v>
      </c>
      <c r="H94" s="112"/>
      <c r="I94" s="112"/>
      <c r="J94" s="125"/>
      <c r="K94" s="125"/>
      <c r="L94" s="112"/>
      <c r="M94" s="112"/>
      <c r="N94" s="112"/>
      <c r="O94" s="112"/>
      <c r="P94" s="112"/>
      <c r="Q94" s="123"/>
      <c r="R94" s="125"/>
    </row>
    <row r="95" spans="1:18" ht="33">
      <c r="A95" s="74" t="str" cm="1">
        <f t="array" aca="1" ref="A95" ca="1">_xlfn.LET(
_xlpm.詳細項目数, COUNTA($E$11:E95),
_xlpm.直近で詳細項目が空でないセルの行番号, MAX(INDEX((LEN($E$11:E95)&gt;0)*ROW($E$11:E95),0)),
_xlpm.観点数, COUNTA(INDIRECT("F"&amp;_xlpm.直近で詳細項目が空でないセルの行番号):F95),
_xlpm.直近で観点が空でないセルの行番号, MAX(INDEX((LEN($F$11:F95)&gt;0)*ROW($F$11:F95),0)),
_xlpm.テスト内容数, COUNTA(INDIRECT("J"&amp;_xlpm.直近で観点が空でないセルの行番号):J95),
_xlpm.テスト内容数_空なら1, IF(_xlpm.テスト内容数=0,1,_xlpm.テスト内容数),
_xlpm.詳細項目数&amp;"-"&amp;_xlpm.観点数&amp;"-"&amp;_xlpm.テスト内容数_空なら1
)</f>
        <v>36-2-1</v>
      </c>
      <c r="B95" s="143"/>
      <c r="C95" s="144"/>
      <c r="D95" s="143"/>
      <c r="E95" s="146"/>
      <c r="F95" s="124" t="s">
        <v>219</v>
      </c>
      <c r="G95" s="125" t="s">
        <v>506</v>
      </c>
      <c r="H95" s="112"/>
      <c r="I95" s="112"/>
      <c r="J95" s="125"/>
      <c r="K95" s="125"/>
      <c r="L95" s="112"/>
      <c r="M95" s="112"/>
      <c r="N95" s="112"/>
      <c r="O95" s="112"/>
      <c r="P95" s="112"/>
      <c r="Q95" s="123"/>
      <c r="R95" s="125"/>
    </row>
    <row r="96" spans="1:18">
      <c r="A96" s="74" t="str" cm="1">
        <f t="array" aca="1" ref="A96" ca="1">_xlfn.LET(
_xlpm.詳細項目数, COUNTA($E$11:E96),
_xlpm.直近で詳細項目が空でないセルの行番号, MAX(INDEX((LEN($E$11:E96)&gt;0)*ROW($E$11:E96),0)),
_xlpm.観点数, COUNTA(INDIRECT("F"&amp;_xlpm.直近で詳細項目が空でないセルの行番号):F96),
_xlpm.直近で観点が空でないセルの行番号, MAX(INDEX((LEN($F$11:F96)&gt;0)*ROW($F$11:F96),0)),
_xlpm.テスト内容数, COUNTA(INDIRECT("J"&amp;_xlpm.直近で観点が空でないセルの行番号):J96),
_xlpm.テスト内容数_空なら1, IF(_xlpm.テスト内容数=0,1,_xlpm.テスト内容数),
_xlpm.詳細項目数&amp;"-"&amp;_xlpm.観点数&amp;"-"&amp;_xlpm.テスト内容数_空なら1
)</f>
        <v>36-3-1</v>
      </c>
      <c r="B96" s="143"/>
      <c r="C96" s="144"/>
      <c r="D96" s="143"/>
      <c r="E96" s="146"/>
      <c r="F96" s="124" t="s">
        <v>220</v>
      </c>
      <c r="G96" s="125" t="s">
        <v>506</v>
      </c>
      <c r="H96" s="112"/>
      <c r="I96" s="112"/>
      <c r="J96" s="125"/>
      <c r="K96" s="125"/>
      <c r="L96" s="112"/>
      <c r="M96" s="112"/>
      <c r="N96" s="112"/>
      <c r="O96" s="112"/>
      <c r="P96" s="112"/>
      <c r="Q96" s="123"/>
      <c r="R96" s="125"/>
    </row>
    <row r="97" spans="1:18" ht="33">
      <c r="A97" s="74" t="str" cm="1">
        <f t="array" aca="1" ref="A97" ca="1">_xlfn.LET(
_xlpm.詳細項目数, COUNTA($E$11:E97),
_xlpm.直近で詳細項目が空でないセルの行番号, MAX(INDEX((LEN($E$11:E97)&gt;0)*ROW($E$11:E97),0)),
_xlpm.観点数, COUNTA(INDIRECT("F"&amp;_xlpm.直近で詳細項目が空でないセルの行番号):F97),
_xlpm.直近で観点が空でないセルの行番号, MAX(INDEX((LEN($F$11:F97)&gt;0)*ROW($F$11:F97),0)),
_xlpm.テスト内容数, COUNTA(INDIRECT("J"&amp;_xlpm.直近で観点が空でないセルの行番号):J97),
_xlpm.テスト内容数_空なら1, IF(_xlpm.テスト内容数=0,1,_xlpm.テスト内容数),
_xlpm.詳細項目数&amp;"-"&amp;_xlpm.観点数&amp;"-"&amp;_xlpm.テスト内容数_空なら1
)</f>
        <v>36-4-1</v>
      </c>
      <c r="B97" s="143"/>
      <c r="C97" s="146"/>
      <c r="D97" s="143"/>
      <c r="E97" s="146"/>
      <c r="F97" s="124" t="s">
        <v>221</v>
      </c>
      <c r="G97" s="125" t="s">
        <v>506</v>
      </c>
      <c r="H97" s="112"/>
      <c r="I97" s="112"/>
      <c r="J97" s="125"/>
      <c r="K97" s="125"/>
      <c r="L97" s="112"/>
      <c r="M97" s="112"/>
      <c r="N97" s="112"/>
      <c r="O97" s="112"/>
      <c r="P97" s="112"/>
      <c r="Q97" s="123"/>
      <c r="R97" s="125"/>
    </row>
    <row r="98" spans="1:18" ht="33">
      <c r="A98" s="74" t="str" cm="1">
        <f t="array" aca="1" ref="A98" ca="1">_xlfn.LET(
_xlpm.詳細項目数, COUNTA($E$11:E98),
_xlpm.直近で詳細項目が空でないセルの行番号, MAX(INDEX((LEN($E$11:E98)&gt;0)*ROW($E$11:E98),0)),
_xlpm.観点数, COUNTA(INDIRECT("F"&amp;_xlpm.直近で詳細項目が空でないセルの行番号):F98),
_xlpm.直近で観点が空でないセルの行番号, MAX(INDEX((LEN($F$11:F98)&gt;0)*ROW($F$11:F98),0)),
_xlpm.テスト内容数, COUNTA(INDIRECT("J"&amp;_xlpm.直近で観点が空でないセルの行番号):J98),
_xlpm.テスト内容数_空なら1, IF(_xlpm.テスト内容数=0,1,_xlpm.テスト内容数),
_xlpm.詳細項目数&amp;"-"&amp;_xlpm.観点数&amp;"-"&amp;_xlpm.テスト内容数_空なら1
)</f>
        <v>36-5-1</v>
      </c>
      <c r="B98" s="143"/>
      <c r="C98" s="146"/>
      <c r="D98" s="143"/>
      <c r="E98" s="145"/>
      <c r="F98" s="124" t="s">
        <v>222</v>
      </c>
      <c r="G98" s="125" t="s">
        <v>506</v>
      </c>
      <c r="H98" s="112"/>
      <c r="I98" s="112"/>
      <c r="J98" s="125"/>
      <c r="K98" s="125"/>
      <c r="L98" s="112"/>
      <c r="M98" s="112"/>
      <c r="N98" s="112"/>
      <c r="O98" s="112"/>
      <c r="P98" s="112"/>
      <c r="Q98" s="123"/>
      <c r="R98" s="125"/>
    </row>
    <row r="99" spans="1:18" ht="22">
      <c r="A99" s="74" t="str" cm="1">
        <f t="array" aca="1" ref="A99" ca="1">_xlfn.LET(
_xlpm.詳細項目数, COUNTA($E$11:E99),
_xlpm.直近で詳細項目が空でないセルの行番号, MAX(INDEX((LEN($E$11:E99)&gt;0)*ROW($E$11:E99),0)),
_xlpm.観点数, COUNTA(INDIRECT("F"&amp;_xlpm.直近で詳細項目が空でないセルの行番号):F99),
_xlpm.直近で観点が空でないセルの行番号, MAX(INDEX((LEN($F$11:F99)&gt;0)*ROW($F$11:F99),0)),
_xlpm.テスト内容数, COUNTA(INDIRECT("J"&amp;_xlpm.直近で観点が空でないセルの行番号):J99),
_xlpm.テスト内容数_空なら1, IF(_xlpm.テスト内容数=0,1,_xlpm.テスト内容数),
_xlpm.詳細項目数&amp;"-"&amp;_xlpm.観点数&amp;"-"&amp;_xlpm.テスト内容数_空なら1
)</f>
        <v>37-1-1</v>
      </c>
      <c r="B99" s="143"/>
      <c r="C99" s="144"/>
      <c r="D99" s="143"/>
      <c r="E99" s="146" t="s">
        <v>223</v>
      </c>
      <c r="F99" s="124" t="s">
        <v>224</v>
      </c>
      <c r="G99" s="125" t="s">
        <v>506</v>
      </c>
      <c r="H99" s="112"/>
      <c r="I99" s="112"/>
      <c r="J99" s="125"/>
      <c r="K99" s="125"/>
      <c r="L99" s="112"/>
      <c r="M99" s="112"/>
      <c r="N99" s="112"/>
      <c r="O99" s="112"/>
      <c r="P99" s="112"/>
      <c r="Q99" s="123"/>
      <c r="R99" s="125"/>
    </row>
    <row r="100" spans="1:18" ht="33">
      <c r="A100" s="74" t="str" cm="1">
        <f t="array" aca="1" ref="A100" ca="1">_xlfn.LET(
_xlpm.詳細項目数, COUNTA($E$11:E100),
_xlpm.直近で詳細項目が空でないセルの行番号, MAX(INDEX((LEN($E$11:E100)&gt;0)*ROW($E$11:E100),0)),
_xlpm.観点数, COUNTA(INDIRECT("F"&amp;_xlpm.直近で詳細項目が空でないセルの行番号):F100),
_xlpm.直近で観点が空でないセルの行番号, MAX(INDEX((LEN($F$11:F100)&gt;0)*ROW($F$11:F100),0)),
_xlpm.テスト内容数, COUNTA(INDIRECT("J"&amp;_xlpm.直近で観点が空でないセルの行番号):J100),
_xlpm.テスト内容数_空なら1, IF(_xlpm.テスト内容数=0,1,_xlpm.テスト内容数),
_xlpm.詳細項目数&amp;"-"&amp;_xlpm.観点数&amp;"-"&amp;_xlpm.テスト内容数_空なら1
)</f>
        <v>37-2-1</v>
      </c>
      <c r="B100" s="143"/>
      <c r="C100" s="143"/>
      <c r="D100" s="143"/>
      <c r="E100" s="146"/>
      <c r="F100" s="124" t="s">
        <v>225</v>
      </c>
      <c r="G100" s="125" t="s">
        <v>506</v>
      </c>
      <c r="H100" s="112"/>
      <c r="I100" s="112"/>
      <c r="J100" s="125"/>
      <c r="K100" s="125"/>
      <c r="L100" s="112"/>
      <c r="M100" s="112"/>
      <c r="N100" s="112"/>
      <c r="O100" s="112"/>
      <c r="P100" s="112"/>
      <c r="Q100" s="123"/>
      <c r="R100" s="125"/>
    </row>
    <row r="101" spans="1:18">
      <c r="A101" s="74" t="str" cm="1">
        <f t="array" aca="1" ref="A101" ca="1">_xlfn.LET(
_xlpm.詳細項目数, COUNTA($E$11:E101),
_xlpm.直近で詳細項目が空でないセルの行番号, MAX(INDEX((LEN($E$11:E101)&gt;0)*ROW($E$11:E101),0)),
_xlpm.観点数, COUNTA(INDIRECT("F"&amp;_xlpm.直近で詳細項目が空でないセルの行番号):F101),
_xlpm.直近で観点が空でないセルの行番号, MAX(INDEX((LEN($F$11:F101)&gt;0)*ROW($F$11:F101),0)),
_xlpm.テスト内容数, COUNTA(INDIRECT("J"&amp;_xlpm.直近で観点が空でないセルの行番号):J101),
_xlpm.テスト内容数_空なら1, IF(_xlpm.テスト内容数=0,1,_xlpm.テスト内容数),
_xlpm.詳細項目数&amp;"-"&amp;_xlpm.観点数&amp;"-"&amp;_xlpm.テスト内容数_空なら1
)</f>
        <v>37-3-1</v>
      </c>
      <c r="B101" s="143"/>
      <c r="C101" s="143"/>
      <c r="D101" s="143"/>
      <c r="E101" s="146"/>
      <c r="F101" s="124" t="s">
        <v>226</v>
      </c>
      <c r="G101" s="125" t="s">
        <v>506</v>
      </c>
      <c r="H101" s="112"/>
      <c r="I101" s="112"/>
      <c r="J101" s="125"/>
      <c r="K101" s="125"/>
      <c r="L101" s="112"/>
      <c r="M101" s="112"/>
      <c r="N101" s="112"/>
      <c r="O101" s="112"/>
      <c r="P101" s="112"/>
      <c r="Q101" s="123"/>
      <c r="R101" s="125"/>
    </row>
    <row r="102" spans="1:18" ht="33">
      <c r="A102" s="74" t="str" cm="1">
        <f t="array" aca="1" ref="A102" ca="1">_xlfn.LET(
_xlpm.詳細項目数, COUNTA($E$11:E102),
_xlpm.直近で詳細項目が空でないセルの行番号, MAX(INDEX((LEN($E$11:E102)&gt;0)*ROW($E$11:E102),0)),
_xlpm.観点数, COUNTA(INDIRECT("F"&amp;_xlpm.直近で詳細項目が空でないセルの行番号):F102),
_xlpm.直近で観点が空でないセルの行番号, MAX(INDEX((LEN($F$11:F102)&gt;0)*ROW($F$11:F102),0)),
_xlpm.テスト内容数, COUNTA(INDIRECT("J"&amp;_xlpm.直近で観点が空でないセルの行番号):J102),
_xlpm.テスト内容数_空なら1, IF(_xlpm.テスト内容数=0,1,_xlpm.テスト内容数),
_xlpm.詳細項目数&amp;"-"&amp;_xlpm.観点数&amp;"-"&amp;_xlpm.テスト内容数_空なら1
)</f>
        <v>37-4-1</v>
      </c>
      <c r="B102" s="143"/>
      <c r="C102" s="146"/>
      <c r="D102" s="143"/>
      <c r="E102" s="146"/>
      <c r="F102" s="124" t="s">
        <v>227</v>
      </c>
      <c r="G102" s="125" t="s">
        <v>506</v>
      </c>
      <c r="H102" s="112"/>
      <c r="I102" s="112"/>
      <c r="J102" s="125"/>
      <c r="K102" s="125"/>
      <c r="L102" s="112"/>
      <c r="M102" s="112"/>
      <c r="N102" s="112"/>
      <c r="O102" s="112"/>
      <c r="P102" s="112"/>
      <c r="Q102" s="123"/>
      <c r="R102" s="125"/>
    </row>
    <row r="103" spans="1:18" ht="33">
      <c r="A103" s="74" t="str" cm="1">
        <f t="array" aca="1" ref="A103" ca="1">_xlfn.LET(
_xlpm.詳細項目数, COUNTA($E$11:E103),
_xlpm.直近で詳細項目が空でないセルの行番号, MAX(INDEX((LEN($E$11:E103)&gt;0)*ROW($E$11:E103),0)),
_xlpm.観点数, COUNTA(INDIRECT("F"&amp;_xlpm.直近で詳細項目が空でないセルの行番号):F103),
_xlpm.直近で観点が空でないセルの行番号, MAX(INDEX((LEN($F$11:F103)&gt;0)*ROW($F$11:F103),0)),
_xlpm.テスト内容数, COUNTA(INDIRECT("J"&amp;_xlpm.直近で観点が空でないセルの行番号):J103),
_xlpm.テスト内容数_空なら1, IF(_xlpm.テスト内容数=0,1,_xlpm.テスト内容数),
_xlpm.詳細項目数&amp;"-"&amp;_xlpm.観点数&amp;"-"&amp;_xlpm.テスト内容数_空なら1
)</f>
        <v>37-5-1</v>
      </c>
      <c r="B103" s="143"/>
      <c r="C103" s="146"/>
      <c r="D103" s="143"/>
      <c r="E103" s="145"/>
      <c r="F103" s="124" t="s">
        <v>228</v>
      </c>
      <c r="G103" s="125" t="s">
        <v>506</v>
      </c>
      <c r="H103" s="112"/>
      <c r="I103" s="112"/>
      <c r="J103" s="125"/>
      <c r="K103" s="125"/>
      <c r="L103" s="112"/>
      <c r="M103" s="112"/>
      <c r="N103" s="112"/>
      <c r="O103" s="112"/>
      <c r="P103" s="112"/>
      <c r="Q103" s="123"/>
      <c r="R103" s="125"/>
    </row>
    <row r="104" spans="1:18" ht="33">
      <c r="A104" s="74" t="str" cm="1">
        <f t="array" aca="1" ref="A104" ca="1">_xlfn.LET(
_xlpm.詳細項目数, COUNTA($E$11:E104),
_xlpm.直近で詳細項目が空でないセルの行番号, MAX(INDEX((LEN($E$11:E104)&gt;0)*ROW($E$11:E104),0)),
_xlpm.観点数, COUNTA(INDIRECT("F"&amp;_xlpm.直近で詳細項目が空でないセルの行番号):F104),
_xlpm.直近で観点が空でないセルの行番号, MAX(INDEX((LEN($F$11:F104)&gt;0)*ROW($F$11:F104),0)),
_xlpm.テスト内容数, COUNTA(INDIRECT("J"&amp;_xlpm.直近で観点が空でないセルの行番号):J104),
_xlpm.テスト内容数_空なら1, IF(_xlpm.テスト内容数=0,1,_xlpm.テスト内容数),
_xlpm.詳細項目数&amp;"-"&amp;_xlpm.観点数&amp;"-"&amp;_xlpm.テスト内容数_空なら1
)</f>
        <v>38-1-1</v>
      </c>
      <c r="B104" s="143"/>
      <c r="C104" s="145"/>
      <c r="D104" s="143"/>
      <c r="E104" s="147" t="s">
        <v>476</v>
      </c>
      <c r="F104" s="124" t="s">
        <v>229</v>
      </c>
      <c r="G104" s="125" t="s">
        <v>506</v>
      </c>
      <c r="H104" s="112"/>
      <c r="I104" s="112"/>
      <c r="J104" s="125"/>
      <c r="K104" s="125"/>
      <c r="L104" s="112"/>
      <c r="M104" s="112"/>
      <c r="N104" s="112"/>
      <c r="O104" s="112"/>
      <c r="P104" s="112"/>
      <c r="Q104" s="123"/>
      <c r="R104" s="125"/>
    </row>
    <row r="105" spans="1:18" ht="33">
      <c r="A105" s="74" t="str" cm="1">
        <f t="array" aca="1" ref="A105" ca="1">_xlfn.LET(
_xlpm.詳細項目数, COUNTA($E$11:E105),
_xlpm.直近で詳細項目が空でないセルの行番号, MAX(INDEX((LEN($E$11:E105)&gt;0)*ROW($E$11:E105),0)),
_xlpm.観点数, COUNTA(INDIRECT("F"&amp;_xlpm.直近で詳細項目が空でないセルの行番号):F105),
_xlpm.直近で観点が空でないセルの行番号, MAX(INDEX((LEN($F$11:F105)&gt;0)*ROW($F$11:F105),0)),
_xlpm.テスト内容数, COUNTA(INDIRECT("J"&amp;_xlpm.直近で観点が空でないセルの行番号):J105),
_xlpm.テスト内容数_空なら1, IF(_xlpm.テスト内容数=0,1,_xlpm.テスト内容数),
_xlpm.詳細項目数&amp;"-"&amp;_xlpm.観点数&amp;"-"&amp;_xlpm.テスト内容数_空なら1
)</f>
        <v>39-1-1</v>
      </c>
      <c r="B105" s="142" t="s">
        <v>230</v>
      </c>
      <c r="C105" s="124" t="s">
        <v>231</v>
      </c>
      <c r="D105" s="124" t="s">
        <v>102</v>
      </c>
      <c r="E105" s="124" t="s">
        <v>102</v>
      </c>
      <c r="F105" s="124" t="s">
        <v>232</v>
      </c>
      <c r="G105" s="125" t="s">
        <v>498</v>
      </c>
      <c r="H105" s="112"/>
      <c r="I105" s="112"/>
      <c r="J105" s="125"/>
      <c r="K105" s="125"/>
      <c r="L105" s="112"/>
      <c r="M105" s="112"/>
      <c r="N105" s="112"/>
      <c r="O105" s="112"/>
      <c r="P105" s="112"/>
      <c r="Q105" s="123"/>
      <c r="R105" s="125"/>
    </row>
    <row r="106" spans="1:18">
      <c r="A106" s="74" t="str" cm="1">
        <f t="array" aca="1" ref="A106" ca="1">_xlfn.LET(
_xlpm.詳細項目数, COUNTA($E$11:E106),
_xlpm.直近で詳細項目が空でないセルの行番号, MAX(INDEX((LEN($E$11:E106)&gt;0)*ROW($E$11:E106),0)),
_xlpm.観点数, COUNTA(INDIRECT("F"&amp;_xlpm.直近で詳細項目が空でないセルの行番号):F106),
_xlpm.直近で観点が空でないセルの行番号, MAX(INDEX((LEN($F$11:F106)&gt;0)*ROW($F$11:F106),0)),
_xlpm.テスト内容数, COUNTA(INDIRECT("J"&amp;_xlpm.直近で観点が空でないセルの行番号):J106),
_xlpm.テスト内容数_空なら1, IF(_xlpm.テスト内容数=0,1,_xlpm.テスト内容数),
_xlpm.詳細項目数&amp;"-"&amp;_xlpm.観点数&amp;"-"&amp;_xlpm.テスト内容数_空なら1
)</f>
        <v>40-1-1</v>
      </c>
      <c r="B106" s="143"/>
      <c r="C106" s="142" t="s">
        <v>233</v>
      </c>
      <c r="D106" s="142" t="s">
        <v>102</v>
      </c>
      <c r="E106" s="142" t="s">
        <v>102</v>
      </c>
      <c r="F106" s="124" t="s">
        <v>234</v>
      </c>
      <c r="G106" s="125" t="s">
        <v>498</v>
      </c>
      <c r="H106" s="112"/>
      <c r="I106" s="112"/>
      <c r="J106" s="125"/>
      <c r="K106" s="125"/>
      <c r="L106" s="112"/>
      <c r="M106" s="112"/>
      <c r="N106" s="112"/>
      <c r="O106" s="112"/>
      <c r="P106" s="112"/>
      <c r="Q106" s="123"/>
      <c r="R106" s="125"/>
    </row>
    <row r="107" spans="1:18">
      <c r="A107" s="74" t="str" cm="1">
        <f t="array" aca="1" ref="A107" ca="1">_xlfn.LET(
_xlpm.詳細項目数, COUNTA($E$11:E107),
_xlpm.直近で詳細項目が空でないセルの行番号, MAX(INDEX((LEN($E$11:E107)&gt;0)*ROW($E$11:E107),0)),
_xlpm.観点数, COUNTA(INDIRECT("F"&amp;_xlpm.直近で詳細項目が空でないセルの行番号):F107),
_xlpm.直近で観点が空でないセルの行番号, MAX(INDEX((LEN($F$11:F107)&gt;0)*ROW($F$11:F107),0)),
_xlpm.テスト内容数, COUNTA(INDIRECT("J"&amp;_xlpm.直近で観点が空でないセルの行番号):J107),
_xlpm.テスト内容数_空なら1, IF(_xlpm.テスト内容数=0,1,_xlpm.テスト内容数),
_xlpm.詳細項目数&amp;"-"&amp;_xlpm.観点数&amp;"-"&amp;_xlpm.テスト内容数_空なら1
)</f>
        <v>40-2-1</v>
      </c>
      <c r="B107" s="143"/>
      <c r="C107" s="145"/>
      <c r="D107" s="145"/>
      <c r="E107" s="145"/>
      <c r="F107" s="124" t="s">
        <v>235</v>
      </c>
      <c r="G107" s="125" t="s">
        <v>498</v>
      </c>
      <c r="H107" s="112"/>
      <c r="I107" s="112"/>
      <c r="J107" s="125"/>
      <c r="K107" s="125"/>
      <c r="L107" s="112"/>
      <c r="M107" s="112"/>
      <c r="N107" s="112"/>
      <c r="O107" s="112"/>
      <c r="P107" s="112"/>
      <c r="Q107" s="123"/>
      <c r="R107" s="125"/>
    </row>
    <row r="108" spans="1:18" ht="22">
      <c r="A108" s="74" t="str" cm="1">
        <f t="array" aca="1" ref="A108" ca="1">_xlfn.LET(
_xlpm.詳細項目数, COUNTA($E$11:E108),
_xlpm.直近で詳細項目が空でないセルの行番号, MAX(INDEX((LEN($E$11:E108)&gt;0)*ROW($E$11:E108),0)),
_xlpm.観点数, COUNTA(INDIRECT("F"&amp;_xlpm.直近で詳細項目が空でないセルの行番号):F108),
_xlpm.直近で観点が空でないセルの行番号, MAX(INDEX((LEN($F$11:F108)&gt;0)*ROW($F$11:F108),0)),
_xlpm.テスト内容数, COUNTA(INDIRECT("J"&amp;_xlpm.直近で観点が空でないセルの行番号):J108),
_xlpm.テスト内容数_空なら1, IF(_xlpm.テスト内容数=0,1,_xlpm.テスト内容数),
_xlpm.詳細項目数&amp;"-"&amp;_xlpm.観点数&amp;"-"&amp;_xlpm.テスト内容数_空なら1
)</f>
        <v>41-1-1</v>
      </c>
      <c r="B108" s="143"/>
      <c r="C108" s="124" t="s">
        <v>477</v>
      </c>
      <c r="D108" s="124" t="s">
        <v>102</v>
      </c>
      <c r="E108" s="124" t="s">
        <v>102</v>
      </c>
      <c r="F108" s="124" t="s">
        <v>237</v>
      </c>
      <c r="G108" s="125" t="s">
        <v>498</v>
      </c>
      <c r="H108" s="112"/>
      <c r="I108" s="112"/>
      <c r="J108" s="125"/>
      <c r="K108" s="125"/>
      <c r="L108" s="112"/>
      <c r="M108" s="112"/>
      <c r="N108" s="112"/>
      <c r="O108" s="112"/>
      <c r="P108" s="112"/>
      <c r="Q108" s="123"/>
      <c r="R108" s="125"/>
    </row>
    <row r="109" spans="1:18" ht="22">
      <c r="A109" s="74" t="str" cm="1">
        <f t="array" aca="1" ref="A109" ca="1">_xlfn.LET(
_xlpm.詳細項目数, COUNTA($E$11:E109),
_xlpm.直近で詳細項目が空でないセルの行番号, MAX(INDEX((LEN($E$11:E109)&gt;0)*ROW($E$11:E109),0)),
_xlpm.観点数, COUNTA(INDIRECT("F"&amp;_xlpm.直近で詳細項目が空でないセルの行番号):F109),
_xlpm.直近で観点が空でないセルの行番号, MAX(INDEX((LEN($F$11:F109)&gt;0)*ROW($F$11:F109),0)),
_xlpm.テスト内容数, COUNTA(INDIRECT("J"&amp;_xlpm.直近で観点が空でないセルの行番号):J109),
_xlpm.テスト内容数_空なら1, IF(_xlpm.テスト内容数=0,1,_xlpm.テスト内容数),
_xlpm.詳細項目数&amp;"-"&amp;_xlpm.観点数&amp;"-"&amp;_xlpm.テスト内容数_空なら1
)</f>
        <v>42-1-1</v>
      </c>
      <c r="B109" s="143"/>
      <c r="C109" s="143" t="s">
        <v>478</v>
      </c>
      <c r="D109" s="143" t="s">
        <v>102</v>
      </c>
      <c r="E109" s="146" t="s">
        <v>102</v>
      </c>
      <c r="F109" s="124" t="s">
        <v>239</v>
      </c>
      <c r="G109" s="125" t="s">
        <v>498</v>
      </c>
      <c r="H109" s="112"/>
      <c r="I109" s="112"/>
      <c r="J109" s="125"/>
      <c r="K109" s="125"/>
      <c r="L109" s="112"/>
      <c r="M109" s="112"/>
      <c r="N109" s="112"/>
      <c r="O109" s="112"/>
      <c r="P109" s="112"/>
      <c r="Q109" s="123"/>
      <c r="R109" s="125"/>
    </row>
    <row r="110" spans="1:18">
      <c r="A110" s="74" t="str" cm="1">
        <f t="array" aca="1" ref="A110" ca="1">_xlfn.LET(
_xlpm.詳細項目数, COUNTA($E$11:E110),
_xlpm.直近で詳細項目が空でないセルの行番号, MAX(INDEX((LEN($E$11:E110)&gt;0)*ROW($E$11:E110),0)),
_xlpm.観点数, COUNTA(INDIRECT("F"&amp;_xlpm.直近で詳細項目が空でないセルの行番号):F110),
_xlpm.直近で観点が空でないセルの行番号, MAX(INDEX((LEN($F$11:F110)&gt;0)*ROW($F$11:F110),0)),
_xlpm.テスト内容数, COUNTA(INDIRECT("J"&amp;_xlpm.直近で観点が空でないセルの行番号):J110),
_xlpm.テスト内容数_空なら1, IF(_xlpm.テスト内容数=0,1,_xlpm.テスト内容数),
_xlpm.詳細項目数&amp;"-"&amp;_xlpm.観点数&amp;"-"&amp;_xlpm.テスト内容数_空なら1
)</f>
        <v>42-2-1</v>
      </c>
      <c r="B110" s="145"/>
      <c r="C110" s="145"/>
      <c r="D110" s="145"/>
      <c r="E110" s="147"/>
      <c r="F110" s="124" t="s">
        <v>240</v>
      </c>
      <c r="G110" s="125" t="s">
        <v>498</v>
      </c>
      <c r="H110" s="112"/>
      <c r="I110" s="112"/>
      <c r="J110" s="125"/>
      <c r="K110" s="125"/>
      <c r="L110" s="112"/>
      <c r="M110" s="112"/>
      <c r="N110" s="112"/>
      <c r="O110" s="112"/>
      <c r="P110" s="112"/>
      <c r="Q110" s="123"/>
      <c r="R110" s="125"/>
    </row>
    <row r="111" spans="1:18" ht="22">
      <c r="A111" s="74" t="str" cm="1">
        <f t="array" aca="1" ref="A111" ca="1">_xlfn.LET(
_xlpm.詳細項目数, COUNTA($E$11:E111),
_xlpm.直近で詳細項目が空でないセルの行番号, MAX(INDEX((LEN($E$11:E111)&gt;0)*ROW($E$11:E111),0)),
_xlpm.観点数, COUNTA(INDIRECT("F"&amp;_xlpm.直近で詳細項目が空でないセルの行番号):F111),
_xlpm.直近で観点が空でないセルの行番号, MAX(INDEX((LEN($F$11:F111)&gt;0)*ROW($F$11:F111),0)),
_xlpm.テスト内容数, COUNTA(INDIRECT("J"&amp;_xlpm.直近で観点が空でないセルの行番号):J111),
_xlpm.テスト内容数_空なら1, IF(_xlpm.テスト内容数=0,1,_xlpm.テスト内容数),
_xlpm.詳細項目数&amp;"-"&amp;_xlpm.観点数&amp;"-"&amp;_xlpm.テスト内容数_空なら1
)</f>
        <v>43-1-1</v>
      </c>
      <c r="B111" s="142" t="s">
        <v>241</v>
      </c>
      <c r="C111" s="142" t="s">
        <v>242</v>
      </c>
      <c r="D111" s="142" t="s">
        <v>467</v>
      </c>
      <c r="E111" s="154" t="s">
        <v>467</v>
      </c>
      <c r="F111" s="124" t="s">
        <v>243</v>
      </c>
      <c r="G111" s="125" t="s">
        <v>514</v>
      </c>
      <c r="H111" s="112"/>
      <c r="I111" s="112"/>
      <c r="J111" s="125"/>
      <c r="K111" s="125"/>
      <c r="L111" s="112"/>
      <c r="M111" s="112"/>
      <c r="N111" s="112"/>
      <c r="O111" s="112"/>
      <c r="P111" s="112"/>
      <c r="Q111" s="123"/>
      <c r="R111" s="125"/>
    </row>
    <row r="112" spans="1:18" ht="22">
      <c r="A112" s="74" t="str" cm="1">
        <f t="array" aca="1" ref="A112" ca="1">_xlfn.LET(
_xlpm.詳細項目数, COUNTA($E$11:E112),
_xlpm.直近で詳細項目が空でないセルの行番号, MAX(INDEX((LEN($E$11:E112)&gt;0)*ROW($E$11:E112),0)),
_xlpm.観点数, COUNTA(INDIRECT("F"&amp;_xlpm.直近で詳細項目が空でないセルの行番号):F112),
_xlpm.直近で観点が空でないセルの行番号, MAX(INDEX((LEN($F$11:F112)&gt;0)*ROW($F$11:F112),0)),
_xlpm.テスト内容数, COUNTA(INDIRECT("J"&amp;_xlpm.直近で観点が空でないセルの行番号):J112),
_xlpm.テスト内容数_空なら1, IF(_xlpm.テスト内容数=0,1,_xlpm.テスト内容数),
_xlpm.詳細項目数&amp;"-"&amp;_xlpm.観点数&amp;"-"&amp;_xlpm.テスト内容数_空なら1
)</f>
        <v>43-2-1</v>
      </c>
      <c r="B112" s="350" t="s">
        <v>479</v>
      </c>
      <c r="C112" s="146"/>
      <c r="D112" s="155"/>
      <c r="E112" s="152"/>
      <c r="F112" s="124" t="s">
        <v>245</v>
      </c>
      <c r="G112" s="125" t="s">
        <v>514</v>
      </c>
      <c r="H112" s="112"/>
      <c r="I112" s="112"/>
      <c r="J112" s="125"/>
      <c r="K112" s="125"/>
      <c r="L112" s="112"/>
      <c r="M112" s="112"/>
      <c r="N112" s="112"/>
      <c r="O112" s="112"/>
      <c r="P112" s="112"/>
      <c r="Q112" s="123"/>
      <c r="R112" s="125"/>
    </row>
    <row r="113" spans="1:18" ht="22">
      <c r="A113" s="74" t="str" cm="1">
        <f t="array" aca="1" ref="A113" ca="1">_xlfn.LET(
_xlpm.詳細項目数, COUNTA($E$11:E113),
_xlpm.直近で詳細項目が空でないセルの行番号, MAX(INDEX((LEN($E$11:E113)&gt;0)*ROW($E$11:E113),0)),
_xlpm.観点数, COUNTA(INDIRECT("F"&amp;_xlpm.直近で詳細項目が空でないセルの行番号):F113),
_xlpm.直近で観点が空でないセルの行番号, MAX(INDEX((LEN($F$11:F113)&gt;0)*ROW($F$11:F113),0)),
_xlpm.テスト内容数, COUNTA(INDIRECT("J"&amp;_xlpm.直近で観点が空でないセルの行番号):J113),
_xlpm.テスト内容数_空なら1, IF(_xlpm.テスト内容数=0,1,_xlpm.テスト内容数),
_xlpm.詳細項目数&amp;"-"&amp;_xlpm.観点数&amp;"-"&amp;_xlpm.テスト内容数_空なら1
)</f>
        <v>43-3-1</v>
      </c>
      <c r="B113" s="350"/>
      <c r="C113" s="146"/>
      <c r="D113" s="155"/>
      <c r="E113" s="152"/>
      <c r="F113" s="124" t="s">
        <v>246</v>
      </c>
      <c r="G113" s="125" t="s">
        <v>514</v>
      </c>
      <c r="H113" s="112"/>
      <c r="I113" s="112"/>
      <c r="J113" s="125"/>
      <c r="K113" s="125"/>
      <c r="L113" s="112"/>
      <c r="M113" s="112"/>
      <c r="N113" s="112"/>
      <c r="O113" s="112"/>
      <c r="P113" s="112"/>
      <c r="Q113" s="123"/>
      <c r="R113" s="125"/>
    </row>
    <row r="114" spans="1:18" ht="22">
      <c r="A114" s="74" t="str" cm="1">
        <f t="array" aca="1" ref="A114" ca="1">_xlfn.LET(
_xlpm.詳細項目数, COUNTA($E$11:E114),
_xlpm.直近で詳細項目が空でないセルの行番号, MAX(INDEX((LEN($E$11:E114)&gt;0)*ROW($E$11:E114),0)),
_xlpm.観点数, COUNTA(INDIRECT("F"&amp;_xlpm.直近で詳細項目が空でないセルの行番号):F114),
_xlpm.直近で観点が空でないセルの行番号, MAX(INDEX((LEN($F$11:F114)&gt;0)*ROW($F$11:F114),0)),
_xlpm.テスト内容数, COUNTA(INDIRECT("J"&amp;_xlpm.直近で観点が空でないセルの行番号):J114),
_xlpm.テスト内容数_空なら1, IF(_xlpm.テスト内容数=0,1,_xlpm.テスト内容数),
_xlpm.詳細項目数&amp;"-"&amp;_xlpm.観点数&amp;"-"&amp;_xlpm.テスト内容数_空なら1
)</f>
        <v>43-4-1</v>
      </c>
      <c r="B114" s="155"/>
      <c r="C114" s="146"/>
      <c r="D114" s="155"/>
      <c r="E114" s="145"/>
      <c r="F114" s="124" t="s">
        <v>247</v>
      </c>
      <c r="G114" s="125" t="s">
        <v>514</v>
      </c>
      <c r="H114" s="112"/>
      <c r="I114" s="112"/>
      <c r="J114" s="125"/>
      <c r="K114" s="125"/>
      <c r="L114" s="112"/>
      <c r="M114" s="112"/>
      <c r="N114" s="112"/>
      <c r="O114" s="112"/>
      <c r="P114" s="112"/>
      <c r="Q114" s="123"/>
      <c r="R114" s="125"/>
    </row>
    <row r="115" spans="1:18" ht="22">
      <c r="A115" s="74" t="str" cm="1">
        <f t="array" aca="1" ref="A115" ca="1">_xlfn.LET(
_xlpm.詳細項目数, COUNTA($E$11:E115),
_xlpm.直近で詳細項目が空でないセルの行番号, MAX(INDEX((LEN($E$11:E115)&gt;0)*ROW($E$11:E115),0)),
_xlpm.観点数, COUNTA(INDIRECT("F"&amp;_xlpm.直近で詳細項目が空でないセルの行番号):F115),
_xlpm.直近で観点が空でないセルの行番号, MAX(INDEX((LEN($F$11:F115)&gt;0)*ROW($F$11:F115),0)),
_xlpm.テスト内容数, COUNTA(INDIRECT("J"&amp;_xlpm.直近で観点が空でないセルの行番号):J115),
_xlpm.テスト内容数_空なら1, IF(_xlpm.テスト内容数=0,1,_xlpm.テスト内容数),
_xlpm.詳細項目数&amp;"-"&amp;_xlpm.観点数&amp;"-"&amp;_xlpm.テスト内容数_空なら1
)</f>
        <v>44-1-1</v>
      </c>
      <c r="B115" s="155"/>
      <c r="C115" s="146"/>
      <c r="D115" s="155"/>
      <c r="E115" s="146" t="s">
        <v>186</v>
      </c>
      <c r="F115" s="124" t="s">
        <v>248</v>
      </c>
      <c r="G115" s="125" t="s">
        <v>514</v>
      </c>
      <c r="H115" s="112"/>
      <c r="I115" s="112"/>
      <c r="J115" s="125"/>
      <c r="K115" s="125"/>
      <c r="L115" s="112"/>
      <c r="M115" s="112"/>
      <c r="N115" s="112"/>
      <c r="O115" s="112"/>
      <c r="P115" s="112"/>
      <c r="Q115" s="123"/>
      <c r="R115" s="125"/>
    </row>
    <row r="116" spans="1:18" ht="22">
      <c r="A116" s="74" t="str" cm="1">
        <f t="array" aca="1" ref="A116" ca="1">_xlfn.LET(
_xlpm.詳細項目数, COUNTA($E$11:E116),
_xlpm.直近で詳細項目が空でないセルの行番号, MAX(INDEX((LEN($E$11:E116)&gt;0)*ROW($E$11:E116),0)),
_xlpm.観点数, COUNTA(INDIRECT("F"&amp;_xlpm.直近で詳細項目が空でないセルの行番号):F116),
_xlpm.直近で観点が空でないセルの行番号, MAX(INDEX((LEN($F$11:F116)&gt;0)*ROW($F$11:F116),0)),
_xlpm.テスト内容数, COUNTA(INDIRECT("J"&amp;_xlpm.直近で観点が空でないセルの行番号):J116),
_xlpm.テスト内容数_空なら1, IF(_xlpm.テスト内容数=0,1,_xlpm.テスト内容数),
_xlpm.詳細項目数&amp;"-"&amp;_xlpm.観点数&amp;"-"&amp;_xlpm.テスト内容数_空なら1
)</f>
        <v>44-2-1</v>
      </c>
      <c r="B116" s="155"/>
      <c r="C116" s="146"/>
      <c r="D116" s="155"/>
      <c r="E116" s="146"/>
      <c r="F116" s="124" t="s">
        <v>249</v>
      </c>
      <c r="G116" s="125" t="s">
        <v>514</v>
      </c>
      <c r="H116" s="112"/>
      <c r="I116" s="112"/>
      <c r="J116" s="125"/>
      <c r="K116" s="125"/>
      <c r="L116" s="112"/>
      <c r="M116" s="112"/>
      <c r="N116" s="112"/>
      <c r="O116" s="112"/>
      <c r="P116" s="112"/>
      <c r="Q116" s="123"/>
      <c r="R116" s="125"/>
    </row>
    <row r="117" spans="1:18" ht="22">
      <c r="A117" s="74" t="str" cm="1">
        <f t="array" aca="1" ref="A117" ca="1">_xlfn.LET(
_xlpm.詳細項目数, COUNTA($E$11:E117),
_xlpm.直近で詳細項目が空でないセルの行番号, MAX(INDEX((LEN($E$11:E117)&gt;0)*ROW($E$11:E117),0)),
_xlpm.観点数, COUNTA(INDIRECT("F"&amp;_xlpm.直近で詳細項目が空でないセルの行番号):F117),
_xlpm.直近で観点が空でないセルの行番号, MAX(INDEX((LEN($F$11:F117)&gt;0)*ROW($F$11:F117),0)),
_xlpm.テスト内容数, COUNTA(INDIRECT("J"&amp;_xlpm.直近で観点が空でないセルの行番号):J117),
_xlpm.テスト内容数_空なら1, IF(_xlpm.テスト内容数=0,1,_xlpm.テスト内容数),
_xlpm.詳細項目数&amp;"-"&amp;_xlpm.観点数&amp;"-"&amp;_xlpm.テスト内容数_空なら1
)</f>
        <v>44-3-1</v>
      </c>
      <c r="B117" s="155"/>
      <c r="C117" s="146"/>
      <c r="D117" s="155"/>
      <c r="E117" s="146"/>
      <c r="F117" s="124" t="s">
        <v>250</v>
      </c>
      <c r="G117" s="125" t="s">
        <v>514</v>
      </c>
      <c r="H117" s="112"/>
      <c r="I117" s="112"/>
      <c r="J117" s="125"/>
      <c r="K117" s="125"/>
      <c r="L117" s="112"/>
      <c r="M117" s="112"/>
      <c r="N117" s="112"/>
      <c r="O117" s="112"/>
      <c r="P117" s="112"/>
      <c r="Q117" s="123"/>
      <c r="R117" s="125"/>
    </row>
    <row r="118" spans="1:18" ht="22">
      <c r="A118" s="74" t="str" cm="1">
        <f t="array" aca="1" ref="A118" ca="1">_xlfn.LET(
_xlpm.詳細項目数, COUNTA($E$11:E118),
_xlpm.直近で詳細項目が空でないセルの行番号, MAX(INDEX((LEN($E$11:E118)&gt;0)*ROW($E$11:E118),0)),
_xlpm.観点数, COUNTA(INDIRECT("F"&amp;_xlpm.直近で詳細項目が空でないセルの行番号):F118),
_xlpm.直近で観点が空でないセルの行番号, MAX(INDEX((LEN($F$11:F118)&gt;0)*ROW($F$11:F118),0)),
_xlpm.テスト内容数, COUNTA(INDIRECT("J"&amp;_xlpm.直近で観点が空でないセルの行番号):J118),
_xlpm.テスト内容数_空なら1, IF(_xlpm.テスト内容数=0,1,_xlpm.テスト内容数),
_xlpm.詳細項目数&amp;"-"&amp;_xlpm.観点数&amp;"-"&amp;_xlpm.テスト内容数_空なら1
)</f>
        <v>44-4-1</v>
      </c>
      <c r="B118" s="155"/>
      <c r="C118" s="146"/>
      <c r="D118" s="155"/>
      <c r="E118" s="146"/>
      <c r="F118" s="124" t="s">
        <v>251</v>
      </c>
      <c r="G118" s="125" t="s">
        <v>514</v>
      </c>
      <c r="H118" s="112"/>
      <c r="I118" s="112"/>
      <c r="J118" s="125"/>
      <c r="K118" s="125"/>
      <c r="L118" s="112"/>
      <c r="M118" s="112"/>
      <c r="N118" s="112"/>
      <c r="O118" s="112"/>
      <c r="P118" s="112"/>
      <c r="Q118" s="123"/>
      <c r="R118" s="125"/>
    </row>
    <row r="119" spans="1:18" ht="33">
      <c r="A119" s="74" t="str" cm="1">
        <f t="array" aca="1" ref="A119" ca="1">_xlfn.LET(
_xlpm.詳細項目数, COUNTA($E$11:E119),
_xlpm.直近で詳細項目が空でないセルの行番号, MAX(INDEX((LEN($E$11:E119)&gt;0)*ROW($E$11:E119),0)),
_xlpm.観点数, COUNTA(INDIRECT("F"&amp;_xlpm.直近で詳細項目が空でないセルの行番号):F119),
_xlpm.直近で観点が空でないセルの行番号, MAX(INDEX((LEN($F$11:F119)&gt;0)*ROW($F$11:F119),0)),
_xlpm.テスト内容数, COUNTA(INDIRECT("J"&amp;_xlpm.直近で観点が空でないセルの行番号):J119),
_xlpm.テスト内容数_空なら1, IF(_xlpm.テスト内容数=0,1,_xlpm.テスト内容数),
_xlpm.詳細項目数&amp;"-"&amp;_xlpm.観点数&amp;"-"&amp;_xlpm.テスト内容数_空なら1
)</f>
        <v>44-5-1</v>
      </c>
      <c r="B119" s="155"/>
      <c r="C119" s="146"/>
      <c r="D119" s="155"/>
      <c r="E119" s="145"/>
      <c r="F119" s="124" t="s">
        <v>252</v>
      </c>
      <c r="G119" s="125" t="s">
        <v>514</v>
      </c>
      <c r="H119" s="112"/>
      <c r="I119" s="112"/>
      <c r="J119" s="125"/>
      <c r="K119" s="125"/>
      <c r="L119" s="112"/>
      <c r="M119" s="112"/>
      <c r="N119" s="112"/>
      <c r="O119" s="112"/>
      <c r="P119" s="112"/>
      <c r="Q119" s="123"/>
      <c r="R119" s="125"/>
    </row>
    <row r="120" spans="1:18" ht="33">
      <c r="A120" s="74" t="str" cm="1">
        <f t="array" aca="1" ref="A120" ca="1">_xlfn.LET(
_xlpm.詳細項目数, COUNTA($E$11:E120),
_xlpm.直近で詳細項目が空でないセルの行番号, MAX(INDEX((LEN($E$11:E120)&gt;0)*ROW($E$11:E120),0)),
_xlpm.観点数, COUNTA(INDIRECT("F"&amp;_xlpm.直近で詳細項目が空でないセルの行番号):F120),
_xlpm.直近で観点が空でないセルの行番号, MAX(INDEX((LEN($F$11:F120)&gt;0)*ROW($F$11:F120),0)),
_xlpm.テスト内容数, COUNTA(INDIRECT("J"&amp;_xlpm.直近で観点が空でないセルの行番号):J120),
_xlpm.テスト内容数_空なら1, IF(_xlpm.テスト内容数=0,1,_xlpm.テスト内容数),
_xlpm.詳細項目数&amp;"-"&amp;_xlpm.観点数&amp;"-"&amp;_xlpm.テスト内容数_空なら1
)</f>
        <v>45-1-1</v>
      </c>
      <c r="B120" s="155"/>
      <c r="C120" s="146"/>
      <c r="D120" s="155"/>
      <c r="E120" s="146" t="s">
        <v>253</v>
      </c>
      <c r="F120" s="124" t="s">
        <v>254</v>
      </c>
      <c r="G120" s="125" t="s">
        <v>514</v>
      </c>
      <c r="H120" s="112"/>
      <c r="I120" s="112"/>
      <c r="J120" s="125"/>
      <c r="K120" s="125"/>
      <c r="L120" s="112"/>
      <c r="M120" s="112"/>
      <c r="N120" s="112"/>
      <c r="O120" s="112"/>
      <c r="P120" s="112"/>
      <c r="Q120" s="123"/>
      <c r="R120" s="125"/>
    </row>
    <row r="121" spans="1:18" ht="33">
      <c r="A121" s="74" t="str" cm="1">
        <f t="array" aca="1" ref="A121" ca="1">_xlfn.LET(
_xlpm.詳細項目数, COUNTA($E$11:E121),
_xlpm.直近で詳細項目が空でないセルの行番号, MAX(INDEX((LEN($E$11:E121)&gt;0)*ROW($E$11:E121),0)),
_xlpm.観点数, COUNTA(INDIRECT("F"&amp;_xlpm.直近で詳細項目が空でないセルの行番号):F121),
_xlpm.直近で観点が空でないセルの行番号, MAX(INDEX((LEN($F$11:F121)&gt;0)*ROW($F$11:F121),0)),
_xlpm.テスト内容数, COUNTA(INDIRECT("J"&amp;_xlpm.直近で観点が空でないセルの行番号):J121),
_xlpm.テスト内容数_空なら1, IF(_xlpm.テスト内容数=0,1,_xlpm.テスト内容数),
_xlpm.詳細項目数&amp;"-"&amp;_xlpm.観点数&amp;"-"&amp;_xlpm.テスト内容数_空なら1
)</f>
        <v>45-2-1</v>
      </c>
      <c r="B121" s="155"/>
      <c r="C121" s="146"/>
      <c r="D121" s="155"/>
      <c r="E121" s="146"/>
      <c r="F121" s="124" t="s">
        <v>255</v>
      </c>
      <c r="G121" s="125" t="s">
        <v>514</v>
      </c>
      <c r="H121" s="112"/>
      <c r="I121" s="112"/>
      <c r="J121" s="125"/>
      <c r="K121" s="125"/>
      <c r="L121" s="112"/>
      <c r="M121" s="112"/>
      <c r="N121" s="112"/>
      <c r="O121" s="112"/>
      <c r="P121" s="112"/>
      <c r="Q121" s="123"/>
      <c r="R121" s="125"/>
    </row>
    <row r="122" spans="1:18" ht="44">
      <c r="A122" s="74" t="str" cm="1">
        <f t="array" aca="1" ref="A122" ca="1">_xlfn.LET(
_xlpm.詳細項目数, COUNTA($E$11:E122),
_xlpm.直近で詳細項目が空でないセルの行番号, MAX(INDEX((LEN($E$11:E122)&gt;0)*ROW($E$11:E122),0)),
_xlpm.観点数, COUNTA(INDIRECT("F"&amp;_xlpm.直近で詳細項目が空でないセルの行番号):F122),
_xlpm.直近で観点が空でないセルの行番号, MAX(INDEX((LEN($F$11:F122)&gt;0)*ROW($F$11:F122),0)),
_xlpm.テスト内容数, COUNTA(INDIRECT("J"&amp;_xlpm.直近で観点が空でないセルの行番号):J122),
_xlpm.テスト内容数_空なら1, IF(_xlpm.テスト内容数=0,1,_xlpm.テスト内容数),
_xlpm.詳細項目数&amp;"-"&amp;_xlpm.観点数&amp;"-"&amp;_xlpm.テスト内容数_空なら1
)</f>
        <v>45-3-1</v>
      </c>
      <c r="B122" s="155"/>
      <c r="C122" s="146"/>
      <c r="D122" s="155"/>
      <c r="E122" s="146"/>
      <c r="F122" s="124" t="s">
        <v>256</v>
      </c>
      <c r="G122" s="125" t="s">
        <v>514</v>
      </c>
      <c r="H122" s="112"/>
      <c r="I122" s="112"/>
      <c r="J122" s="125"/>
      <c r="K122" s="125"/>
      <c r="L122" s="112"/>
      <c r="M122" s="112"/>
      <c r="N122" s="112"/>
      <c r="O122" s="112"/>
      <c r="P122" s="112"/>
      <c r="Q122" s="123"/>
      <c r="R122" s="125"/>
    </row>
    <row r="123" spans="1:18" ht="44">
      <c r="A123" s="74" t="str" cm="1">
        <f t="array" aca="1" ref="A123" ca="1">_xlfn.LET(
_xlpm.詳細項目数, COUNTA($E$11:E123),
_xlpm.直近で詳細項目が空でないセルの行番号, MAX(INDEX((LEN($E$11:E123)&gt;0)*ROW($E$11:E123),0)),
_xlpm.観点数, COUNTA(INDIRECT("F"&amp;_xlpm.直近で詳細項目が空でないセルの行番号):F123),
_xlpm.直近で観点が空でないセルの行番号, MAX(INDEX((LEN($F$11:F123)&gt;0)*ROW($F$11:F123),0)),
_xlpm.テスト内容数, COUNTA(INDIRECT("J"&amp;_xlpm.直近で観点が空でないセルの行番号):J123),
_xlpm.テスト内容数_空なら1, IF(_xlpm.テスト内容数=0,1,_xlpm.テスト内容数),
_xlpm.詳細項目数&amp;"-"&amp;_xlpm.観点数&amp;"-"&amp;_xlpm.テスト内容数_空なら1
)</f>
        <v>45-4-1</v>
      </c>
      <c r="B123" s="155"/>
      <c r="C123" s="146"/>
      <c r="D123" s="155"/>
      <c r="E123" s="146"/>
      <c r="F123" s="124" t="s">
        <v>257</v>
      </c>
      <c r="G123" s="125" t="s">
        <v>514</v>
      </c>
      <c r="H123" s="112"/>
      <c r="I123" s="112"/>
      <c r="J123" s="125"/>
      <c r="K123" s="125"/>
      <c r="L123" s="112"/>
      <c r="M123" s="112"/>
      <c r="N123" s="112"/>
      <c r="O123" s="112"/>
      <c r="P123" s="112"/>
      <c r="Q123" s="123"/>
      <c r="R123" s="125"/>
    </row>
    <row r="124" spans="1:18" ht="33">
      <c r="A124" s="74" t="str" cm="1">
        <f t="array" aca="1" ref="A124" ca="1">_xlfn.LET(
_xlpm.詳細項目数, COUNTA($E$11:E124),
_xlpm.直近で詳細項目が空でないセルの行番号, MAX(INDEX((LEN($E$11:E124)&gt;0)*ROW($E$11:E124),0)),
_xlpm.観点数, COUNTA(INDIRECT("F"&amp;_xlpm.直近で詳細項目が空でないセルの行番号):F124),
_xlpm.直近で観点が空でないセルの行番号, MAX(INDEX((LEN($F$11:F124)&gt;0)*ROW($F$11:F124),0)),
_xlpm.テスト内容数, COUNTA(INDIRECT("J"&amp;_xlpm.直近で観点が空でないセルの行番号):J124),
_xlpm.テスト内容数_空なら1, IF(_xlpm.テスト内容数=0,1,_xlpm.テスト内容数),
_xlpm.詳細項目数&amp;"-"&amp;_xlpm.観点数&amp;"-"&amp;_xlpm.テスト内容数_空なら1
)</f>
        <v>45-5-1</v>
      </c>
      <c r="B124" s="155"/>
      <c r="C124" s="146"/>
      <c r="D124" s="155"/>
      <c r="E124" s="145"/>
      <c r="F124" s="124" t="s">
        <v>258</v>
      </c>
      <c r="G124" s="125" t="s">
        <v>514</v>
      </c>
      <c r="H124" s="112"/>
      <c r="I124" s="112"/>
      <c r="J124" s="125"/>
      <c r="K124" s="125"/>
      <c r="L124" s="112"/>
      <c r="M124" s="112"/>
      <c r="N124" s="112"/>
      <c r="O124" s="112"/>
      <c r="P124" s="112"/>
      <c r="Q124" s="123"/>
      <c r="R124" s="125"/>
    </row>
    <row r="125" spans="1:18" ht="33">
      <c r="A125" s="74" t="str" cm="1">
        <f t="array" aca="1" ref="A125" ca="1">_xlfn.LET(
_xlpm.詳細項目数, COUNTA($E$11:E125),
_xlpm.直近で詳細項目が空でないセルの行番号, MAX(INDEX((LEN($E$11:E125)&gt;0)*ROW($E$11:E125),0)),
_xlpm.観点数, COUNTA(INDIRECT("F"&amp;_xlpm.直近で詳細項目が空でないセルの行番号):F125),
_xlpm.直近で観点が空でないセルの行番号, MAX(INDEX((LEN($F$11:F125)&gt;0)*ROW($F$11:F125),0)),
_xlpm.テスト内容数, COUNTA(INDIRECT("J"&amp;_xlpm.直近で観点が空でないセルの行番号):J125),
_xlpm.テスト内容数_空なら1, IF(_xlpm.テスト内容数=0,1,_xlpm.テスト内容数),
_xlpm.詳細項目数&amp;"-"&amp;_xlpm.観点数&amp;"-"&amp;_xlpm.テスト内容数_空なら1
)</f>
        <v>46-1-1</v>
      </c>
      <c r="B125" s="155"/>
      <c r="C125" s="146"/>
      <c r="D125" s="145"/>
      <c r="E125" s="145" t="s">
        <v>480</v>
      </c>
      <c r="F125" s="124" t="s">
        <v>260</v>
      </c>
      <c r="G125" s="125" t="s">
        <v>514</v>
      </c>
      <c r="H125" s="112"/>
      <c r="I125" s="112"/>
      <c r="J125" s="125"/>
      <c r="K125" s="125"/>
      <c r="L125" s="112"/>
      <c r="M125" s="112"/>
      <c r="N125" s="112"/>
      <c r="O125" s="112"/>
      <c r="P125" s="112"/>
      <c r="Q125" s="123"/>
      <c r="R125" s="125"/>
    </row>
    <row r="126" spans="1:18" ht="33">
      <c r="A126" s="74" t="str" cm="1">
        <f t="array" aca="1" ref="A126" ca="1">_xlfn.LET(
_xlpm.詳細項目数, COUNTA($E$11:E126),
_xlpm.直近で詳細項目が空でないセルの行番号, MAX(INDEX((LEN($E$11:E126)&gt;0)*ROW($E$11:E126),0)),
_xlpm.観点数, COUNTA(INDIRECT("F"&amp;_xlpm.直近で詳細項目が空でないセルの行番号):F126),
_xlpm.直近で観点が空でないセルの行番号, MAX(INDEX((LEN($F$11:F126)&gt;0)*ROW($F$11:F126),0)),
_xlpm.テスト内容数, COUNTA(INDIRECT("J"&amp;_xlpm.直近で観点が空でないセルの行番号):J126),
_xlpm.テスト内容数_空なら1, IF(_xlpm.テスト内容数=0,1,_xlpm.テスト内容数),
_xlpm.詳細項目数&amp;"-"&amp;_xlpm.観点数&amp;"-"&amp;_xlpm.テスト内容数_空なら1
)</f>
        <v>47-1-1</v>
      </c>
      <c r="B126" s="155"/>
      <c r="C126" s="147"/>
      <c r="D126" s="145" t="s">
        <v>476</v>
      </c>
      <c r="E126" s="145" t="s">
        <v>467</v>
      </c>
      <c r="F126" s="124" t="s">
        <v>261</v>
      </c>
      <c r="G126" s="125" t="s">
        <v>514</v>
      </c>
      <c r="H126" s="112"/>
      <c r="I126" s="112"/>
      <c r="J126" s="125"/>
      <c r="K126" s="125"/>
      <c r="L126" s="112"/>
      <c r="M126" s="112"/>
      <c r="N126" s="112"/>
      <c r="O126" s="112"/>
      <c r="P126" s="112"/>
      <c r="Q126" s="123"/>
      <c r="R126" s="125"/>
    </row>
    <row r="127" spans="1:18" ht="33">
      <c r="A127" s="74" t="str" cm="1">
        <f t="array" aca="1" ref="A127" ca="1">_xlfn.LET(
_xlpm.詳細項目数, COUNTA($E$11:E127),
_xlpm.直近で詳細項目が空でないセルの行番号, MAX(INDEX((LEN($E$11:E127)&gt;0)*ROW($E$11:E127),0)),
_xlpm.観点数, COUNTA(INDIRECT("F"&amp;_xlpm.直近で詳細項目が空でないセルの行番号):F127),
_xlpm.直近で観点が空でないセルの行番号, MAX(INDEX((LEN($F$11:F127)&gt;0)*ROW($F$11:F127),0)),
_xlpm.テスト内容数, COUNTA(INDIRECT("J"&amp;_xlpm.直近で観点が空でないセルの行番号):J127),
_xlpm.テスト内容数_空なら1, IF(_xlpm.テスト内容数=0,1,_xlpm.テスト内容数),
_xlpm.詳細項目数&amp;"-"&amp;_xlpm.観点数&amp;"-"&amp;_xlpm.テスト内容数_空なら1
)</f>
        <v>48-1-1</v>
      </c>
      <c r="B127" s="155"/>
      <c r="C127" s="155" t="s">
        <v>463</v>
      </c>
      <c r="D127" s="155" t="s">
        <v>262</v>
      </c>
      <c r="E127" s="142" t="s">
        <v>263</v>
      </c>
      <c r="F127" s="142" t="s">
        <v>264</v>
      </c>
      <c r="G127" s="125" t="s">
        <v>514</v>
      </c>
      <c r="H127" s="112"/>
      <c r="I127" s="112"/>
      <c r="J127" s="125"/>
      <c r="K127" s="125"/>
      <c r="L127" s="112"/>
      <c r="M127" s="112"/>
      <c r="N127" s="112"/>
      <c r="O127" s="112"/>
      <c r="P127" s="112"/>
      <c r="Q127" s="123"/>
      <c r="R127" s="125"/>
    </row>
    <row r="128" spans="1:18" ht="22">
      <c r="A128" s="74" t="str" cm="1">
        <f t="array" aca="1" ref="A128" ca="1">_xlfn.LET(
_xlpm.詳細項目数, COUNTA($E$11:E128),
_xlpm.直近で詳細項目が空でないセルの行番号, MAX(INDEX((LEN($E$11:E128)&gt;0)*ROW($E$11:E128),0)),
_xlpm.観点数, COUNTA(INDIRECT("F"&amp;_xlpm.直近で詳細項目が空でないセルの行番号):F128),
_xlpm.直近で観点が空でないセルの行番号, MAX(INDEX((LEN($F$11:F128)&gt;0)*ROW($F$11:F128),0)),
_xlpm.テスト内容数, COUNTA(INDIRECT("J"&amp;_xlpm.直近で観点が空でないセルの行番号):J128),
_xlpm.テスト内容数_空なら1, IF(_xlpm.テスト内容数=0,1,_xlpm.テスト内容数),
_xlpm.詳細項目数&amp;"-"&amp;_xlpm.観点数&amp;"-"&amp;_xlpm.テスト内容数_空なら1
)</f>
        <v>49-1-1</v>
      </c>
      <c r="B128" s="155"/>
      <c r="C128" s="155"/>
      <c r="D128" s="155"/>
      <c r="E128" s="146" t="s">
        <v>481</v>
      </c>
      <c r="F128" s="124" t="s">
        <v>266</v>
      </c>
      <c r="G128" s="125" t="s">
        <v>514</v>
      </c>
      <c r="H128" s="112"/>
      <c r="I128" s="112"/>
      <c r="J128" s="125"/>
      <c r="K128" s="125"/>
      <c r="L128" s="112"/>
      <c r="M128" s="112"/>
      <c r="N128" s="112"/>
      <c r="O128" s="112"/>
      <c r="P128" s="112"/>
      <c r="Q128" s="123"/>
      <c r="R128" s="125"/>
    </row>
    <row r="129" spans="1:18" ht="22">
      <c r="A129" s="74" t="str" cm="1">
        <f t="array" aca="1" ref="A129" ca="1">_xlfn.LET(
_xlpm.詳細項目数, COUNTA($E$11:E129),
_xlpm.直近で詳細項目が空でないセルの行番号, MAX(INDEX((LEN($E$11:E129)&gt;0)*ROW($E$11:E129),0)),
_xlpm.観点数, COUNTA(INDIRECT("F"&amp;_xlpm.直近で詳細項目が空でないセルの行番号):F129),
_xlpm.直近で観点が空でないセルの行番号, MAX(INDEX((LEN($F$11:F129)&gt;0)*ROW($F$11:F129),0)),
_xlpm.テスト内容数, COUNTA(INDIRECT("J"&amp;_xlpm.直近で観点が空でないセルの行番号):J129),
_xlpm.テスト内容数_空なら1, IF(_xlpm.テスト内容数=0,1,_xlpm.テスト内容数),
_xlpm.詳細項目数&amp;"-"&amp;_xlpm.観点数&amp;"-"&amp;_xlpm.テスト内容数_空なら1
)</f>
        <v>49-2-1</v>
      </c>
      <c r="B129" s="155"/>
      <c r="C129" s="155"/>
      <c r="D129" s="155"/>
      <c r="E129" s="146"/>
      <c r="F129" s="124" t="s">
        <v>267</v>
      </c>
      <c r="G129" s="125" t="s">
        <v>514</v>
      </c>
      <c r="H129" s="112"/>
      <c r="I129" s="112"/>
      <c r="J129" s="125"/>
      <c r="K129" s="125"/>
      <c r="L129" s="112"/>
      <c r="M129" s="112"/>
      <c r="N129" s="112"/>
      <c r="O129" s="112"/>
      <c r="P129" s="112"/>
      <c r="Q129" s="123"/>
      <c r="R129" s="125"/>
    </row>
    <row r="130" spans="1:18" ht="44">
      <c r="A130" s="74" t="str" cm="1">
        <f t="array" aca="1" ref="A130" ca="1">_xlfn.LET(
_xlpm.詳細項目数, COUNTA($E$11:E130),
_xlpm.直近で詳細項目が空でないセルの行番号, MAX(INDEX((LEN($E$11:E130)&gt;0)*ROW($E$11:E130),0)),
_xlpm.観点数, COUNTA(INDIRECT("F"&amp;_xlpm.直近で詳細項目が空でないセルの行番号):F130),
_xlpm.直近で観点が空でないセルの行番号, MAX(INDEX((LEN($F$11:F130)&gt;0)*ROW($F$11:F130),0)),
_xlpm.テスト内容数, COUNTA(INDIRECT("J"&amp;_xlpm.直近で観点が空でないセルの行番号):J130),
_xlpm.テスト内容数_空なら1, IF(_xlpm.テスト内容数=0,1,_xlpm.テスト内容数),
_xlpm.詳細項目数&amp;"-"&amp;_xlpm.観点数&amp;"-"&amp;_xlpm.テスト内容数_空なら1
)</f>
        <v>49-3-1</v>
      </c>
      <c r="B130" s="145"/>
      <c r="C130" s="145"/>
      <c r="D130" s="145"/>
      <c r="E130" s="147"/>
      <c r="F130" s="124" t="s">
        <v>268</v>
      </c>
      <c r="G130" s="125" t="s">
        <v>514</v>
      </c>
      <c r="H130" s="112"/>
      <c r="I130" s="112"/>
      <c r="J130" s="125"/>
      <c r="K130" s="125"/>
      <c r="L130" s="112"/>
      <c r="M130" s="112"/>
      <c r="N130" s="112"/>
      <c r="O130" s="112"/>
      <c r="P130" s="112"/>
      <c r="Q130" s="123"/>
      <c r="R130" s="125"/>
    </row>
    <row r="131" spans="1:18" ht="22">
      <c r="A131" s="74" t="str" cm="1">
        <f t="array" aca="1" ref="A131" ca="1">_xlfn.LET(
_xlpm.詳細項目数, COUNTA($E$11:E131),
_xlpm.直近で詳細項目が空でないセルの行番号, MAX(INDEX((LEN($E$11:E131)&gt;0)*ROW($E$11:E131),0)),
_xlpm.観点数, COUNTA(INDIRECT("F"&amp;_xlpm.直近で詳細項目が空でないセルの行番号):F131),
_xlpm.直近で観点が空でないセルの行番号, MAX(INDEX((LEN($F$11:F131)&gt;0)*ROW($F$11:F131),0)),
_xlpm.テスト内容数, COUNTA(INDIRECT("J"&amp;_xlpm.直近で観点が空でないセルの行番号):J131),
_xlpm.テスト内容数_空なら1, IF(_xlpm.テスト内容数=0,1,_xlpm.テスト内容数),
_xlpm.詳細項目数&amp;"-"&amp;_xlpm.観点数&amp;"-"&amp;_xlpm.テスト内容数_空なら1
)</f>
        <v>50-1-1</v>
      </c>
      <c r="B131" s="142" t="s">
        <v>269</v>
      </c>
      <c r="C131" s="142" t="s">
        <v>242</v>
      </c>
      <c r="D131" s="142" t="s">
        <v>467</v>
      </c>
      <c r="E131" s="154" t="s">
        <v>467</v>
      </c>
      <c r="F131" s="124" t="s">
        <v>270</v>
      </c>
      <c r="G131" s="84" t="s">
        <v>507</v>
      </c>
      <c r="H131" s="112"/>
      <c r="I131" s="112"/>
      <c r="J131" s="125"/>
      <c r="K131" s="125"/>
      <c r="L131" s="112"/>
      <c r="M131" s="112"/>
      <c r="N131" s="112"/>
      <c r="O131" s="112"/>
      <c r="P131" s="112"/>
      <c r="Q131" s="123"/>
      <c r="R131" s="125"/>
    </row>
    <row r="132" spans="1:18" ht="22">
      <c r="A132" s="74" t="str" cm="1">
        <f t="array" aca="1" ref="A132" ca="1">_xlfn.LET(
_xlpm.詳細項目数, COUNTA($E$11:E132),
_xlpm.直近で詳細項目が空でないセルの行番号, MAX(INDEX((LEN($E$11:E132)&gt;0)*ROW($E$11:E132),0)),
_xlpm.観点数, COUNTA(INDIRECT("F"&amp;_xlpm.直近で詳細項目が空でないセルの行番号):F132),
_xlpm.直近で観点が空でないセルの行番号, MAX(INDEX((LEN($F$11:F132)&gt;0)*ROW($F$11:F132),0)),
_xlpm.テスト内容数, COUNTA(INDIRECT("J"&amp;_xlpm.直近で観点が空でないセルの行番号):J132),
_xlpm.テスト内容数_空なら1, IF(_xlpm.テスト内容数=0,1,_xlpm.テスト内容数),
_xlpm.詳細項目数&amp;"-"&amp;_xlpm.観点数&amp;"-"&amp;_xlpm.テスト内容数_空なら1
)</f>
        <v>50-2-1</v>
      </c>
      <c r="B132" s="350" t="s">
        <v>271</v>
      </c>
      <c r="C132" s="146"/>
      <c r="D132" s="143"/>
      <c r="E132" s="146"/>
      <c r="F132" s="124" t="s">
        <v>272</v>
      </c>
      <c r="G132" s="84" t="s">
        <v>507</v>
      </c>
      <c r="H132" s="112"/>
      <c r="I132" s="112"/>
      <c r="J132" s="125"/>
      <c r="K132" s="125"/>
      <c r="L132" s="112"/>
      <c r="M132" s="112"/>
      <c r="N132" s="112"/>
      <c r="O132" s="112"/>
      <c r="P132" s="112"/>
      <c r="Q132" s="123"/>
      <c r="R132" s="125"/>
    </row>
    <row r="133" spans="1:18" ht="22">
      <c r="A133" s="74" t="str" cm="1">
        <f t="array" aca="1" ref="A133" ca="1">_xlfn.LET(
_xlpm.詳細項目数, COUNTA($E$11:E133),
_xlpm.直近で詳細項目が空でないセルの行番号, MAX(INDEX((LEN($E$11:E133)&gt;0)*ROW($E$11:E133),0)),
_xlpm.観点数, COUNTA(INDIRECT("F"&amp;_xlpm.直近で詳細項目が空でないセルの行番号):F133),
_xlpm.直近で観点が空でないセルの行番号, MAX(INDEX((LEN($F$11:F133)&gt;0)*ROW($F$11:F133),0)),
_xlpm.テスト内容数, COUNTA(INDIRECT("J"&amp;_xlpm.直近で観点が空でないセルの行番号):J133),
_xlpm.テスト内容数_空なら1, IF(_xlpm.テスト内容数=0,1,_xlpm.テスト内容数),
_xlpm.詳細項目数&amp;"-"&amp;_xlpm.観点数&amp;"-"&amp;_xlpm.テスト内容数_空なら1
)</f>
        <v>50-3-1</v>
      </c>
      <c r="B133" s="350"/>
      <c r="C133" s="146"/>
      <c r="D133" s="143"/>
      <c r="E133" s="146"/>
      <c r="F133" s="124" t="s">
        <v>273</v>
      </c>
      <c r="G133" s="84" t="s">
        <v>507</v>
      </c>
      <c r="H133" s="112"/>
      <c r="I133" s="112"/>
      <c r="J133" s="125"/>
      <c r="K133" s="125"/>
      <c r="L133" s="112"/>
      <c r="M133" s="112"/>
      <c r="N133" s="112"/>
      <c r="O133" s="112"/>
      <c r="P133" s="112"/>
      <c r="Q133" s="123"/>
      <c r="R133" s="125"/>
    </row>
    <row r="134" spans="1:18" ht="22">
      <c r="A134" s="74" t="str" cm="1">
        <f t="array" aca="1" ref="A134" ca="1">_xlfn.LET(
_xlpm.詳細項目数, COUNTA($E$11:E134),
_xlpm.直近で詳細項目が空でないセルの行番号, MAX(INDEX((LEN($E$11:E134)&gt;0)*ROW($E$11:E134),0)),
_xlpm.観点数, COUNTA(INDIRECT("F"&amp;_xlpm.直近で詳細項目が空でないセルの行番号):F134),
_xlpm.直近で観点が空でないセルの行番号, MAX(INDEX((LEN($F$11:F134)&gt;0)*ROW($F$11:F134),0)),
_xlpm.テスト内容数, COUNTA(INDIRECT("J"&amp;_xlpm.直近で観点が空でないセルの行番号):J134),
_xlpm.テスト内容数_空なら1, IF(_xlpm.テスト内容数=0,1,_xlpm.テスト内容数),
_xlpm.詳細項目数&amp;"-"&amp;_xlpm.観点数&amp;"-"&amp;_xlpm.テスト内容数_空なら1
)</f>
        <v>50-4-1</v>
      </c>
      <c r="B134" s="143"/>
      <c r="C134" s="146"/>
      <c r="D134" s="143"/>
      <c r="E134" s="145"/>
      <c r="F134" s="124" t="s">
        <v>274</v>
      </c>
      <c r="G134" s="84" t="s">
        <v>507</v>
      </c>
      <c r="H134" s="112"/>
      <c r="I134" s="112"/>
      <c r="J134" s="125"/>
      <c r="K134" s="125"/>
      <c r="L134" s="112"/>
      <c r="M134" s="112"/>
      <c r="N134" s="112"/>
      <c r="O134" s="112"/>
      <c r="P134" s="112"/>
      <c r="Q134" s="123"/>
      <c r="R134" s="125"/>
    </row>
    <row r="135" spans="1:18" ht="22">
      <c r="A135" s="74" t="str" cm="1">
        <f t="array" aca="1" ref="A135" ca="1">_xlfn.LET(
_xlpm.詳細項目数, COUNTA($E$11:E135),
_xlpm.直近で詳細項目が空でないセルの行番号, MAX(INDEX((LEN($E$11:E135)&gt;0)*ROW($E$11:E135),0)),
_xlpm.観点数, COUNTA(INDIRECT("F"&amp;_xlpm.直近で詳細項目が空でないセルの行番号):F135),
_xlpm.直近で観点が空でないセルの行番号, MAX(INDEX((LEN($F$11:F135)&gt;0)*ROW($F$11:F135),0)),
_xlpm.テスト内容数, COUNTA(INDIRECT("J"&amp;_xlpm.直近で観点が空でないセルの行番号):J135),
_xlpm.テスト内容数_空なら1, IF(_xlpm.テスト内容数=0,1,_xlpm.テスト内容数),
_xlpm.詳細項目数&amp;"-"&amp;_xlpm.観点数&amp;"-"&amp;_xlpm.テスト内容数_空なら1
)</f>
        <v>51-1-1</v>
      </c>
      <c r="B135" s="143"/>
      <c r="C135" s="146"/>
      <c r="D135" s="143"/>
      <c r="E135" s="146" t="s">
        <v>275</v>
      </c>
      <c r="F135" s="124" t="s">
        <v>276</v>
      </c>
      <c r="G135" s="84" t="s">
        <v>507</v>
      </c>
      <c r="H135" s="112"/>
      <c r="I135" s="112"/>
      <c r="J135" s="125"/>
      <c r="K135" s="125"/>
      <c r="L135" s="112"/>
      <c r="M135" s="112"/>
      <c r="N135" s="112"/>
      <c r="O135" s="112"/>
      <c r="P135" s="112"/>
      <c r="Q135" s="123"/>
      <c r="R135" s="125"/>
    </row>
    <row r="136" spans="1:18" ht="33">
      <c r="A136" s="74" t="str" cm="1">
        <f t="array" aca="1" ref="A136" ca="1">_xlfn.LET(
_xlpm.詳細項目数, COUNTA($E$11:E136),
_xlpm.直近で詳細項目が空でないセルの行番号, MAX(INDEX((LEN($E$11:E136)&gt;0)*ROW($E$11:E136),0)),
_xlpm.観点数, COUNTA(INDIRECT("F"&amp;_xlpm.直近で詳細項目が空でないセルの行番号):F136),
_xlpm.直近で観点が空でないセルの行番号, MAX(INDEX((LEN($F$11:F136)&gt;0)*ROW($F$11:F136),0)),
_xlpm.テスト内容数, COUNTA(INDIRECT("J"&amp;_xlpm.直近で観点が空でないセルの行番号):J136),
_xlpm.テスト内容数_空なら1, IF(_xlpm.テスト内容数=0,1,_xlpm.テスト内容数),
_xlpm.詳細項目数&amp;"-"&amp;_xlpm.観点数&amp;"-"&amp;_xlpm.テスト内容数_空なら1
)</f>
        <v>51-2-1</v>
      </c>
      <c r="B136" s="143"/>
      <c r="C136" s="146"/>
      <c r="D136" s="145"/>
      <c r="E136" s="145"/>
      <c r="F136" s="124" t="s">
        <v>277</v>
      </c>
      <c r="G136" s="84" t="s">
        <v>507</v>
      </c>
      <c r="H136" s="112"/>
      <c r="I136" s="112"/>
      <c r="J136" s="125"/>
      <c r="K136" s="125"/>
      <c r="L136" s="112"/>
      <c r="M136" s="112"/>
      <c r="N136" s="112"/>
      <c r="O136" s="112"/>
      <c r="P136" s="112"/>
      <c r="Q136" s="123"/>
      <c r="R136" s="125"/>
    </row>
    <row r="137" spans="1:18" ht="33">
      <c r="A137" s="74" t="str" cm="1">
        <f t="array" aca="1" ref="A137" ca="1">_xlfn.LET(
_xlpm.詳細項目数, COUNTA($E$11:E137),
_xlpm.直近で詳細項目が空でないセルの行番号, MAX(INDEX((LEN($E$11:E137)&gt;0)*ROW($E$11:E137),0)),
_xlpm.観点数, COUNTA(INDIRECT("F"&amp;_xlpm.直近で詳細項目が空でないセルの行番号):F137),
_xlpm.直近で観点が空でないセルの行番号, MAX(INDEX((LEN($F$11:F137)&gt;0)*ROW($F$11:F137),0)),
_xlpm.テスト内容数, COUNTA(INDIRECT("J"&amp;_xlpm.直近で観点が空でないセルの行番号):J137),
_xlpm.テスト内容数_空なら1, IF(_xlpm.テスト内容数=0,1,_xlpm.テスト内容数),
_xlpm.詳細項目数&amp;"-"&amp;_xlpm.観点数&amp;"-"&amp;_xlpm.テスト内容数_空なら1
)</f>
        <v>52-1-1</v>
      </c>
      <c r="B137" s="143"/>
      <c r="C137" s="147"/>
      <c r="D137" s="145" t="s">
        <v>476</v>
      </c>
      <c r="E137" s="145" t="s">
        <v>467</v>
      </c>
      <c r="F137" s="124" t="s">
        <v>278</v>
      </c>
      <c r="G137" s="84" t="s">
        <v>507</v>
      </c>
      <c r="H137" s="112"/>
      <c r="I137" s="112"/>
      <c r="J137" s="125"/>
      <c r="K137" s="125"/>
      <c r="L137" s="112"/>
      <c r="M137" s="112"/>
      <c r="N137" s="112"/>
      <c r="O137" s="112"/>
      <c r="P137" s="112"/>
      <c r="Q137" s="123"/>
      <c r="R137" s="125"/>
    </row>
    <row r="138" spans="1:18" ht="33">
      <c r="A138" s="74" t="str" cm="1">
        <f t="array" aca="1" ref="A138" ca="1">_xlfn.LET(
_xlpm.詳細項目数, COUNTA($E$11:E138),
_xlpm.直近で詳細項目が空でないセルの行番号, MAX(INDEX((LEN($E$11:E138)&gt;0)*ROW($E$11:E138),0)),
_xlpm.観点数, COUNTA(INDIRECT("F"&amp;_xlpm.直近で詳細項目が空でないセルの行番号):F138),
_xlpm.直近で観点が空でないセルの行番号, MAX(INDEX((LEN($F$11:F138)&gt;0)*ROW($F$11:F138),0)),
_xlpm.テスト内容数, COUNTA(INDIRECT("J"&amp;_xlpm.直近で観点が空でないセルの行番号):J138),
_xlpm.テスト内容数_空なら1, IF(_xlpm.テスト内容数=0,1,_xlpm.テスト内容数),
_xlpm.詳細項目数&amp;"-"&amp;_xlpm.観点数&amp;"-"&amp;_xlpm.テスト内容数_空なら1
)</f>
        <v>53-1-1</v>
      </c>
      <c r="B138" s="143"/>
      <c r="C138" s="146" t="s">
        <v>279</v>
      </c>
      <c r="D138" s="143" t="s">
        <v>262</v>
      </c>
      <c r="E138" s="124" t="s">
        <v>280</v>
      </c>
      <c r="F138" s="124" t="s">
        <v>281</v>
      </c>
      <c r="G138" s="84" t="s">
        <v>507</v>
      </c>
      <c r="H138" s="112"/>
      <c r="I138" s="112"/>
      <c r="J138" s="125"/>
      <c r="K138" s="125"/>
      <c r="L138" s="112"/>
      <c r="M138" s="112"/>
      <c r="N138" s="112"/>
      <c r="O138" s="112"/>
      <c r="P138" s="112"/>
      <c r="Q138" s="123"/>
      <c r="R138" s="125"/>
    </row>
    <row r="139" spans="1:18" ht="33">
      <c r="A139" s="74" t="str" cm="1">
        <f t="array" aca="1" ref="A139" ca="1">_xlfn.LET(
_xlpm.詳細項目数, COUNTA($E$11:E139),
_xlpm.直近で詳細項目が空でないセルの行番号, MAX(INDEX((LEN($E$11:E139)&gt;0)*ROW($E$11:E139),0)),
_xlpm.観点数, COUNTA(INDIRECT("F"&amp;_xlpm.直近で詳細項目が空でないセルの行番号):F139),
_xlpm.直近で観点が空でないセルの行番号, MAX(INDEX((LEN($F$11:F139)&gt;0)*ROW($F$11:F139),0)),
_xlpm.テスト内容数, COUNTA(INDIRECT("J"&amp;_xlpm.直近で観点が空でないセルの行番号):J139),
_xlpm.テスト内容数_空なら1, IF(_xlpm.テスト内容数=0,1,_xlpm.テスト内容数),
_xlpm.詳細項目数&amp;"-"&amp;_xlpm.観点数&amp;"-"&amp;_xlpm.テスト内容数_空なら1
)</f>
        <v>54-1-1</v>
      </c>
      <c r="B139" s="143"/>
      <c r="C139" s="146"/>
      <c r="D139" s="143"/>
      <c r="E139" s="124" t="s">
        <v>282</v>
      </c>
      <c r="F139" s="124" t="s">
        <v>283</v>
      </c>
      <c r="G139" s="84" t="s">
        <v>507</v>
      </c>
      <c r="H139" s="112"/>
      <c r="I139" s="112"/>
      <c r="J139" s="125"/>
      <c r="K139" s="125"/>
      <c r="L139" s="112"/>
      <c r="M139" s="112"/>
      <c r="N139" s="112"/>
      <c r="O139" s="112"/>
      <c r="P139" s="112"/>
      <c r="Q139" s="123"/>
      <c r="R139" s="125"/>
    </row>
    <row r="140" spans="1:18" ht="33">
      <c r="A140" s="74" t="str" cm="1">
        <f t="array" aca="1" ref="A140" ca="1">_xlfn.LET(
_xlpm.詳細項目数, COUNTA($E$11:E140),
_xlpm.直近で詳細項目が空でないセルの行番号, MAX(INDEX((LEN($E$11:E140)&gt;0)*ROW($E$11:E140),0)),
_xlpm.観点数, COUNTA(INDIRECT("F"&amp;_xlpm.直近で詳細項目が空でないセルの行番号):F140),
_xlpm.直近で観点が空でないセルの行番号, MAX(INDEX((LEN($F$11:F140)&gt;0)*ROW($F$11:F140),0)),
_xlpm.テスト内容数, COUNTA(INDIRECT("J"&amp;_xlpm.直近で観点が空でないセルの行番号):J140),
_xlpm.テスト内容数_空なら1, IF(_xlpm.テスト内容数=0,1,_xlpm.テスト内容数),
_xlpm.詳細項目数&amp;"-"&amp;_xlpm.観点数&amp;"-"&amp;_xlpm.テスト内容数_空なら1
)</f>
        <v>55-1-1</v>
      </c>
      <c r="B140" s="143"/>
      <c r="C140" s="146"/>
      <c r="D140" s="143"/>
      <c r="E140" s="124" t="s">
        <v>284</v>
      </c>
      <c r="F140" s="124" t="s">
        <v>285</v>
      </c>
      <c r="G140" s="84" t="s">
        <v>507</v>
      </c>
      <c r="H140" s="112"/>
      <c r="I140" s="112"/>
      <c r="J140" s="125"/>
      <c r="K140" s="125"/>
      <c r="L140" s="112"/>
      <c r="M140" s="112"/>
      <c r="N140" s="112"/>
      <c r="O140" s="112"/>
      <c r="P140" s="112"/>
      <c r="Q140" s="123"/>
      <c r="R140" s="125"/>
    </row>
    <row r="141" spans="1:18" ht="33">
      <c r="A141" s="74" t="str" cm="1">
        <f t="array" aca="1" ref="A141" ca="1">_xlfn.LET(
_xlpm.詳細項目数, COUNTA($E$11:E141),
_xlpm.直近で詳細項目が空でないセルの行番号, MAX(INDEX((LEN($E$11:E141)&gt;0)*ROW($E$11:E141),0)),
_xlpm.観点数, COUNTA(INDIRECT("F"&amp;_xlpm.直近で詳細項目が空でないセルの行番号):F141),
_xlpm.直近で観点が空でないセルの行番号, MAX(INDEX((LEN($F$11:F141)&gt;0)*ROW($F$11:F141),0)),
_xlpm.テスト内容数, COUNTA(INDIRECT("J"&amp;_xlpm.直近で観点が空でないセルの行番号):J141),
_xlpm.テスト内容数_空なら1, IF(_xlpm.テスト内容数=0,1,_xlpm.テスト内容数),
_xlpm.詳細項目数&amp;"-"&amp;_xlpm.観点数&amp;"-"&amp;_xlpm.テスト内容数_空なら1
)</f>
        <v>56-1-1</v>
      </c>
      <c r="B141" s="143"/>
      <c r="C141" s="146"/>
      <c r="D141" s="143"/>
      <c r="E141" s="124" t="s">
        <v>263</v>
      </c>
      <c r="F141" s="124" t="s">
        <v>286</v>
      </c>
      <c r="G141" s="84" t="s">
        <v>507</v>
      </c>
      <c r="H141" s="112"/>
      <c r="I141" s="112"/>
      <c r="J141" s="125"/>
      <c r="K141" s="125"/>
      <c r="L141" s="112"/>
      <c r="M141" s="112"/>
      <c r="N141" s="112"/>
      <c r="O141" s="112"/>
      <c r="P141" s="112"/>
      <c r="Q141" s="123"/>
      <c r="R141" s="125"/>
    </row>
    <row r="142" spans="1:18" ht="33">
      <c r="A142" s="74" t="str" cm="1">
        <f t="array" aca="1" ref="A142" ca="1">_xlfn.LET(
_xlpm.詳細項目数, COUNTA($E$11:E142),
_xlpm.直近で詳細項目が空でないセルの行番号, MAX(INDEX((LEN($E$11:E142)&gt;0)*ROW($E$11:E142),0)),
_xlpm.観点数, COUNTA(INDIRECT("F"&amp;_xlpm.直近で詳細項目が空でないセルの行番号):F142),
_xlpm.直近で観点が空でないセルの行番号, MAX(INDEX((LEN($F$11:F142)&gt;0)*ROW($F$11:F142),0)),
_xlpm.テスト内容数, COUNTA(INDIRECT("J"&amp;_xlpm.直近で観点が空でないセルの行番号):J142),
_xlpm.テスト内容数_空なら1, IF(_xlpm.テスト内容数=0,1,_xlpm.テスト内容数),
_xlpm.詳細項目数&amp;"-"&amp;_xlpm.観点数&amp;"-"&amp;_xlpm.テスト内容数_空なら1
)</f>
        <v>57-1-1</v>
      </c>
      <c r="B142" s="143"/>
      <c r="C142" s="146"/>
      <c r="D142" s="143"/>
      <c r="E142" s="124" t="s">
        <v>482</v>
      </c>
      <c r="F142" s="124" t="s">
        <v>288</v>
      </c>
      <c r="G142" s="84" t="s">
        <v>507</v>
      </c>
      <c r="H142" s="112"/>
      <c r="I142" s="112"/>
      <c r="J142" s="125"/>
      <c r="K142" s="125"/>
      <c r="L142" s="112"/>
      <c r="M142" s="112"/>
      <c r="N142" s="112"/>
      <c r="O142" s="112"/>
      <c r="P142" s="112"/>
      <c r="Q142" s="123"/>
      <c r="R142" s="125"/>
    </row>
    <row r="143" spans="1:18" ht="22">
      <c r="A143" s="74" t="str" cm="1">
        <f t="array" aca="1" ref="A143" ca="1">_xlfn.LET(
_xlpm.詳細項目数, COUNTA($E$11:E143),
_xlpm.直近で詳細項目が空でないセルの行番号, MAX(INDEX((LEN($E$11:E143)&gt;0)*ROW($E$11:E143),0)),
_xlpm.観点数, COUNTA(INDIRECT("F"&amp;_xlpm.直近で詳細項目が空でないセルの行番号):F143),
_xlpm.直近で観点が空でないセルの行番号, MAX(INDEX((LEN($F$11:F143)&gt;0)*ROW($F$11:F143),0)),
_xlpm.テスト内容数, COUNTA(INDIRECT("J"&amp;_xlpm.直近で観点が空でないセルの行番号):J143),
_xlpm.テスト内容数_空なら1, IF(_xlpm.テスト内容数=0,1,_xlpm.テスト内容数),
_xlpm.詳細項目数&amp;"-"&amp;_xlpm.観点数&amp;"-"&amp;_xlpm.テスト内容数_空なら1
)</f>
        <v>58-1-1</v>
      </c>
      <c r="B143" s="143"/>
      <c r="C143" s="146"/>
      <c r="D143" s="143"/>
      <c r="E143" s="152" t="s">
        <v>483</v>
      </c>
      <c r="F143" s="124" t="s">
        <v>290</v>
      </c>
      <c r="G143" s="84" t="s">
        <v>507</v>
      </c>
      <c r="H143" s="112"/>
      <c r="I143" s="112"/>
      <c r="J143" s="125"/>
      <c r="K143" s="125"/>
      <c r="L143" s="112"/>
      <c r="M143" s="112"/>
      <c r="N143" s="112"/>
      <c r="O143" s="112"/>
      <c r="P143" s="112"/>
      <c r="Q143" s="123"/>
      <c r="R143" s="125"/>
    </row>
    <row r="144" spans="1:18" ht="22">
      <c r="A144" s="74" t="str" cm="1">
        <f t="array" aca="1" ref="A144" ca="1">_xlfn.LET(
_xlpm.詳細項目数, COUNTA($E$11:E144),
_xlpm.直近で詳細項目が空でないセルの行番号, MAX(INDEX((LEN($E$11:E144)&gt;0)*ROW($E$11:E144),0)),
_xlpm.観点数, COUNTA(INDIRECT("F"&amp;_xlpm.直近で詳細項目が空でないセルの行番号):F144),
_xlpm.直近で観点が空でないセルの行番号, MAX(INDEX((LEN($F$11:F144)&gt;0)*ROW($F$11:F144),0)),
_xlpm.テスト内容数, COUNTA(INDIRECT("J"&amp;_xlpm.直近で観点が空でないセルの行番号):J144),
_xlpm.テスト内容数_空なら1, IF(_xlpm.テスト内容数=0,1,_xlpm.テスト内容数),
_xlpm.詳細項目数&amp;"-"&amp;_xlpm.観点数&amp;"-"&amp;_xlpm.テスト内容数_空なら1
)</f>
        <v>58-2-1</v>
      </c>
      <c r="B144" s="143"/>
      <c r="C144" s="146"/>
      <c r="D144" s="143"/>
      <c r="E144" s="152"/>
      <c r="F144" s="124" t="s">
        <v>291</v>
      </c>
      <c r="G144" s="84" t="s">
        <v>507</v>
      </c>
      <c r="H144" s="112"/>
      <c r="I144" s="112"/>
      <c r="J144" s="125"/>
      <c r="K144" s="125"/>
      <c r="L144" s="112"/>
      <c r="M144" s="112"/>
      <c r="N144" s="112"/>
      <c r="O144" s="112"/>
      <c r="P144" s="112"/>
      <c r="Q144" s="123"/>
      <c r="R144" s="125"/>
    </row>
    <row r="145" spans="1:18" ht="22">
      <c r="A145" s="74" t="str" cm="1">
        <f t="array" aca="1" ref="A145" ca="1">_xlfn.LET(
_xlpm.詳細項目数, COUNTA($E$11:E145),
_xlpm.直近で詳細項目が空でないセルの行番号, MAX(INDEX((LEN($E$11:E145)&gt;0)*ROW($E$11:E145),0)),
_xlpm.観点数, COUNTA(INDIRECT("F"&amp;_xlpm.直近で詳細項目が空でないセルの行番号):F145),
_xlpm.直近で観点が空でないセルの行番号, MAX(INDEX((LEN($F$11:F145)&gt;0)*ROW($F$11:F145),0)),
_xlpm.テスト内容数, COUNTA(INDIRECT("J"&amp;_xlpm.直近で観点が空でないセルの行番号):J145),
_xlpm.テスト内容数_空なら1, IF(_xlpm.テスト内容数=0,1,_xlpm.テスト内容数),
_xlpm.詳細項目数&amp;"-"&amp;_xlpm.観点数&amp;"-"&amp;_xlpm.テスト内容数_空なら1
)</f>
        <v>58-3-1</v>
      </c>
      <c r="B145" s="143"/>
      <c r="C145" s="146"/>
      <c r="D145" s="143"/>
      <c r="E145" s="152"/>
      <c r="F145" s="124" t="s">
        <v>292</v>
      </c>
      <c r="G145" s="84" t="s">
        <v>507</v>
      </c>
      <c r="H145" s="112"/>
      <c r="I145" s="112"/>
      <c r="J145" s="125"/>
      <c r="K145" s="125"/>
      <c r="L145" s="112"/>
      <c r="M145" s="112"/>
      <c r="N145" s="112"/>
      <c r="O145" s="112"/>
      <c r="P145" s="112"/>
      <c r="Q145" s="123"/>
      <c r="R145" s="125"/>
    </row>
    <row r="146" spans="1:18" ht="22">
      <c r="A146" s="74" t="str" cm="1">
        <f t="array" aca="1" ref="A146" ca="1">_xlfn.LET(
_xlpm.詳細項目数, COUNTA($E$11:E146),
_xlpm.直近で詳細項目が空でないセルの行番号, MAX(INDEX((LEN($E$11:E146)&gt;0)*ROW($E$11:E146),0)),
_xlpm.観点数, COUNTA(INDIRECT("F"&amp;_xlpm.直近で詳細項目が空でないセルの行番号):F146),
_xlpm.直近で観点が空でないセルの行番号, MAX(INDEX((LEN($F$11:F146)&gt;0)*ROW($F$11:F146),0)),
_xlpm.テスト内容数, COUNTA(INDIRECT("J"&amp;_xlpm.直近で観点が空でないセルの行番号):J146),
_xlpm.テスト内容数_空なら1, IF(_xlpm.テスト内容数=0,1,_xlpm.テスト内容数),
_xlpm.詳細項目数&amp;"-"&amp;_xlpm.観点数&amp;"-"&amp;_xlpm.テスト内容数_空なら1
)</f>
        <v>58-4-1</v>
      </c>
      <c r="B146" s="143"/>
      <c r="C146" s="146"/>
      <c r="D146" s="143"/>
      <c r="E146" s="152"/>
      <c r="F146" s="124" t="s">
        <v>293</v>
      </c>
      <c r="G146" s="84" t="s">
        <v>507</v>
      </c>
      <c r="H146" s="112"/>
      <c r="I146" s="112"/>
      <c r="J146" s="125"/>
      <c r="K146" s="125"/>
      <c r="L146" s="112"/>
      <c r="M146" s="112"/>
      <c r="N146" s="112"/>
      <c r="O146" s="112"/>
      <c r="P146" s="112"/>
      <c r="Q146" s="123"/>
      <c r="R146" s="125"/>
    </row>
    <row r="147" spans="1:18" ht="22">
      <c r="A147" s="74" t="str" cm="1">
        <f t="array" aca="1" ref="A147" ca="1">_xlfn.LET(
_xlpm.詳細項目数, COUNTA($E$11:E147),
_xlpm.直近で詳細項目が空でないセルの行番号, MAX(INDEX((LEN($E$11:E147)&gt;0)*ROW($E$11:E147),0)),
_xlpm.観点数, COUNTA(INDIRECT("F"&amp;_xlpm.直近で詳細項目が空でないセルの行番号):F147),
_xlpm.直近で観点が空でないセルの行番号, MAX(INDEX((LEN($F$11:F147)&gt;0)*ROW($F$11:F147),0)),
_xlpm.テスト内容数, COUNTA(INDIRECT("J"&amp;_xlpm.直近で観点が空でないセルの行番号):J147),
_xlpm.テスト内容数_空なら1, IF(_xlpm.テスト内容数=0,1,_xlpm.テスト内容数),
_xlpm.詳細項目数&amp;"-"&amp;_xlpm.観点数&amp;"-"&amp;_xlpm.テスト内容数_空なら1
)</f>
        <v>58-5-1</v>
      </c>
      <c r="B147" s="143"/>
      <c r="C147" s="146"/>
      <c r="D147" s="143"/>
      <c r="E147" s="152"/>
      <c r="F147" s="124" t="s">
        <v>294</v>
      </c>
      <c r="G147" s="84" t="s">
        <v>507</v>
      </c>
      <c r="H147" s="112"/>
      <c r="I147" s="112"/>
      <c r="J147" s="125"/>
      <c r="K147" s="125"/>
      <c r="L147" s="112"/>
      <c r="M147" s="112"/>
      <c r="N147" s="112"/>
      <c r="O147" s="112"/>
      <c r="P147" s="112"/>
      <c r="Q147" s="123"/>
      <c r="R147" s="125"/>
    </row>
    <row r="148" spans="1:18" ht="22">
      <c r="A148" s="74" t="str" cm="1">
        <f t="array" aca="1" ref="A148" ca="1">_xlfn.LET(
_xlpm.詳細項目数, COUNTA($E$11:E148),
_xlpm.直近で詳細項目が空でないセルの行番号, MAX(INDEX((LEN($E$11:E148)&gt;0)*ROW($E$11:E148),0)),
_xlpm.観点数, COUNTA(INDIRECT("F"&amp;_xlpm.直近で詳細項目が空でないセルの行番号):F148),
_xlpm.直近で観点が空でないセルの行番号, MAX(INDEX((LEN($F$11:F148)&gt;0)*ROW($F$11:F148),0)),
_xlpm.テスト内容数, COUNTA(INDIRECT("J"&amp;_xlpm.直近で観点が空でないセルの行番号):J148),
_xlpm.テスト内容数_空なら1, IF(_xlpm.テスト内容数=0,1,_xlpm.テスト内容数),
_xlpm.詳細項目数&amp;"-"&amp;_xlpm.観点数&amp;"-"&amp;_xlpm.テスト内容数_空なら1
)</f>
        <v>58-6-1</v>
      </c>
      <c r="B148" s="143"/>
      <c r="C148" s="146"/>
      <c r="D148" s="145"/>
      <c r="E148" s="145"/>
      <c r="F148" s="124" t="s">
        <v>295</v>
      </c>
      <c r="G148" s="84" t="s">
        <v>507</v>
      </c>
      <c r="H148" s="112"/>
      <c r="I148" s="112"/>
      <c r="J148" s="125"/>
      <c r="K148" s="125"/>
      <c r="L148" s="112"/>
      <c r="M148" s="112"/>
      <c r="N148" s="112"/>
      <c r="O148" s="112"/>
      <c r="P148" s="112"/>
      <c r="Q148" s="123"/>
      <c r="R148" s="125"/>
    </row>
    <row r="149" spans="1:18" ht="22">
      <c r="A149" s="74" t="str" cm="1">
        <f t="array" aca="1" ref="A149" ca="1">_xlfn.LET(
_xlpm.詳細項目数, COUNTA($E$11:E149),
_xlpm.直近で詳細項目が空でないセルの行番号, MAX(INDEX((LEN($E$11:E149)&gt;0)*ROW($E$11:E149),0)),
_xlpm.観点数, COUNTA(INDIRECT("F"&amp;_xlpm.直近で詳細項目が空でないセルの行番号):F149),
_xlpm.直近で観点が空でないセルの行番号, MAX(INDEX((LEN($F$11:F149)&gt;0)*ROW($F$11:F149),0)),
_xlpm.テスト内容数, COUNTA(INDIRECT("J"&amp;_xlpm.直近で観点が空でないセルの行番号):J149),
_xlpm.テスト内容数_空なら1, IF(_xlpm.テスト内容数=0,1,_xlpm.テスト内容数),
_xlpm.詳細項目数&amp;"-"&amp;_xlpm.観点数&amp;"-"&amp;_xlpm.テスト内容数_空なら1
)</f>
        <v>59-1-1</v>
      </c>
      <c r="B149" s="143"/>
      <c r="C149" s="146"/>
      <c r="D149" s="143" t="s">
        <v>296</v>
      </c>
      <c r="E149" s="142" t="s">
        <v>467</v>
      </c>
      <c r="F149" s="124" t="s">
        <v>297</v>
      </c>
      <c r="G149" s="84" t="s">
        <v>507</v>
      </c>
      <c r="H149" s="112"/>
      <c r="I149" s="112"/>
      <c r="J149" s="125"/>
      <c r="K149" s="125"/>
      <c r="L149" s="112"/>
      <c r="M149" s="112"/>
      <c r="N149" s="112"/>
      <c r="O149" s="112"/>
      <c r="P149" s="112"/>
      <c r="Q149" s="123"/>
      <c r="R149" s="125"/>
    </row>
    <row r="150" spans="1:18" ht="22">
      <c r="A150" s="74" t="str" cm="1">
        <f t="array" aca="1" ref="A150" ca="1">_xlfn.LET(
_xlpm.詳細項目数, COUNTA($E$11:E150),
_xlpm.直近で詳細項目が空でないセルの行番号, MAX(INDEX((LEN($E$11:E150)&gt;0)*ROW($E$11:E150),0)),
_xlpm.観点数, COUNTA(INDIRECT("F"&amp;_xlpm.直近で詳細項目が空でないセルの行番号):F150),
_xlpm.直近で観点が空でないセルの行番号, MAX(INDEX((LEN($F$11:F150)&gt;0)*ROW($F$11:F150),0)),
_xlpm.テスト内容数, COUNTA(INDIRECT("J"&amp;_xlpm.直近で観点が空でないセルの行番号):J150),
_xlpm.テスト内容数_空なら1, IF(_xlpm.テスト内容数=0,1,_xlpm.テスト内容数),
_xlpm.詳細項目数&amp;"-"&amp;_xlpm.観点数&amp;"-"&amp;_xlpm.テスト内容数_空なら1
)</f>
        <v>59-2-1</v>
      </c>
      <c r="B150" s="143"/>
      <c r="C150" s="146"/>
      <c r="D150" s="143"/>
      <c r="E150" s="145"/>
      <c r="F150" s="124" t="s">
        <v>298</v>
      </c>
      <c r="G150" s="84" t="s">
        <v>507</v>
      </c>
      <c r="H150" s="112"/>
      <c r="I150" s="112"/>
      <c r="J150" s="125"/>
      <c r="K150" s="125"/>
      <c r="L150" s="112"/>
      <c r="M150" s="112"/>
      <c r="N150" s="112"/>
      <c r="O150" s="112"/>
      <c r="P150" s="112"/>
      <c r="Q150" s="123"/>
      <c r="R150" s="125"/>
    </row>
    <row r="151" spans="1:18" ht="33">
      <c r="A151" s="74" t="str" cm="1">
        <f t="array" aca="1" ref="A151" ca="1">_xlfn.LET(
_xlpm.詳細項目数, COUNTA($E$11:E151),
_xlpm.直近で詳細項目が空でないセルの行番号, MAX(INDEX((LEN($E$11:E151)&gt;0)*ROW($E$11:E151),0)),
_xlpm.観点数, COUNTA(INDIRECT("F"&amp;_xlpm.直近で詳細項目が空でないセルの行番号):F151),
_xlpm.直近で観点が空でないセルの行番号, MAX(INDEX((LEN($F$11:F151)&gt;0)*ROW($F$11:F151),0)),
_xlpm.テスト内容数, COUNTA(INDIRECT("J"&amp;_xlpm.直近で観点が空でないセルの行番号):J151),
_xlpm.テスト内容数_空なら1, IF(_xlpm.テスト内容数=0,1,_xlpm.テスト内容数),
_xlpm.詳細項目数&amp;"-"&amp;_xlpm.観点数&amp;"-"&amp;_xlpm.テスト内容数_空なら1
)</f>
        <v>60-1-1</v>
      </c>
      <c r="B151" s="143"/>
      <c r="C151" s="146"/>
      <c r="D151" s="143"/>
      <c r="E151" s="146" t="s">
        <v>175</v>
      </c>
      <c r="F151" s="124" t="s">
        <v>299</v>
      </c>
      <c r="G151" s="84" t="s">
        <v>507</v>
      </c>
      <c r="H151" s="112"/>
      <c r="I151" s="112"/>
      <c r="J151" s="125"/>
      <c r="K151" s="125"/>
      <c r="L151" s="112"/>
      <c r="M151" s="112"/>
      <c r="N151" s="112"/>
      <c r="O151" s="112"/>
      <c r="P151" s="112"/>
      <c r="Q151" s="123"/>
      <c r="R151" s="125"/>
    </row>
    <row r="152" spans="1:18" ht="33">
      <c r="A152" s="74" t="str" cm="1">
        <f t="array" aca="1" ref="A152" ca="1">_xlfn.LET(
_xlpm.詳細項目数, COUNTA($E$11:E152),
_xlpm.直近で詳細項目が空でないセルの行番号, MAX(INDEX((LEN($E$11:E152)&gt;0)*ROW($E$11:E152),0)),
_xlpm.観点数, COUNTA(INDIRECT("F"&amp;_xlpm.直近で詳細項目が空でないセルの行番号):F152),
_xlpm.直近で観点が空でないセルの行番号, MAX(INDEX((LEN($F$11:F152)&gt;0)*ROW($F$11:F152),0)),
_xlpm.テスト内容数, COUNTA(INDIRECT("J"&amp;_xlpm.直近で観点が空でないセルの行番号):J152),
_xlpm.テスト内容数_空なら1, IF(_xlpm.テスト内容数=0,1,_xlpm.テスト内容数),
_xlpm.詳細項目数&amp;"-"&amp;_xlpm.観点数&amp;"-"&amp;_xlpm.テスト内容数_空なら1
)</f>
        <v>60-2-1</v>
      </c>
      <c r="B152" s="143"/>
      <c r="C152" s="146"/>
      <c r="D152" s="143"/>
      <c r="E152" s="152"/>
      <c r="F152" s="124" t="s">
        <v>300</v>
      </c>
      <c r="G152" s="84" t="s">
        <v>507</v>
      </c>
      <c r="H152" s="112"/>
      <c r="I152" s="112"/>
      <c r="J152" s="125"/>
      <c r="K152" s="125"/>
      <c r="L152" s="112"/>
      <c r="M152" s="112"/>
      <c r="N152" s="112"/>
      <c r="O152" s="112"/>
      <c r="P152" s="112"/>
      <c r="Q152" s="123"/>
      <c r="R152" s="125"/>
    </row>
    <row r="153" spans="1:18" ht="33">
      <c r="A153" s="74" t="str" cm="1">
        <f t="array" aca="1" ref="A153" ca="1">_xlfn.LET(
_xlpm.詳細項目数, COUNTA($E$11:E153),
_xlpm.直近で詳細項目が空でないセルの行番号, MAX(INDEX((LEN($E$11:E153)&gt;0)*ROW($E$11:E153),0)),
_xlpm.観点数, COUNTA(INDIRECT("F"&amp;_xlpm.直近で詳細項目が空でないセルの行番号):F153),
_xlpm.直近で観点が空でないセルの行番号, MAX(INDEX((LEN($F$11:F153)&gt;0)*ROW($F$11:F153),0)),
_xlpm.テスト内容数, COUNTA(INDIRECT("J"&amp;_xlpm.直近で観点が空でないセルの行番号):J153),
_xlpm.テスト内容数_空なら1, IF(_xlpm.テスト内容数=0,1,_xlpm.テスト内容数),
_xlpm.詳細項目数&amp;"-"&amp;_xlpm.観点数&amp;"-"&amp;_xlpm.テスト内容数_空なら1
)</f>
        <v>60-3-1</v>
      </c>
      <c r="B153" s="143"/>
      <c r="C153" s="146"/>
      <c r="D153" s="143"/>
      <c r="E153" s="152"/>
      <c r="F153" s="124" t="s">
        <v>484</v>
      </c>
      <c r="G153" s="84" t="s">
        <v>507</v>
      </c>
      <c r="H153" s="112"/>
      <c r="I153" s="112"/>
      <c r="J153" s="125"/>
      <c r="K153" s="125"/>
      <c r="L153" s="112"/>
      <c r="M153" s="112"/>
      <c r="N153" s="112"/>
      <c r="O153" s="112"/>
      <c r="P153" s="112"/>
      <c r="Q153" s="123"/>
      <c r="R153" s="125"/>
    </row>
    <row r="154" spans="1:18" ht="33">
      <c r="A154" s="74" t="str" cm="1">
        <f t="array" aca="1" ref="A154" ca="1">_xlfn.LET(
_xlpm.詳細項目数, COUNTA($E$11:E154),
_xlpm.直近で詳細項目が空でないセルの行番号, MAX(INDEX((LEN($E$11:E154)&gt;0)*ROW($E$11:E154),0)),
_xlpm.観点数, COUNTA(INDIRECT("F"&amp;_xlpm.直近で詳細項目が空でないセルの行番号):F154),
_xlpm.直近で観点が空でないセルの行番号, MAX(INDEX((LEN($F$11:F154)&gt;0)*ROW($F$11:F154),0)),
_xlpm.テスト内容数, COUNTA(INDIRECT("J"&amp;_xlpm.直近で観点が空でないセルの行番号):J154),
_xlpm.テスト内容数_空なら1, IF(_xlpm.テスト内容数=0,1,_xlpm.テスト内容数),
_xlpm.詳細項目数&amp;"-"&amp;_xlpm.観点数&amp;"-"&amp;_xlpm.テスト内容数_空なら1
)</f>
        <v>60-4-1</v>
      </c>
      <c r="B154" s="143"/>
      <c r="C154" s="146"/>
      <c r="D154" s="143"/>
      <c r="E154" s="152"/>
      <c r="F154" s="124" t="s">
        <v>485</v>
      </c>
      <c r="G154" s="84" t="s">
        <v>507</v>
      </c>
      <c r="H154" s="112"/>
      <c r="I154" s="112"/>
      <c r="J154" s="125"/>
      <c r="K154" s="125"/>
      <c r="L154" s="112"/>
      <c r="M154" s="112"/>
      <c r="N154" s="112"/>
      <c r="O154" s="112"/>
      <c r="P154" s="112"/>
      <c r="Q154" s="123"/>
      <c r="R154" s="125"/>
    </row>
    <row r="155" spans="1:18" ht="33">
      <c r="A155" s="74" t="str" cm="1">
        <f t="array" aca="1" ref="A155" ca="1">_xlfn.LET(
_xlpm.詳細項目数, COUNTA($E$11:E155),
_xlpm.直近で詳細項目が空でないセルの行番号, MAX(INDEX((LEN($E$11:E155)&gt;0)*ROW($E$11:E155),0)),
_xlpm.観点数, COUNTA(INDIRECT("F"&amp;_xlpm.直近で詳細項目が空でないセルの行番号):F155),
_xlpm.直近で観点が空でないセルの行番号, MAX(INDEX((LEN($F$11:F155)&gt;0)*ROW($F$11:F155),0)),
_xlpm.テスト内容数, COUNTA(INDIRECT("J"&amp;_xlpm.直近で観点が空でないセルの行番号):J155),
_xlpm.テスト内容数_空なら1, IF(_xlpm.テスト内容数=0,1,_xlpm.テスト内容数),
_xlpm.詳細項目数&amp;"-"&amp;_xlpm.観点数&amp;"-"&amp;_xlpm.テスト内容数_空なら1
)</f>
        <v>60-5-1</v>
      </c>
      <c r="B155" s="143"/>
      <c r="C155" s="146"/>
      <c r="D155" s="143"/>
      <c r="E155" s="152"/>
      <c r="F155" s="124" t="s">
        <v>303</v>
      </c>
      <c r="G155" s="84" t="s">
        <v>507</v>
      </c>
      <c r="H155" s="112"/>
      <c r="I155" s="112"/>
      <c r="J155" s="125"/>
      <c r="K155" s="125"/>
      <c r="L155" s="112"/>
      <c r="M155" s="112"/>
      <c r="N155" s="112"/>
      <c r="O155" s="112"/>
      <c r="P155" s="112"/>
      <c r="Q155" s="123"/>
      <c r="R155" s="125"/>
    </row>
    <row r="156" spans="1:18" ht="22">
      <c r="A156" s="74" t="str" cm="1">
        <f t="array" aca="1" ref="A156" ca="1">_xlfn.LET(
_xlpm.詳細項目数, COUNTA($E$11:E156),
_xlpm.直近で詳細項目が空でないセルの行番号, MAX(INDEX((LEN($E$11:E156)&gt;0)*ROW($E$11:E156),0)),
_xlpm.観点数, COUNTA(INDIRECT("F"&amp;_xlpm.直近で詳細項目が空でないセルの行番号):F156),
_xlpm.直近で観点が空でないセルの行番号, MAX(INDEX((LEN($F$11:F156)&gt;0)*ROW($F$11:F156),0)),
_xlpm.テスト内容数, COUNTA(INDIRECT("J"&amp;_xlpm.直近で観点が空でないセルの行番号):J156),
_xlpm.テスト内容数_空なら1, IF(_xlpm.テスト内容数=0,1,_xlpm.テスト内容数),
_xlpm.詳細項目数&amp;"-"&amp;_xlpm.観点数&amp;"-"&amp;_xlpm.テスト内容数_空なら1
)</f>
        <v>60-6-1</v>
      </c>
      <c r="B156" s="143"/>
      <c r="C156" s="146"/>
      <c r="D156" s="143"/>
      <c r="E156" s="152"/>
      <c r="F156" s="124" t="s">
        <v>304</v>
      </c>
      <c r="G156" s="84" t="s">
        <v>507</v>
      </c>
      <c r="H156" s="112"/>
      <c r="I156" s="112"/>
      <c r="J156" s="125"/>
      <c r="K156" s="125"/>
      <c r="L156" s="112"/>
      <c r="M156" s="112"/>
      <c r="N156" s="112"/>
      <c r="O156" s="112"/>
      <c r="P156" s="112"/>
      <c r="Q156" s="123"/>
      <c r="R156" s="125"/>
    </row>
    <row r="157" spans="1:18" ht="22">
      <c r="A157" s="74" t="str" cm="1">
        <f t="array" aca="1" ref="A157" ca="1">_xlfn.LET(
_xlpm.詳細項目数, COUNTA($E$11:E157),
_xlpm.直近で詳細項目が空でないセルの行番号, MAX(INDEX((LEN($E$11:E157)&gt;0)*ROW($E$11:E157),0)),
_xlpm.観点数, COUNTA(INDIRECT("F"&amp;_xlpm.直近で詳細項目が空でないセルの行番号):F157),
_xlpm.直近で観点が空でないセルの行番号, MAX(INDEX((LEN($F$11:F157)&gt;0)*ROW($F$11:F157),0)),
_xlpm.テスト内容数, COUNTA(INDIRECT("J"&amp;_xlpm.直近で観点が空でないセルの行番号):J157),
_xlpm.テスト内容数_空なら1, IF(_xlpm.テスト内容数=0,1,_xlpm.テスト内容数),
_xlpm.詳細項目数&amp;"-"&amp;_xlpm.観点数&amp;"-"&amp;_xlpm.テスト内容数_空なら1
)</f>
        <v>60-7-1</v>
      </c>
      <c r="B157" s="143"/>
      <c r="C157" s="146"/>
      <c r="D157" s="143"/>
      <c r="E157" s="152"/>
      <c r="F157" s="124" t="s">
        <v>305</v>
      </c>
      <c r="G157" s="84" t="s">
        <v>507</v>
      </c>
      <c r="H157" s="112"/>
      <c r="I157" s="112"/>
      <c r="J157" s="125"/>
      <c r="K157" s="125"/>
      <c r="L157" s="112"/>
      <c r="M157" s="112"/>
      <c r="N157" s="112"/>
      <c r="O157" s="112"/>
      <c r="P157" s="112"/>
      <c r="Q157" s="123"/>
      <c r="R157" s="125"/>
    </row>
    <row r="158" spans="1:18" ht="33">
      <c r="A158" s="74" t="str" cm="1">
        <f t="array" aca="1" ref="A158" ca="1">_xlfn.LET(
_xlpm.詳細項目数, COUNTA($E$11:E158),
_xlpm.直近で詳細項目が空でないセルの行番号, MAX(INDEX((LEN($E$11:E158)&gt;0)*ROW($E$11:E158),0)),
_xlpm.観点数, COUNTA(INDIRECT("F"&amp;_xlpm.直近で詳細項目が空でないセルの行番号):F158),
_xlpm.直近で観点が空でないセルの行番号, MAX(INDEX((LEN($F$11:F158)&gt;0)*ROW($F$11:F158),0)),
_xlpm.テスト内容数, COUNTA(INDIRECT("J"&amp;_xlpm.直近で観点が空でないセルの行番号):J158),
_xlpm.テスト内容数_空なら1, IF(_xlpm.テスト内容数=0,1,_xlpm.テスト内容数),
_xlpm.詳細項目数&amp;"-"&amp;_xlpm.観点数&amp;"-"&amp;_xlpm.テスト内容数_空なら1
)</f>
        <v>60-8-1</v>
      </c>
      <c r="B158" s="143"/>
      <c r="C158" s="146"/>
      <c r="D158" s="143"/>
      <c r="E158" s="152"/>
      <c r="F158" s="124" t="s">
        <v>306</v>
      </c>
      <c r="G158" s="84" t="s">
        <v>507</v>
      </c>
      <c r="H158" s="112"/>
      <c r="I158" s="112"/>
      <c r="J158" s="125"/>
      <c r="K158" s="125"/>
      <c r="L158" s="112"/>
      <c r="M158" s="112"/>
      <c r="N158" s="112"/>
      <c r="O158" s="112"/>
      <c r="P158" s="112"/>
      <c r="Q158" s="123"/>
      <c r="R158" s="125"/>
    </row>
    <row r="159" spans="1:18" ht="33">
      <c r="A159" s="74" t="str" cm="1">
        <f t="array" aca="1" ref="A159" ca="1">_xlfn.LET(
_xlpm.詳細項目数, COUNTA($E$11:E159),
_xlpm.直近で詳細項目が空でないセルの行番号, MAX(INDEX((LEN($E$11:E159)&gt;0)*ROW($E$11:E159),0)),
_xlpm.観点数, COUNTA(INDIRECT("F"&amp;_xlpm.直近で詳細項目が空でないセルの行番号):F159),
_xlpm.直近で観点が空でないセルの行番号, MAX(INDEX((LEN($F$11:F159)&gt;0)*ROW($F$11:F159),0)),
_xlpm.テスト内容数, COUNTA(INDIRECT("J"&amp;_xlpm.直近で観点が空でないセルの行番号):J159),
_xlpm.テスト内容数_空なら1, IF(_xlpm.テスト内容数=0,1,_xlpm.テスト内容数),
_xlpm.詳細項目数&amp;"-"&amp;_xlpm.観点数&amp;"-"&amp;_xlpm.テスト内容数_空なら1
)</f>
        <v>60-9-1</v>
      </c>
      <c r="B159" s="143"/>
      <c r="C159" s="146"/>
      <c r="D159" s="143"/>
      <c r="E159" s="152"/>
      <c r="F159" s="124" t="s">
        <v>307</v>
      </c>
      <c r="G159" s="84" t="s">
        <v>507</v>
      </c>
      <c r="H159" s="112"/>
      <c r="I159" s="112"/>
      <c r="J159" s="125"/>
      <c r="K159" s="125"/>
      <c r="L159" s="112"/>
      <c r="M159" s="112"/>
      <c r="N159" s="112"/>
      <c r="O159" s="112"/>
      <c r="P159" s="112"/>
      <c r="Q159" s="123"/>
      <c r="R159" s="125"/>
    </row>
    <row r="160" spans="1:18" ht="33">
      <c r="A160" s="74" t="str" cm="1">
        <f t="array" aca="1" ref="A160" ca="1">_xlfn.LET(
_xlpm.詳細項目数, COUNTA($E$11:E160),
_xlpm.直近で詳細項目が空でないセルの行番号, MAX(INDEX((LEN($E$11:E160)&gt;0)*ROW($E$11:E160),0)),
_xlpm.観点数, COUNTA(INDIRECT("F"&amp;_xlpm.直近で詳細項目が空でないセルの行番号):F160),
_xlpm.直近で観点が空でないセルの行番号, MAX(INDEX((LEN($F$11:F160)&gt;0)*ROW($F$11:F160),0)),
_xlpm.テスト内容数, COUNTA(INDIRECT("J"&amp;_xlpm.直近で観点が空でないセルの行番号):J160),
_xlpm.テスト内容数_空なら1, IF(_xlpm.テスト内容数=0,1,_xlpm.テスト内容数),
_xlpm.詳細項目数&amp;"-"&amp;_xlpm.観点数&amp;"-"&amp;_xlpm.テスト内容数_空なら1
)</f>
        <v>60-10-1</v>
      </c>
      <c r="B160" s="143"/>
      <c r="C160" s="146"/>
      <c r="D160" s="143"/>
      <c r="E160" s="152"/>
      <c r="F160" s="124" t="s">
        <v>308</v>
      </c>
      <c r="G160" s="84" t="s">
        <v>507</v>
      </c>
      <c r="H160" s="112"/>
      <c r="I160" s="112"/>
      <c r="J160" s="125"/>
      <c r="K160" s="125"/>
      <c r="L160" s="112"/>
      <c r="M160" s="112"/>
      <c r="N160" s="112"/>
      <c r="O160" s="112"/>
      <c r="P160" s="112"/>
      <c r="Q160" s="123"/>
      <c r="R160" s="125"/>
    </row>
    <row r="161" spans="1:18" ht="33">
      <c r="A161" s="74" t="str" cm="1">
        <f t="array" aca="1" ref="A161" ca="1">_xlfn.LET(
_xlpm.詳細項目数, COUNTA($E$11:E161),
_xlpm.直近で詳細項目が空でないセルの行番号, MAX(INDEX((LEN($E$11:E161)&gt;0)*ROW($E$11:E161),0)),
_xlpm.観点数, COUNTA(INDIRECT("F"&amp;_xlpm.直近で詳細項目が空でないセルの行番号):F161),
_xlpm.直近で観点が空でないセルの行番号, MAX(INDEX((LEN($F$11:F161)&gt;0)*ROW($F$11:F161),0)),
_xlpm.テスト内容数, COUNTA(INDIRECT("J"&amp;_xlpm.直近で観点が空でないセルの行番号):J161),
_xlpm.テスト内容数_空なら1, IF(_xlpm.テスト内容数=0,1,_xlpm.テスト内容数),
_xlpm.詳細項目数&amp;"-"&amp;_xlpm.観点数&amp;"-"&amp;_xlpm.テスト内容数_空なら1
)</f>
        <v>60-11-1</v>
      </c>
      <c r="B161" s="143"/>
      <c r="C161" s="146"/>
      <c r="D161" s="143"/>
      <c r="E161" s="145"/>
      <c r="F161" s="124" t="s">
        <v>309</v>
      </c>
      <c r="G161" s="84" t="s">
        <v>507</v>
      </c>
      <c r="H161" s="112"/>
      <c r="I161" s="112"/>
      <c r="J161" s="125"/>
      <c r="K161" s="125"/>
      <c r="L161" s="112"/>
      <c r="M161" s="112"/>
      <c r="N161" s="112"/>
      <c r="O161" s="112"/>
      <c r="P161" s="112"/>
      <c r="Q161" s="123"/>
      <c r="R161" s="125"/>
    </row>
    <row r="162" spans="1:18">
      <c r="A162" s="74" t="str" cm="1">
        <f t="array" aca="1" ref="A162" ca="1">_xlfn.LET(
_xlpm.詳細項目数, COUNTA($E$11:E162),
_xlpm.直近で詳細項目が空でないセルの行番号, MAX(INDEX((LEN($E$11:E162)&gt;0)*ROW($E$11:E162),0)),
_xlpm.観点数, COUNTA(INDIRECT("F"&amp;_xlpm.直近で詳細項目が空でないセルの行番号):F162),
_xlpm.直近で観点が空でないセルの行番号, MAX(INDEX((LEN($F$11:F162)&gt;0)*ROW($F$11:F162),0)),
_xlpm.テスト内容数, COUNTA(INDIRECT("J"&amp;_xlpm.直近で観点が空でないセルの行番号):J162),
_xlpm.テスト内容数_空なら1, IF(_xlpm.テスト内容数=0,1,_xlpm.テスト内容数),
_xlpm.詳細項目数&amp;"-"&amp;_xlpm.観点数&amp;"-"&amp;_xlpm.テスト内容数_空なら1
)</f>
        <v>61-1-1</v>
      </c>
      <c r="B162" s="143"/>
      <c r="C162" s="146"/>
      <c r="D162" s="143"/>
      <c r="E162" s="146" t="s">
        <v>109</v>
      </c>
      <c r="F162" s="124" t="s">
        <v>310</v>
      </c>
      <c r="G162" s="84" t="s">
        <v>507</v>
      </c>
      <c r="H162" s="112"/>
      <c r="I162" s="112"/>
      <c r="J162" s="125"/>
      <c r="K162" s="125"/>
      <c r="L162" s="112"/>
      <c r="M162" s="112"/>
      <c r="N162" s="112"/>
      <c r="O162" s="112"/>
      <c r="P162" s="112"/>
      <c r="Q162" s="123"/>
      <c r="R162" s="125"/>
    </row>
    <row r="163" spans="1:18">
      <c r="A163" s="74" t="str" cm="1">
        <f t="array" aca="1" ref="A163" ca="1">_xlfn.LET(
_xlpm.詳細項目数, COUNTA($E$11:E163),
_xlpm.直近で詳細項目が空でないセルの行番号, MAX(INDEX((LEN($E$11:E163)&gt;0)*ROW($E$11:E163),0)),
_xlpm.観点数, COUNTA(INDIRECT("F"&amp;_xlpm.直近で詳細項目が空でないセルの行番号):F163),
_xlpm.直近で観点が空でないセルの行番号, MAX(INDEX((LEN($F$11:F163)&gt;0)*ROW($F$11:F163),0)),
_xlpm.テスト内容数, COUNTA(INDIRECT("J"&amp;_xlpm.直近で観点が空でないセルの行番号):J163),
_xlpm.テスト内容数_空なら1, IF(_xlpm.テスト内容数=0,1,_xlpm.テスト内容数),
_xlpm.詳細項目数&amp;"-"&amp;_xlpm.観点数&amp;"-"&amp;_xlpm.テスト内容数_空なら1
)</f>
        <v>61-2-1</v>
      </c>
      <c r="B163" s="143"/>
      <c r="C163" s="146"/>
      <c r="D163" s="143"/>
      <c r="E163" s="146"/>
      <c r="F163" s="124" t="s">
        <v>311</v>
      </c>
      <c r="G163" s="84" t="s">
        <v>507</v>
      </c>
      <c r="H163" s="112"/>
      <c r="I163" s="112"/>
      <c r="J163" s="125"/>
      <c r="K163" s="125"/>
      <c r="L163" s="112"/>
      <c r="M163" s="112"/>
      <c r="N163" s="112"/>
      <c r="O163" s="112"/>
      <c r="P163" s="112"/>
      <c r="Q163" s="123"/>
      <c r="R163" s="125"/>
    </row>
    <row r="164" spans="1:18" ht="22">
      <c r="A164" s="74" t="str" cm="1">
        <f t="array" aca="1" ref="A164" ca="1">_xlfn.LET(
_xlpm.詳細項目数, COUNTA($E$11:E164),
_xlpm.直近で詳細項目が空でないセルの行番号, MAX(INDEX((LEN($E$11:E164)&gt;0)*ROW($E$11:E164),0)),
_xlpm.観点数, COUNTA(INDIRECT("F"&amp;_xlpm.直近で詳細項目が空でないセルの行番号):F164),
_xlpm.直近で観点が空でないセルの行番号, MAX(INDEX((LEN($F$11:F164)&gt;0)*ROW($F$11:F164),0)),
_xlpm.テスト内容数, COUNTA(INDIRECT("J"&amp;_xlpm.直近で観点が空でないセルの行番号):J164),
_xlpm.テスト内容数_空なら1, IF(_xlpm.テスト内容数=0,1,_xlpm.テスト内容数),
_xlpm.詳細項目数&amp;"-"&amp;_xlpm.観点数&amp;"-"&amp;_xlpm.テスト内容数_空なら1
)</f>
        <v>61-3-1</v>
      </c>
      <c r="B164" s="143"/>
      <c r="C164" s="146"/>
      <c r="D164" s="143"/>
      <c r="E164" s="146"/>
      <c r="F164" s="124" t="s">
        <v>312</v>
      </c>
      <c r="G164" s="84" t="s">
        <v>507</v>
      </c>
      <c r="H164" s="112"/>
      <c r="I164" s="112"/>
      <c r="J164" s="125"/>
      <c r="K164" s="125"/>
      <c r="L164" s="112"/>
      <c r="M164" s="112"/>
      <c r="N164" s="112"/>
      <c r="O164" s="112"/>
      <c r="P164" s="112"/>
      <c r="Q164" s="123"/>
      <c r="R164" s="125"/>
    </row>
    <row r="165" spans="1:18" ht="22">
      <c r="A165" s="74" t="str" cm="1">
        <f t="array" aca="1" ref="A165" ca="1">_xlfn.LET(
_xlpm.詳細項目数, COUNTA($E$11:E165),
_xlpm.直近で詳細項目が空でないセルの行番号, MAX(INDEX((LEN($E$11:E165)&gt;0)*ROW($E$11:E165),0)),
_xlpm.観点数, COUNTA(INDIRECT("F"&amp;_xlpm.直近で詳細項目が空でないセルの行番号):F165),
_xlpm.直近で観点が空でないセルの行番号, MAX(INDEX((LEN($F$11:F165)&gt;0)*ROW($F$11:F165),0)),
_xlpm.テスト内容数, COUNTA(INDIRECT("J"&amp;_xlpm.直近で観点が空でないセルの行番号):J165),
_xlpm.テスト内容数_空なら1, IF(_xlpm.テスト内容数=0,1,_xlpm.テスト内容数),
_xlpm.詳細項目数&amp;"-"&amp;_xlpm.観点数&amp;"-"&amp;_xlpm.テスト内容数_空なら1
)</f>
        <v>61-4-1</v>
      </c>
      <c r="B165" s="143"/>
      <c r="C165" s="146"/>
      <c r="D165" s="143"/>
      <c r="E165" s="146"/>
      <c r="F165" s="124" t="s">
        <v>313</v>
      </c>
      <c r="G165" s="84" t="s">
        <v>507</v>
      </c>
      <c r="H165" s="112"/>
      <c r="I165" s="112"/>
      <c r="J165" s="125"/>
      <c r="K165" s="125"/>
      <c r="L165" s="112"/>
      <c r="M165" s="112"/>
      <c r="N165" s="112"/>
      <c r="O165" s="112"/>
      <c r="P165" s="112"/>
      <c r="Q165" s="123"/>
      <c r="R165" s="125"/>
    </row>
    <row r="166" spans="1:18" ht="22">
      <c r="A166" s="74" t="str" cm="1">
        <f t="array" aca="1" ref="A166" ca="1">_xlfn.LET(
_xlpm.詳細項目数, COUNTA($E$11:E166),
_xlpm.直近で詳細項目が空でないセルの行番号, MAX(INDEX((LEN($E$11:E166)&gt;0)*ROW($E$11:E166),0)),
_xlpm.観点数, COUNTA(INDIRECT("F"&amp;_xlpm.直近で詳細項目が空でないセルの行番号):F166),
_xlpm.直近で観点が空でないセルの行番号, MAX(INDEX((LEN($F$11:F166)&gt;0)*ROW($F$11:F166),0)),
_xlpm.テスト内容数, COUNTA(INDIRECT("J"&amp;_xlpm.直近で観点が空でないセルの行番号):J166),
_xlpm.テスト内容数_空なら1, IF(_xlpm.テスト内容数=0,1,_xlpm.テスト内容数),
_xlpm.詳細項目数&amp;"-"&amp;_xlpm.観点数&amp;"-"&amp;_xlpm.テスト内容数_空なら1
)</f>
        <v>61-5-1</v>
      </c>
      <c r="B166" s="143"/>
      <c r="C166" s="146"/>
      <c r="D166" s="143"/>
      <c r="E166" s="146"/>
      <c r="F166" s="124" t="s">
        <v>314</v>
      </c>
      <c r="G166" s="84" t="s">
        <v>507</v>
      </c>
      <c r="H166" s="112"/>
      <c r="I166" s="112"/>
      <c r="J166" s="125"/>
      <c r="K166" s="125"/>
      <c r="L166" s="112"/>
      <c r="M166" s="112"/>
      <c r="N166" s="112"/>
      <c r="O166" s="112"/>
      <c r="P166" s="112"/>
      <c r="Q166" s="123"/>
      <c r="R166" s="125"/>
    </row>
    <row r="167" spans="1:18" ht="33">
      <c r="A167" s="74" t="str" cm="1">
        <f t="array" aca="1" ref="A167" ca="1">_xlfn.LET(
_xlpm.詳細項目数, COUNTA($E$11:E167),
_xlpm.直近で詳細項目が空でないセルの行番号, MAX(INDEX((LEN($E$11:E167)&gt;0)*ROW($E$11:E167),0)),
_xlpm.観点数, COUNTA(INDIRECT("F"&amp;_xlpm.直近で詳細項目が空でないセルの行番号):F167),
_xlpm.直近で観点が空でないセルの行番号, MAX(INDEX((LEN($F$11:F167)&gt;0)*ROW($F$11:F167),0)),
_xlpm.テスト内容数, COUNTA(INDIRECT("J"&amp;_xlpm.直近で観点が空でないセルの行番号):J167),
_xlpm.テスト内容数_空なら1, IF(_xlpm.テスト内容数=0,1,_xlpm.テスト内容数),
_xlpm.詳細項目数&amp;"-"&amp;_xlpm.観点数&amp;"-"&amp;_xlpm.テスト内容数_空なら1
)</f>
        <v>61-6-1</v>
      </c>
      <c r="B167" s="143"/>
      <c r="C167" s="146"/>
      <c r="D167" s="143"/>
      <c r="E167" s="146"/>
      <c r="F167" s="124" t="s">
        <v>315</v>
      </c>
      <c r="G167" s="84" t="s">
        <v>507</v>
      </c>
      <c r="H167" s="112"/>
      <c r="I167" s="112"/>
      <c r="J167" s="125"/>
      <c r="K167" s="125"/>
      <c r="L167" s="112"/>
      <c r="M167" s="112"/>
      <c r="N167" s="112"/>
      <c r="O167" s="112"/>
      <c r="P167" s="112"/>
      <c r="Q167" s="123"/>
      <c r="R167" s="125"/>
    </row>
    <row r="168" spans="1:18" ht="22">
      <c r="A168" s="74" t="str" cm="1">
        <f t="array" aca="1" ref="A168" ca="1">_xlfn.LET(
_xlpm.詳細項目数, COUNTA($E$11:E168),
_xlpm.直近で詳細項目が空でないセルの行番号, MAX(INDEX((LEN($E$11:E168)&gt;0)*ROW($E$11:E168),0)),
_xlpm.観点数, COUNTA(INDIRECT("F"&amp;_xlpm.直近で詳細項目が空でないセルの行番号):F168),
_xlpm.直近で観点が空でないセルの行番号, MAX(INDEX((LEN($F$11:F168)&gt;0)*ROW($F$11:F168),0)),
_xlpm.テスト内容数, COUNTA(INDIRECT("J"&amp;_xlpm.直近で観点が空でないセルの行番号):J168),
_xlpm.テスト内容数_空なら1, IF(_xlpm.テスト内容数=0,1,_xlpm.テスト内容数),
_xlpm.詳細項目数&amp;"-"&amp;_xlpm.観点数&amp;"-"&amp;_xlpm.テスト内容数_空なら1
)</f>
        <v>61-7-1</v>
      </c>
      <c r="B168" s="273"/>
      <c r="C168" s="146"/>
      <c r="D168" s="273"/>
      <c r="E168" s="147"/>
      <c r="F168" s="124" t="s">
        <v>316</v>
      </c>
      <c r="G168" s="84" t="s">
        <v>507</v>
      </c>
      <c r="H168" s="112"/>
      <c r="I168" s="112"/>
      <c r="J168" s="125"/>
      <c r="K168" s="125"/>
      <c r="L168" s="112"/>
      <c r="M168" s="112"/>
      <c r="N168" s="112"/>
      <c r="O168" s="112"/>
      <c r="P168" s="112"/>
      <c r="Q168" s="123"/>
      <c r="R168" s="125"/>
    </row>
    <row r="169" spans="1:18" ht="22">
      <c r="A169" s="74" t="str" cm="1">
        <f t="array" aca="1" ref="A169" ca="1">_xlfn.LET(
_xlpm.詳細項目数, COUNTA($E$11:E169),
_xlpm.直近で詳細項目が空でないセルの行番号, MAX(INDEX((LEN($E$11:E169)&gt;0)*ROW($E$11:E169),0)),
_xlpm.観点数, COUNTA(INDIRECT("F"&amp;_xlpm.直近で詳細項目が空でないセルの行番号):F169),
_xlpm.直近で観点が空でないセルの行番号, MAX(INDEX((LEN($F$11:F169)&gt;0)*ROW($F$11:F169),0)),
_xlpm.テスト内容数, COUNTA(INDIRECT("J"&amp;_xlpm.直近で観点が空でないセルの行番号):J169),
_xlpm.テスト内容数_空なら1, IF(_xlpm.テスト内容数=0,1,_xlpm.テスト内容数),
_xlpm.詳細項目数&amp;"-"&amp;_xlpm.観点数&amp;"-"&amp;_xlpm.テスト内容数_空なら1
)</f>
        <v>62-1-1</v>
      </c>
      <c r="B169" s="273"/>
      <c r="C169" s="146"/>
      <c r="D169" s="273"/>
      <c r="E169" s="148" t="s">
        <v>253</v>
      </c>
      <c r="F169" s="124" t="s">
        <v>317</v>
      </c>
      <c r="G169" s="84" t="s">
        <v>507</v>
      </c>
      <c r="H169" s="112"/>
      <c r="I169" s="112"/>
      <c r="J169" s="125"/>
      <c r="K169" s="125"/>
      <c r="L169" s="112"/>
      <c r="M169" s="112"/>
      <c r="N169" s="112"/>
      <c r="O169" s="112"/>
      <c r="P169" s="112"/>
      <c r="Q169" s="123"/>
      <c r="R169" s="125"/>
    </row>
    <row r="170" spans="1:18" ht="33">
      <c r="A170" s="74" t="str" cm="1">
        <f t="array" aca="1" ref="A170" ca="1">_xlfn.LET(
_xlpm.詳細項目数, COUNTA($E$11:E170),
_xlpm.直近で詳細項目が空でないセルの行番号, MAX(INDEX((LEN($E$11:E170)&gt;0)*ROW($E$11:E170),0)),
_xlpm.観点数, COUNTA(INDIRECT("F"&amp;_xlpm.直近で詳細項目が空でないセルの行番号):F170),
_xlpm.直近で観点が空でないセルの行番号, MAX(INDEX((LEN($F$11:F170)&gt;0)*ROW($F$11:F170),0)),
_xlpm.テスト内容数, COUNTA(INDIRECT("J"&amp;_xlpm.直近で観点が空でないセルの行番号):J170),
_xlpm.テスト内容数_空なら1, IF(_xlpm.テスト内容数=0,1,_xlpm.テスト内容数),
_xlpm.詳細項目数&amp;"-"&amp;_xlpm.観点数&amp;"-"&amp;_xlpm.テスト内容数_空なら1
)</f>
        <v>62-2-1</v>
      </c>
      <c r="B170" s="143"/>
      <c r="C170" s="146"/>
      <c r="D170" s="143"/>
      <c r="E170" s="146"/>
      <c r="F170" s="124" t="s">
        <v>318</v>
      </c>
      <c r="G170" s="84" t="s">
        <v>507</v>
      </c>
      <c r="H170" s="112"/>
      <c r="I170" s="112"/>
      <c r="J170" s="125"/>
      <c r="K170" s="125"/>
      <c r="L170" s="112"/>
      <c r="M170" s="112"/>
      <c r="N170" s="112"/>
      <c r="O170" s="112"/>
      <c r="P170" s="112"/>
      <c r="Q170" s="123"/>
      <c r="R170" s="125"/>
    </row>
    <row r="171" spans="1:18" ht="33">
      <c r="A171" s="74" t="str" cm="1">
        <f t="array" aca="1" ref="A171" ca="1">_xlfn.LET(
_xlpm.詳細項目数, COUNTA($E$11:E171),
_xlpm.直近で詳細項目が空でないセルの行番号, MAX(INDEX((LEN($E$11:E171)&gt;0)*ROW($E$11:E171),0)),
_xlpm.観点数, COUNTA(INDIRECT("F"&amp;_xlpm.直近で詳細項目が空でないセルの行番号):F171),
_xlpm.直近で観点が空でないセルの行番号, MAX(INDEX((LEN($F$11:F171)&gt;0)*ROW($F$11:F171),0)),
_xlpm.テスト内容数, COUNTA(INDIRECT("J"&amp;_xlpm.直近で観点が空でないセルの行番号):J171),
_xlpm.テスト内容数_空なら1, IF(_xlpm.テスト内容数=0,1,_xlpm.テスト内容数),
_xlpm.詳細項目数&amp;"-"&amp;_xlpm.観点数&amp;"-"&amp;_xlpm.テスト内容数_空なら1
)</f>
        <v>62-3-1</v>
      </c>
      <c r="B171" s="143"/>
      <c r="C171" s="146"/>
      <c r="D171" s="143"/>
      <c r="E171" s="146"/>
      <c r="F171" s="124" t="s">
        <v>319</v>
      </c>
      <c r="G171" s="84" t="s">
        <v>507</v>
      </c>
      <c r="H171" s="112"/>
      <c r="I171" s="112"/>
      <c r="J171" s="125"/>
      <c r="K171" s="125"/>
      <c r="L171" s="112"/>
      <c r="M171" s="112"/>
      <c r="N171" s="112"/>
      <c r="O171" s="112"/>
      <c r="P171" s="112"/>
      <c r="Q171" s="123"/>
      <c r="R171" s="125"/>
    </row>
    <row r="172" spans="1:18" ht="44">
      <c r="A172" s="74" t="str" cm="1">
        <f t="array" aca="1" ref="A172" ca="1">_xlfn.LET(
_xlpm.詳細項目数, COUNTA($E$11:E172),
_xlpm.直近で詳細項目が空でないセルの行番号, MAX(INDEX((LEN($E$11:E172)&gt;0)*ROW($E$11:E172),0)),
_xlpm.観点数, COUNTA(INDIRECT("F"&amp;_xlpm.直近で詳細項目が空でないセルの行番号):F172),
_xlpm.直近で観点が空でないセルの行番号, MAX(INDEX((LEN($F$11:F172)&gt;0)*ROW($F$11:F172),0)),
_xlpm.テスト内容数, COUNTA(INDIRECT("J"&amp;_xlpm.直近で観点が空でないセルの行番号):J172),
_xlpm.テスト内容数_空なら1, IF(_xlpm.テスト内容数=0,1,_xlpm.テスト内容数),
_xlpm.詳細項目数&amp;"-"&amp;_xlpm.観点数&amp;"-"&amp;_xlpm.テスト内容数_空なら1
)</f>
        <v>62-4-1</v>
      </c>
      <c r="B172" s="143"/>
      <c r="C172" s="146"/>
      <c r="D172" s="143"/>
      <c r="E172" s="146"/>
      <c r="F172" s="124" t="s">
        <v>320</v>
      </c>
      <c r="G172" s="84" t="s">
        <v>507</v>
      </c>
      <c r="H172" s="112"/>
      <c r="I172" s="112"/>
      <c r="J172" s="125"/>
      <c r="K172" s="125"/>
      <c r="L172" s="112"/>
      <c r="M172" s="112"/>
      <c r="N172" s="112"/>
      <c r="O172" s="112"/>
      <c r="P172" s="112"/>
      <c r="Q172" s="123"/>
      <c r="R172" s="125"/>
    </row>
    <row r="173" spans="1:18" ht="44">
      <c r="A173" s="74" t="str" cm="1">
        <f t="array" aca="1" ref="A173" ca="1">_xlfn.LET(
_xlpm.詳細項目数, COUNTA($E$11:E173),
_xlpm.直近で詳細項目が空でないセルの行番号, MAX(INDEX((LEN($E$11:E173)&gt;0)*ROW($E$11:E173),0)),
_xlpm.観点数, COUNTA(INDIRECT("F"&amp;_xlpm.直近で詳細項目が空でないセルの行番号):F173),
_xlpm.直近で観点が空でないセルの行番号, MAX(INDEX((LEN($F$11:F173)&gt;0)*ROW($F$11:F173),0)),
_xlpm.テスト内容数, COUNTA(INDIRECT("J"&amp;_xlpm.直近で観点が空でないセルの行番号):J173),
_xlpm.テスト内容数_空なら1, IF(_xlpm.テスト内容数=0,1,_xlpm.テスト内容数),
_xlpm.詳細項目数&amp;"-"&amp;_xlpm.観点数&amp;"-"&amp;_xlpm.テスト内容数_空なら1
)</f>
        <v>62-5-1</v>
      </c>
      <c r="B173" s="143"/>
      <c r="C173" s="146"/>
      <c r="D173" s="143"/>
      <c r="E173" s="146"/>
      <c r="F173" s="124" t="s">
        <v>321</v>
      </c>
      <c r="G173" s="84" t="s">
        <v>507</v>
      </c>
      <c r="H173" s="112"/>
      <c r="I173" s="112"/>
      <c r="J173" s="125"/>
      <c r="K173" s="125"/>
      <c r="L173" s="112"/>
      <c r="M173" s="112"/>
      <c r="N173" s="112"/>
      <c r="O173" s="112"/>
      <c r="P173" s="112"/>
      <c r="Q173" s="123"/>
      <c r="R173" s="125"/>
    </row>
    <row r="174" spans="1:18" ht="33">
      <c r="A174" s="74" t="str" cm="1">
        <f t="array" aca="1" ref="A174" ca="1">_xlfn.LET(
_xlpm.詳細項目数, COUNTA($E$11:E174),
_xlpm.直近で詳細項目が空でないセルの行番号, MAX(INDEX((LEN($E$11:E174)&gt;0)*ROW($E$11:E174),0)),
_xlpm.観点数, COUNTA(INDIRECT("F"&amp;_xlpm.直近で詳細項目が空でないセルの行番号):F174),
_xlpm.直近で観点が空でないセルの行番号, MAX(INDEX((LEN($F$11:F174)&gt;0)*ROW($F$11:F174),0)),
_xlpm.テスト内容数, COUNTA(INDIRECT("J"&amp;_xlpm.直近で観点が空でないセルの行番号):J174),
_xlpm.テスト内容数_空なら1, IF(_xlpm.テスト内容数=0,1,_xlpm.テスト内容数),
_xlpm.詳細項目数&amp;"-"&amp;_xlpm.観点数&amp;"-"&amp;_xlpm.テスト内容数_空なら1
)</f>
        <v>62-6-1</v>
      </c>
      <c r="B174" s="143"/>
      <c r="C174" s="146"/>
      <c r="D174" s="143"/>
      <c r="E174" s="146"/>
      <c r="F174" s="124" t="s">
        <v>322</v>
      </c>
      <c r="G174" s="84" t="s">
        <v>507</v>
      </c>
      <c r="H174" s="112"/>
      <c r="I174" s="112"/>
      <c r="J174" s="125"/>
      <c r="K174" s="125"/>
      <c r="L174" s="112"/>
      <c r="M174" s="112"/>
      <c r="N174" s="112"/>
      <c r="O174" s="112"/>
      <c r="P174" s="112"/>
      <c r="Q174" s="123"/>
      <c r="R174" s="125"/>
    </row>
    <row r="175" spans="1:18" ht="44">
      <c r="A175" s="74" t="str" cm="1">
        <f t="array" aca="1" ref="A175" ca="1">_xlfn.LET(
_xlpm.詳細項目数, COUNTA($E$11:E175),
_xlpm.直近で詳細項目が空でないセルの行番号, MAX(INDEX((LEN($E$11:E175)&gt;0)*ROW($E$11:E175),0)),
_xlpm.観点数, COUNTA(INDIRECT("F"&amp;_xlpm.直近で詳細項目が空でないセルの行番号):F175),
_xlpm.直近で観点が空でないセルの行番号, MAX(INDEX((LEN($F$11:F175)&gt;0)*ROW($F$11:F175),0)),
_xlpm.テスト内容数, COUNTA(INDIRECT("J"&amp;_xlpm.直近で観点が空でないセルの行番号):J175),
_xlpm.テスト内容数_空なら1, IF(_xlpm.テスト内容数=0,1,_xlpm.テスト内容数),
_xlpm.詳細項目数&amp;"-"&amp;_xlpm.観点数&amp;"-"&amp;_xlpm.テスト内容数_空なら1
)</f>
        <v>62-7-1</v>
      </c>
      <c r="B175" s="143"/>
      <c r="C175" s="146"/>
      <c r="D175" s="143"/>
      <c r="E175" s="146"/>
      <c r="F175" s="124" t="s">
        <v>323</v>
      </c>
      <c r="G175" s="84" t="s">
        <v>507</v>
      </c>
      <c r="H175" s="112"/>
      <c r="I175" s="112"/>
      <c r="J175" s="125"/>
      <c r="K175" s="125"/>
      <c r="L175" s="112"/>
      <c r="M175" s="112"/>
      <c r="N175" s="112"/>
      <c r="O175" s="112"/>
      <c r="P175" s="112"/>
      <c r="Q175" s="123"/>
      <c r="R175" s="125"/>
    </row>
    <row r="176" spans="1:18" ht="44">
      <c r="A176" s="74" t="str" cm="1">
        <f t="array" aca="1" ref="A176" ca="1">_xlfn.LET(
_xlpm.詳細項目数, COUNTA($E$11:E176),
_xlpm.直近で詳細項目が空でないセルの行番号, MAX(INDEX((LEN($E$11:E176)&gt;0)*ROW($E$11:E176),0)),
_xlpm.観点数, COUNTA(INDIRECT("F"&amp;_xlpm.直近で詳細項目が空でないセルの行番号):F176),
_xlpm.直近で観点が空でないセルの行番号, MAX(INDEX((LEN($F$11:F176)&gt;0)*ROW($F$11:F176),0)),
_xlpm.テスト内容数, COUNTA(INDIRECT("J"&amp;_xlpm.直近で観点が空でないセルの行番号):J176),
_xlpm.テスト内容数_空なら1, IF(_xlpm.テスト内容数=0,1,_xlpm.テスト内容数),
_xlpm.詳細項目数&amp;"-"&amp;_xlpm.観点数&amp;"-"&amp;_xlpm.テスト内容数_空なら1
)</f>
        <v>62-8-1</v>
      </c>
      <c r="B176" s="143"/>
      <c r="C176" s="146"/>
      <c r="D176" s="143"/>
      <c r="E176" s="146"/>
      <c r="F176" s="124" t="s">
        <v>324</v>
      </c>
      <c r="G176" s="84" t="s">
        <v>507</v>
      </c>
      <c r="H176" s="112"/>
      <c r="I176" s="112"/>
      <c r="J176" s="125"/>
      <c r="K176" s="125"/>
      <c r="L176" s="112"/>
      <c r="M176" s="112"/>
      <c r="N176" s="112"/>
      <c r="O176" s="112"/>
      <c r="P176" s="112"/>
      <c r="Q176" s="123"/>
      <c r="R176" s="125"/>
    </row>
    <row r="177" spans="1:18" ht="22">
      <c r="A177" s="74" t="str" cm="1">
        <f t="array" aca="1" ref="A177" ca="1">_xlfn.LET(
_xlpm.詳細項目数, COUNTA($E$11:E177),
_xlpm.直近で詳細項目が空でないセルの行番号, MAX(INDEX((LEN($E$11:E177)&gt;0)*ROW($E$11:E177),0)),
_xlpm.観点数, COUNTA(INDIRECT("F"&amp;_xlpm.直近で詳細項目が空でないセルの行番号):F177),
_xlpm.直近で観点が空でないセルの行番号, MAX(INDEX((LEN($F$11:F177)&gt;0)*ROW($F$11:F177),0)),
_xlpm.テスト内容数, COUNTA(INDIRECT("J"&amp;_xlpm.直近で観点が空でないセルの行番号):J177),
_xlpm.テスト内容数_空なら1, IF(_xlpm.テスト内容数=0,1,_xlpm.テスト内容数),
_xlpm.詳細項目数&amp;"-"&amp;_xlpm.観点数&amp;"-"&amp;_xlpm.テスト内容数_空なら1
)</f>
        <v>62-9-1</v>
      </c>
      <c r="B177" s="143"/>
      <c r="C177" s="146"/>
      <c r="D177" s="143"/>
      <c r="E177" s="145"/>
      <c r="F177" s="124" t="s">
        <v>325</v>
      </c>
      <c r="G177" s="84" t="s">
        <v>507</v>
      </c>
      <c r="H177" s="112"/>
      <c r="I177" s="112"/>
      <c r="J177" s="125"/>
      <c r="K177" s="125"/>
      <c r="L177" s="112"/>
      <c r="M177" s="112"/>
      <c r="N177" s="112"/>
      <c r="O177" s="112"/>
      <c r="P177" s="112"/>
      <c r="Q177" s="123"/>
      <c r="R177" s="125"/>
    </row>
    <row r="178" spans="1:18" ht="33">
      <c r="A178" s="74" t="str" cm="1">
        <f t="array" aca="1" ref="A178" ca="1">_xlfn.LET(
_xlpm.詳細項目数, COUNTA($E$11:E178),
_xlpm.直近で詳細項目が空でないセルの行番号, MAX(INDEX((LEN($E$11:E178)&gt;0)*ROW($E$11:E178),0)),
_xlpm.観点数, COUNTA(INDIRECT("F"&amp;_xlpm.直近で詳細項目が空でないセルの行番号):F178),
_xlpm.直近で観点が空でないセルの行番号, MAX(INDEX((LEN($F$11:F178)&gt;0)*ROW($F$11:F178),0)),
_xlpm.テスト内容数, COUNTA(INDIRECT("J"&amp;_xlpm.直近で観点が空でないセルの行番号):J178),
_xlpm.テスト内容数_空なら1, IF(_xlpm.テスト内容数=0,1,_xlpm.テスト内容数),
_xlpm.詳細項目数&amp;"-"&amp;_xlpm.観点数&amp;"-"&amp;_xlpm.テスト内容数_空なら1
)</f>
        <v>63-1-1</v>
      </c>
      <c r="B178" s="143"/>
      <c r="C178" s="146"/>
      <c r="D178" s="143"/>
      <c r="E178" s="145" t="s">
        <v>287</v>
      </c>
      <c r="F178" s="124" t="s">
        <v>326</v>
      </c>
      <c r="G178" s="84" t="s">
        <v>507</v>
      </c>
      <c r="H178" s="112"/>
      <c r="I178" s="112"/>
      <c r="J178" s="125"/>
      <c r="K178" s="125"/>
      <c r="L178" s="112"/>
      <c r="M178" s="112"/>
      <c r="N178" s="112"/>
      <c r="O178" s="112"/>
      <c r="P178" s="112"/>
      <c r="Q178" s="123"/>
      <c r="R178" s="125"/>
    </row>
    <row r="179" spans="1:18" ht="22">
      <c r="A179" s="74" t="str" cm="1">
        <f t="array" aca="1" ref="A179" ca="1">_xlfn.LET(
_xlpm.詳細項目数, COUNTA($E$11:E179),
_xlpm.直近で詳細項目が空でないセルの行番号, MAX(INDEX((LEN($E$11:E179)&gt;0)*ROW($E$11:E179),0)),
_xlpm.観点数, COUNTA(INDIRECT("F"&amp;_xlpm.直近で詳細項目が空でないセルの行番号):F179),
_xlpm.直近で観点が空でないセルの行番号, MAX(INDEX((LEN($F$11:F179)&gt;0)*ROW($F$11:F179),0)),
_xlpm.テスト内容数, COUNTA(INDIRECT("J"&amp;_xlpm.直近で観点が空でないセルの行番号):J179),
_xlpm.テスト内容数_空なら1, IF(_xlpm.テスト内容数=0,1,_xlpm.テスト内容数),
_xlpm.詳細項目数&amp;"-"&amp;_xlpm.観点数&amp;"-"&amp;_xlpm.テスト内容数_空なら1
)</f>
        <v>64-1-1</v>
      </c>
      <c r="B179" s="145"/>
      <c r="C179" s="147"/>
      <c r="D179" s="145"/>
      <c r="E179" s="147" t="s">
        <v>327</v>
      </c>
      <c r="F179" s="124" t="s">
        <v>328</v>
      </c>
      <c r="G179" s="84" t="s">
        <v>507</v>
      </c>
      <c r="H179" s="112"/>
      <c r="I179" s="112"/>
      <c r="J179" s="125"/>
      <c r="K179" s="125"/>
      <c r="L179" s="112"/>
      <c r="M179" s="112"/>
      <c r="N179" s="112"/>
      <c r="O179" s="112"/>
      <c r="P179" s="112"/>
      <c r="Q179" s="123"/>
      <c r="R179" s="125"/>
    </row>
    <row r="180" spans="1:18" ht="22">
      <c r="A180" s="74" t="str" cm="1">
        <f t="array" aca="1" ref="A180" ca="1">_xlfn.LET(
_xlpm.詳細項目数, COUNTA($E$11:E180),
_xlpm.直近で詳細項目が空でないセルの行番号, MAX(INDEX((LEN($E$11:E180)&gt;0)*ROW($E$11:E180),0)),
_xlpm.観点数, COUNTA(INDIRECT("F"&amp;_xlpm.直近で詳細項目が空でないセルの行番号):F180),
_xlpm.直近で観点が空でないセルの行番号, MAX(INDEX((LEN($F$11:F180)&gt;0)*ROW($F$11:F180),0)),
_xlpm.テスト内容数, COUNTA(INDIRECT("J"&amp;_xlpm.直近で観点が空でないセルの行番号):J180),
_xlpm.テスト内容数_空なら1, IF(_xlpm.テスト内容数=0,1,_xlpm.テスト内容数),
_xlpm.詳細項目数&amp;"-"&amp;_xlpm.観点数&amp;"-"&amp;_xlpm.テスト内容数_空なら1
)</f>
        <v>65-1-1</v>
      </c>
      <c r="B180" s="142" t="s">
        <v>329</v>
      </c>
      <c r="C180" s="142" t="s">
        <v>242</v>
      </c>
      <c r="D180" s="124" t="s">
        <v>330</v>
      </c>
      <c r="E180" s="124" t="s">
        <v>38</v>
      </c>
      <c r="F180" s="124" t="s">
        <v>331</v>
      </c>
      <c r="G180" s="84" t="s">
        <v>508</v>
      </c>
      <c r="H180" s="112"/>
      <c r="I180" s="112"/>
      <c r="J180" s="125"/>
      <c r="K180" s="125"/>
      <c r="L180" s="112"/>
      <c r="M180" s="112"/>
      <c r="N180" s="112"/>
      <c r="O180" s="112"/>
      <c r="P180" s="112"/>
      <c r="Q180" s="123"/>
      <c r="R180" s="125"/>
    </row>
    <row r="181" spans="1:18" ht="22">
      <c r="A181" s="74" t="str" cm="1">
        <f t="array" aca="1" ref="A181" ca="1">_xlfn.LET(
_xlpm.詳細項目数, COUNTA($E$11:E181),
_xlpm.直近で詳細項目が空でないセルの行番号, MAX(INDEX((LEN($E$11:E181)&gt;0)*ROW($E$11:E181),0)),
_xlpm.観点数, COUNTA(INDIRECT("F"&amp;_xlpm.直近で詳細項目が空でないセルの行番号):F181),
_xlpm.直近で観点が空でないセルの行番号, MAX(INDEX((LEN($F$11:F181)&gt;0)*ROW($F$11:F181),0)),
_xlpm.テスト内容数, COUNTA(INDIRECT("J"&amp;_xlpm.直近で観点が空でないセルの行番号):J181),
_xlpm.テスト内容数_空なら1, IF(_xlpm.テスト内容数=0,1,_xlpm.テスト内容数),
_xlpm.詳細項目数&amp;"-"&amp;_xlpm.観点数&amp;"-"&amp;_xlpm.テスト内容数_空なら1
)</f>
        <v>66-1-1</v>
      </c>
      <c r="B181" s="143"/>
      <c r="C181" s="146"/>
      <c r="D181" s="124" t="s">
        <v>332</v>
      </c>
      <c r="E181" s="145" t="s">
        <v>102</v>
      </c>
      <c r="F181" s="124" t="s">
        <v>333</v>
      </c>
      <c r="G181" s="84" t="s">
        <v>508</v>
      </c>
      <c r="H181" s="112"/>
      <c r="I181" s="112"/>
      <c r="J181" s="125"/>
      <c r="K181" s="125"/>
      <c r="L181" s="112"/>
      <c r="M181" s="112"/>
      <c r="N181" s="112"/>
      <c r="O181" s="112"/>
      <c r="P181" s="112"/>
      <c r="Q181" s="123"/>
      <c r="R181" s="125"/>
    </row>
    <row r="182" spans="1:18">
      <c r="A182" s="74" t="str" cm="1">
        <f t="array" aca="1" ref="A182" ca="1">_xlfn.LET(
_xlpm.詳細項目数, COUNTA($E$11:E182),
_xlpm.直近で詳細項目が空でないセルの行番号, MAX(INDEX((LEN($E$11:E182)&gt;0)*ROW($E$11:E182),0)),
_xlpm.観点数, COUNTA(INDIRECT("F"&amp;_xlpm.直近で詳細項目が空でないセルの行番号):F182),
_xlpm.直近で観点が空でないセルの行番号, MAX(INDEX((LEN($F$11:F182)&gt;0)*ROW($F$11:F182),0)),
_xlpm.テスト内容数, COUNTA(INDIRECT("J"&amp;_xlpm.直近で観点が空でないセルの行番号):J182),
_xlpm.テスト内容数_空なら1, IF(_xlpm.テスト内容数=0,1,_xlpm.テスト内容数),
_xlpm.詳細項目数&amp;"-"&amp;_xlpm.観点数&amp;"-"&amp;_xlpm.テスト内容数_空なら1
)</f>
        <v>67-1-1</v>
      </c>
      <c r="B182" s="145"/>
      <c r="C182" s="147"/>
      <c r="D182" s="147" t="s">
        <v>486</v>
      </c>
      <c r="E182" s="147" t="s">
        <v>102</v>
      </c>
      <c r="F182" s="124" t="s">
        <v>335</v>
      </c>
      <c r="G182" s="84" t="s">
        <v>508</v>
      </c>
      <c r="H182" s="112"/>
      <c r="I182" s="112"/>
      <c r="J182" s="125"/>
      <c r="K182" s="125"/>
      <c r="L182" s="112"/>
      <c r="M182" s="112"/>
      <c r="N182" s="112"/>
      <c r="O182" s="112"/>
      <c r="P182" s="112"/>
      <c r="Q182" s="123"/>
      <c r="R182" s="125"/>
    </row>
    <row r="183" spans="1:18" ht="22">
      <c r="A183" s="74" t="str" cm="1">
        <f t="array" aca="1" ref="A183" ca="1">_xlfn.LET(
_xlpm.詳細項目数, COUNTA($E$11:E183),
_xlpm.直近で詳細項目が空でないセルの行番号, MAX(INDEX((LEN($E$11:E183)&gt;0)*ROW($E$11:E183),0)),
_xlpm.観点数, COUNTA(INDIRECT("F"&amp;_xlpm.直近で詳細項目が空でないセルの行番号):F183),
_xlpm.直近で観点が空でないセルの行番号, MAX(INDEX((LEN($F$11:F183)&gt;0)*ROW($F$11:F183),0)),
_xlpm.テスト内容数, COUNTA(INDIRECT("J"&amp;_xlpm.直近で観点が空でないセルの行番号):J183),
_xlpm.テスト内容数_空なら1, IF(_xlpm.テスト内容数=0,1,_xlpm.テスト内容数),
_xlpm.詳細項目数&amp;"-"&amp;_xlpm.観点数&amp;"-"&amp;_xlpm.テスト内容数_空なら1
)</f>
        <v>68-1-1</v>
      </c>
      <c r="B183" s="142" t="s">
        <v>336</v>
      </c>
      <c r="C183" s="142" t="s">
        <v>242</v>
      </c>
      <c r="D183" s="142" t="s">
        <v>467</v>
      </c>
      <c r="E183" s="124" t="s">
        <v>337</v>
      </c>
      <c r="F183" s="124" t="s">
        <v>338</v>
      </c>
      <c r="G183" s="84" t="s">
        <v>509</v>
      </c>
      <c r="H183" s="112"/>
      <c r="I183" s="112"/>
      <c r="J183" s="125"/>
      <c r="K183" s="125"/>
      <c r="L183" s="112"/>
      <c r="M183" s="112"/>
      <c r="N183" s="112"/>
      <c r="O183" s="112"/>
      <c r="P183" s="112"/>
      <c r="Q183" s="123"/>
      <c r="R183" s="125"/>
    </row>
    <row r="184" spans="1:18" ht="22">
      <c r="A184" s="74" t="str" cm="1">
        <f t="array" aca="1" ref="A184" ca="1">_xlfn.LET(
_xlpm.詳細項目数, COUNTA($E$11:E184),
_xlpm.直近で詳細項目が空でないセルの行番号, MAX(INDEX((LEN($E$11:E184)&gt;0)*ROW($E$11:E184),0)),
_xlpm.観点数, COUNTA(INDIRECT("F"&amp;_xlpm.直近で詳細項目が空でないセルの行番号):F184),
_xlpm.直近で観点が空でないセルの行番号, MAX(INDEX((LEN($F$11:F184)&gt;0)*ROW($F$11:F184),0)),
_xlpm.テスト内容数, COUNTA(INDIRECT("J"&amp;_xlpm.直近で観点が空でないセルの行番号):J184),
_xlpm.テスト内容数_空なら1, IF(_xlpm.テスト内容数=0,1,_xlpm.テスト内容数),
_xlpm.詳細項目数&amp;"-"&amp;_xlpm.観点数&amp;"-"&amp;_xlpm.テスト内容数_空なら1
)</f>
        <v>69-1-1</v>
      </c>
      <c r="B184" s="143"/>
      <c r="C184" s="144"/>
      <c r="D184" s="143"/>
      <c r="E184" s="146" t="s">
        <v>109</v>
      </c>
      <c r="F184" s="124" t="s">
        <v>339</v>
      </c>
      <c r="G184" s="84" t="s">
        <v>509</v>
      </c>
      <c r="H184" s="112"/>
      <c r="I184" s="112"/>
      <c r="J184" s="125"/>
      <c r="K184" s="125"/>
      <c r="L184" s="112"/>
      <c r="M184" s="112"/>
      <c r="N184" s="112"/>
      <c r="O184" s="112"/>
      <c r="P184" s="112"/>
      <c r="Q184" s="123"/>
      <c r="R184" s="125"/>
    </row>
    <row r="185" spans="1:18" ht="22">
      <c r="A185" s="74" t="str" cm="1">
        <f t="array" aca="1" ref="A185" ca="1">_xlfn.LET(
_xlpm.詳細項目数, COUNTA($E$11:E185),
_xlpm.直近で詳細項目が空でないセルの行番号, MAX(INDEX((LEN($E$11:E185)&gt;0)*ROW($E$11:E185),0)),
_xlpm.観点数, COUNTA(INDIRECT("F"&amp;_xlpm.直近で詳細項目が空でないセルの行番号):F185),
_xlpm.直近で観点が空でないセルの行番号, MAX(INDEX((LEN($F$11:F185)&gt;0)*ROW($F$11:F185),0)),
_xlpm.テスト内容数, COUNTA(INDIRECT("J"&amp;_xlpm.直近で観点が空でないセルの行番号):J185),
_xlpm.テスト内容数_空なら1, IF(_xlpm.テスト内容数=0,1,_xlpm.テスト内容数),
_xlpm.詳細項目数&amp;"-"&amp;_xlpm.観点数&amp;"-"&amp;_xlpm.テスト内容数_空なら1
)</f>
        <v>69-2-1</v>
      </c>
      <c r="B185" s="143"/>
      <c r="C185" s="152"/>
      <c r="D185" s="143"/>
      <c r="E185" s="145"/>
      <c r="F185" s="124" t="s">
        <v>340</v>
      </c>
      <c r="G185" s="84" t="s">
        <v>509</v>
      </c>
      <c r="H185" s="112"/>
      <c r="I185" s="112"/>
      <c r="J185" s="125"/>
      <c r="K185" s="125"/>
      <c r="L185" s="112"/>
      <c r="M185" s="112"/>
      <c r="N185" s="112"/>
      <c r="O185" s="112"/>
      <c r="P185" s="112"/>
      <c r="Q185" s="123"/>
      <c r="R185" s="125"/>
    </row>
    <row r="186" spans="1:18" ht="22">
      <c r="A186" s="74" t="str" cm="1">
        <f t="array" aca="1" ref="A186" ca="1">_xlfn.LET(
_xlpm.詳細項目数, COUNTA($E$11:E186),
_xlpm.直近で詳細項目が空でないセルの行番号, MAX(INDEX((LEN($E$11:E186)&gt;0)*ROW($E$11:E186),0)),
_xlpm.観点数, COUNTA(INDIRECT("F"&amp;_xlpm.直近で詳細項目が空でないセルの行番号):F186),
_xlpm.直近で観点が空でないセルの行番号, MAX(INDEX((LEN($F$11:F186)&gt;0)*ROW($F$11:F186),0)),
_xlpm.テスト内容数, COUNTA(INDIRECT("J"&amp;_xlpm.直近で観点が空でないセルの行番号):J186),
_xlpm.テスト内容数_空なら1, IF(_xlpm.テスト内容数=0,1,_xlpm.テスト内容数),
_xlpm.詳細項目数&amp;"-"&amp;_xlpm.観点数&amp;"-"&amp;_xlpm.テスト内容数_空なら1
)</f>
        <v>70-1-1</v>
      </c>
      <c r="B186" s="143"/>
      <c r="C186" s="146"/>
      <c r="D186" s="143"/>
      <c r="E186" s="146" t="s">
        <v>341</v>
      </c>
      <c r="F186" s="124" t="s">
        <v>342</v>
      </c>
      <c r="G186" s="84" t="s">
        <v>509</v>
      </c>
      <c r="H186" s="112"/>
      <c r="I186" s="112"/>
      <c r="J186" s="125"/>
      <c r="K186" s="125"/>
      <c r="L186" s="112"/>
      <c r="M186" s="112"/>
      <c r="N186" s="112"/>
      <c r="O186" s="112"/>
      <c r="P186" s="112"/>
      <c r="Q186" s="123"/>
      <c r="R186" s="125"/>
    </row>
    <row r="187" spans="1:18" ht="22">
      <c r="A187" s="74" t="str" cm="1">
        <f t="array" aca="1" ref="A187" ca="1">_xlfn.LET(
_xlpm.詳細項目数, COUNTA($E$11:E187),
_xlpm.直近で詳細項目が空でないセルの行番号, MAX(INDEX((LEN($E$11:E187)&gt;0)*ROW($E$11:E187),0)),
_xlpm.観点数, COUNTA(INDIRECT("F"&amp;_xlpm.直近で詳細項目が空でないセルの行番号):F187),
_xlpm.直近で観点が空でないセルの行番号, MAX(INDEX((LEN($F$11:F187)&gt;0)*ROW($F$11:F187),0)),
_xlpm.テスト内容数, COUNTA(INDIRECT("J"&amp;_xlpm.直近で観点が空でないセルの行番号):J187),
_xlpm.テスト内容数_空なら1, IF(_xlpm.テスト内容数=0,1,_xlpm.テスト内容数),
_xlpm.詳細項目数&amp;"-"&amp;_xlpm.観点数&amp;"-"&amp;_xlpm.テスト内容数_空なら1
)</f>
        <v>70-2-1</v>
      </c>
      <c r="B187" s="143"/>
      <c r="C187" s="146"/>
      <c r="D187" s="158"/>
      <c r="E187" s="145"/>
      <c r="F187" s="124" t="s">
        <v>343</v>
      </c>
      <c r="G187" s="84" t="s">
        <v>509</v>
      </c>
      <c r="H187" s="112"/>
      <c r="I187" s="112"/>
      <c r="J187" s="125"/>
      <c r="K187" s="125"/>
      <c r="L187" s="112"/>
      <c r="M187" s="112"/>
      <c r="N187" s="112"/>
      <c r="O187" s="112"/>
      <c r="P187" s="112"/>
      <c r="Q187" s="123"/>
      <c r="R187" s="125"/>
    </row>
    <row r="188" spans="1:18" ht="33">
      <c r="A188" s="74" t="str" cm="1">
        <f t="array" aca="1" ref="A188" ca="1">_xlfn.LET(
_xlpm.詳細項目数, COUNTA($E$11:E188),
_xlpm.直近で詳細項目が空でないセルの行番号, MAX(INDEX((LEN($E$11:E188)&gt;0)*ROW($E$11:E188),0)),
_xlpm.観点数, COUNTA(INDIRECT("F"&amp;_xlpm.直近で詳細項目が空でないセルの行番号):F188),
_xlpm.直近で観点が空でないセルの行番号, MAX(INDEX((LEN($F$11:F188)&gt;0)*ROW($F$11:F188),0)),
_xlpm.テスト内容数, COUNTA(INDIRECT("J"&amp;_xlpm.直近で観点が空でないセルの行番号):J188),
_xlpm.テスト内容数_空なら1, IF(_xlpm.テスト内容数=0,1,_xlpm.テスト内容数),
_xlpm.詳細項目数&amp;"-"&amp;_xlpm.観点数&amp;"-"&amp;_xlpm.テスト内容数_空なら1
)</f>
        <v>71-1-1</v>
      </c>
      <c r="B188" s="143"/>
      <c r="C188" s="145"/>
      <c r="D188" s="145" t="s">
        <v>476</v>
      </c>
      <c r="E188" s="145" t="s">
        <v>467</v>
      </c>
      <c r="F188" s="124" t="s">
        <v>344</v>
      </c>
      <c r="G188" s="84" t="s">
        <v>509</v>
      </c>
      <c r="H188" s="112"/>
      <c r="I188" s="112"/>
      <c r="J188" s="125"/>
      <c r="K188" s="125"/>
      <c r="L188" s="112"/>
      <c r="M188" s="112"/>
      <c r="N188" s="112"/>
      <c r="O188" s="112"/>
      <c r="P188" s="112"/>
      <c r="Q188" s="123"/>
      <c r="R188" s="125"/>
    </row>
    <row r="189" spans="1:18" ht="22">
      <c r="A189" s="74" t="str" cm="1">
        <f t="array" aca="1" ref="A189" ca="1">_xlfn.LET(
_xlpm.詳細項目数, COUNTA($E$11:E189),
_xlpm.直近で詳細項目が空でないセルの行番号, MAX(INDEX((LEN($E$11:E189)&gt;0)*ROW($E$11:E189),0)),
_xlpm.観点数, COUNTA(INDIRECT("F"&amp;_xlpm.直近で詳細項目が空でないセルの行番号):F189),
_xlpm.直近で観点が空でないセルの行番号, MAX(INDEX((LEN($F$11:F189)&gt;0)*ROW($F$11:F189),0)),
_xlpm.テスト内容数, COUNTA(INDIRECT("J"&amp;_xlpm.直近で観点が空でないセルの行番号):J189),
_xlpm.テスト内容数_空なら1, IF(_xlpm.テスト内容数=0,1,_xlpm.テスト内容数),
_xlpm.詳細項目数&amp;"-"&amp;_xlpm.観点数&amp;"-"&amp;_xlpm.テスト内容数_空なら1
)</f>
        <v>72-1-1</v>
      </c>
      <c r="B189" s="143"/>
      <c r="C189" s="146" t="s">
        <v>345</v>
      </c>
      <c r="D189" s="143" t="s">
        <v>487</v>
      </c>
      <c r="E189" s="146" t="s">
        <v>347</v>
      </c>
      <c r="F189" s="124" t="s">
        <v>348</v>
      </c>
      <c r="G189" s="84" t="s">
        <v>509</v>
      </c>
      <c r="H189" s="112"/>
      <c r="I189" s="112"/>
      <c r="J189" s="125"/>
      <c r="K189" s="125"/>
      <c r="L189" s="112"/>
      <c r="M189" s="112"/>
      <c r="N189" s="112"/>
      <c r="O189" s="112"/>
      <c r="P189" s="112"/>
      <c r="Q189" s="123"/>
      <c r="R189" s="125"/>
    </row>
    <row r="190" spans="1:18" ht="22">
      <c r="A190" s="74" t="str" cm="1">
        <f t="array" aca="1" ref="A190" ca="1">_xlfn.LET(
_xlpm.詳細項目数, COUNTA($E$11:E190),
_xlpm.直近で詳細項目が空でないセルの行番号, MAX(INDEX((LEN($E$11:E190)&gt;0)*ROW($E$11:E190),0)),
_xlpm.観点数, COUNTA(INDIRECT("F"&amp;_xlpm.直近で詳細項目が空でないセルの行番号):F190),
_xlpm.直近で観点が空でないセルの行番号, MAX(INDEX((LEN($F$11:F190)&gt;0)*ROW($F$11:F190),0)),
_xlpm.テスト内容数, COUNTA(INDIRECT("J"&amp;_xlpm.直近で観点が空でないセルの行番号):J190),
_xlpm.テスト内容数_空なら1, IF(_xlpm.テスト内容数=0,1,_xlpm.テスト内容数),
_xlpm.詳細項目数&amp;"-"&amp;_xlpm.観点数&amp;"-"&amp;_xlpm.テスト内容数_空なら1
)</f>
        <v>72-2-1</v>
      </c>
      <c r="B190" s="143"/>
      <c r="C190" s="152"/>
      <c r="D190" s="143"/>
      <c r="E190" s="146"/>
      <c r="F190" s="124" t="s">
        <v>349</v>
      </c>
      <c r="G190" s="84" t="s">
        <v>509</v>
      </c>
      <c r="H190" s="112"/>
      <c r="I190" s="112"/>
      <c r="J190" s="125"/>
      <c r="K190" s="125"/>
      <c r="L190" s="112"/>
      <c r="M190" s="112"/>
      <c r="N190" s="112"/>
      <c r="O190" s="112"/>
      <c r="P190" s="112"/>
      <c r="Q190" s="123"/>
      <c r="R190" s="125"/>
    </row>
    <row r="191" spans="1:18" ht="22">
      <c r="A191" s="74" t="str" cm="1">
        <f t="array" aca="1" ref="A191" ca="1">_xlfn.LET(
_xlpm.詳細項目数, COUNTA($E$11:E191),
_xlpm.直近で詳細項目が空でないセルの行番号, MAX(INDEX((LEN($E$11:E191)&gt;0)*ROW($E$11:E191),0)),
_xlpm.観点数, COUNTA(INDIRECT("F"&amp;_xlpm.直近で詳細項目が空でないセルの行番号):F191),
_xlpm.直近で観点が空でないセルの行番号, MAX(INDEX((LEN($F$11:F191)&gt;0)*ROW($F$11:F191),0)),
_xlpm.テスト内容数, COUNTA(INDIRECT("J"&amp;_xlpm.直近で観点が空でないセルの行番号):J191),
_xlpm.テスト内容数_空なら1, IF(_xlpm.テスト内容数=0,1,_xlpm.テスト内容数),
_xlpm.詳細項目数&amp;"-"&amp;_xlpm.観点数&amp;"-"&amp;_xlpm.テスト内容数_空なら1
)</f>
        <v>72-3-1</v>
      </c>
      <c r="B191" s="143"/>
      <c r="C191" s="152"/>
      <c r="D191" s="143"/>
      <c r="E191" s="146"/>
      <c r="F191" s="124" t="s">
        <v>350</v>
      </c>
      <c r="G191" s="84" t="s">
        <v>509</v>
      </c>
      <c r="H191" s="112"/>
      <c r="I191" s="112"/>
      <c r="J191" s="125"/>
      <c r="K191" s="125"/>
      <c r="L191" s="112"/>
      <c r="M191" s="112"/>
      <c r="N191" s="112"/>
      <c r="O191" s="112"/>
      <c r="P191" s="112"/>
      <c r="Q191" s="123"/>
      <c r="R191" s="125"/>
    </row>
    <row r="192" spans="1:18" ht="22">
      <c r="A192" s="74" t="str" cm="1">
        <f t="array" aca="1" ref="A192" ca="1">_xlfn.LET(
_xlpm.詳細項目数, COUNTA($E$11:E192),
_xlpm.直近で詳細項目が空でないセルの行番号, MAX(INDEX((LEN($E$11:E192)&gt;0)*ROW($E$11:E192),0)),
_xlpm.観点数, COUNTA(INDIRECT("F"&amp;_xlpm.直近で詳細項目が空でないセルの行番号):F192),
_xlpm.直近で観点が空でないセルの行番号, MAX(INDEX((LEN($F$11:F192)&gt;0)*ROW($F$11:F192),0)),
_xlpm.テスト内容数, COUNTA(INDIRECT("J"&amp;_xlpm.直近で観点が空でないセルの行番号):J192),
_xlpm.テスト内容数_空なら1, IF(_xlpm.テスト内容数=0,1,_xlpm.テスト内容数),
_xlpm.詳細項目数&amp;"-"&amp;_xlpm.観点数&amp;"-"&amp;_xlpm.テスト内容数_空なら1
)</f>
        <v>72-4-1</v>
      </c>
      <c r="B192" s="143"/>
      <c r="C192" s="152"/>
      <c r="D192" s="143"/>
      <c r="E192" s="146"/>
      <c r="F192" s="124" t="s">
        <v>351</v>
      </c>
      <c r="G192" s="84" t="s">
        <v>509</v>
      </c>
      <c r="H192" s="112"/>
      <c r="I192" s="112"/>
      <c r="J192" s="125"/>
      <c r="K192" s="125"/>
      <c r="L192" s="112"/>
      <c r="M192" s="112"/>
      <c r="N192" s="112"/>
      <c r="O192" s="112"/>
      <c r="P192" s="112"/>
      <c r="Q192" s="123"/>
      <c r="R192" s="125"/>
    </row>
    <row r="193" spans="1:18" ht="22">
      <c r="A193" s="74" t="str" cm="1">
        <f t="array" aca="1" ref="A193" ca="1">_xlfn.LET(
_xlpm.詳細項目数, COUNTA($E$11:E193),
_xlpm.直近で詳細項目が空でないセルの行番号, MAX(INDEX((LEN($E$11:E193)&gt;0)*ROW($E$11:E193),0)),
_xlpm.観点数, COUNTA(INDIRECT("F"&amp;_xlpm.直近で詳細項目が空でないセルの行番号):F193),
_xlpm.直近で観点が空でないセルの行番号, MAX(INDEX((LEN($F$11:F193)&gt;0)*ROW($F$11:F193),0)),
_xlpm.テスト内容数, COUNTA(INDIRECT("J"&amp;_xlpm.直近で観点が空でないセルの行番号):J193),
_xlpm.テスト内容数_空なら1, IF(_xlpm.テスト内容数=0,1,_xlpm.テスト内容数),
_xlpm.詳細項目数&amp;"-"&amp;_xlpm.観点数&amp;"-"&amp;_xlpm.テスト内容数_空なら1
)</f>
        <v>72-5-1</v>
      </c>
      <c r="B193" s="143"/>
      <c r="C193" s="152"/>
      <c r="D193" s="143"/>
      <c r="E193" s="146"/>
      <c r="F193" s="124" t="s">
        <v>352</v>
      </c>
      <c r="G193" s="84" t="s">
        <v>509</v>
      </c>
      <c r="H193" s="112"/>
      <c r="I193" s="112"/>
      <c r="J193" s="125"/>
      <c r="K193" s="125"/>
      <c r="L193" s="112"/>
      <c r="M193" s="112"/>
      <c r="N193" s="112"/>
      <c r="O193" s="112"/>
      <c r="P193" s="112"/>
      <c r="Q193" s="123"/>
      <c r="R193" s="125"/>
    </row>
    <row r="194" spans="1:18" ht="22">
      <c r="A194" s="74" t="str" cm="1">
        <f t="array" aca="1" ref="A194" ca="1">_xlfn.LET(
_xlpm.詳細項目数, COUNTA($E$11:E194),
_xlpm.直近で詳細項目が空でないセルの行番号, MAX(INDEX((LEN($E$11:E194)&gt;0)*ROW($E$11:E194),0)),
_xlpm.観点数, COUNTA(INDIRECT("F"&amp;_xlpm.直近で詳細項目が空でないセルの行番号):F194),
_xlpm.直近で観点が空でないセルの行番号, MAX(INDEX((LEN($F$11:F194)&gt;0)*ROW($F$11:F194),0)),
_xlpm.テスト内容数, COUNTA(INDIRECT("J"&amp;_xlpm.直近で観点が空でないセルの行番号):J194),
_xlpm.テスト内容数_空なら1, IF(_xlpm.テスト内容数=0,1,_xlpm.テスト内容数),
_xlpm.詳細項目数&amp;"-"&amp;_xlpm.観点数&amp;"-"&amp;_xlpm.テスト内容数_空なら1
)</f>
        <v>72-6-1</v>
      </c>
      <c r="B194" s="143"/>
      <c r="C194" s="152"/>
      <c r="D194" s="143"/>
      <c r="E194" s="146"/>
      <c r="F194" s="124" t="s">
        <v>353</v>
      </c>
      <c r="G194" s="84" t="s">
        <v>509</v>
      </c>
      <c r="H194" s="112"/>
      <c r="I194" s="112"/>
      <c r="J194" s="125"/>
      <c r="K194" s="125"/>
      <c r="L194" s="112"/>
      <c r="M194" s="112"/>
      <c r="N194" s="112"/>
      <c r="O194" s="112"/>
      <c r="P194" s="112"/>
      <c r="Q194" s="123"/>
      <c r="R194" s="125"/>
    </row>
    <row r="195" spans="1:18" ht="22">
      <c r="A195" s="74" t="str" cm="1">
        <f t="array" aca="1" ref="A195" ca="1">_xlfn.LET(
_xlpm.詳細項目数, COUNTA($E$11:E195),
_xlpm.直近で詳細項目が空でないセルの行番号, MAX(INDEX((LEN($E$11:E195)&gt;0)*ROW($E$11:E195),0)),
_xlpm.観点数, COUNTA(INDIRECT("F"&amp;_xlpm.直近で詳細項目が空でないセルの行番号):F195),
_xlpm.直近で観点が空でないセルの行番号, MAX(INDEX((LEN($F$11:F195)&gt;0)*ROW($F$11:F195),0)),
_xlpm.テスト内容数, COUNTA(INDIRECT("J"&amp;_xlpm.直近で観点が空でないセルの行番号):J195),
_xlpm.テスト内容数_空なら1, IF(_xlpm.テスト内容数=0,1,_xlpm.テスト内容数),
_xlpm.詳細項目数&amp;"-"&amp;_xlpm.観点数&amp;"-"&amp;_xlpm.テスト内容数_空なら1
)</f>
        <v>72-7-1</v>
      </c>
      <c r="B195" s="143"/>
      <c r="C195" s="152"/>
      <c r="D195" s="143"/>
      <c r="E195" s="145"/>
      <c r="F195" s="124" t="s">
        <v>354</v>
      </c>
      <c r="G195" s="84" t="s">
        <v>509</v>
      </c>
      <c r="H195" s="112"/>
      <c r="I195" s="112"/>
      <c r="J195" s="125"/>
      <c r="K195" s="125"/>
      <c r="L195" s="112"/>
      <c r="M195" s="112"/>
      <c r="N195" s="112"/>
      <c r="O195" s="112"/>
      <c r="P195" s="112"/>
      <c r="Q195" s="123"/>
      <c r="R195" s="125"/>
    </row>
    <row r="196" spans="1:18" ht="22">
      <c r="A196" s="74" t="str" cm="1">
        <f t="array" aca="1" ref="A196" ca="1">_xlfn.LET(
_xlpm.詳細項目数, COUNTA($E$11:E196),
_xlpm.直近で詳細項目が空でないセルの行番号, MAX(INDEX((LEN($E$11:E196)&gt;0)*ROW($E$11:E196),0)),
_xlpm.観点数, COUNTA(INDIRECT("F"&amp;_xlpm.直近で詳細項目が空でないセルの行番号):F196),
_xlpm.直近で観点が空でないセルの行番号, MAX(INDEX((LEN($F$11:F196)&gt;0)*ROW($F$11:F196),0)),
_xlpm.テスト内容数, COUNTA(INDIRECT("J"&amp;_xlpm.直近で観点が空でないセルの行番号):J196),
_xlpm.テスト内容数_空なら1, IF(_xlpm.テスト内容数=0,1,_xlpm.テスト内容数),
_xlpm.詳細項目数&amp;"-"&amp;_xlpm.観点数&amp;"-"&amp;_xlpm.テスト内容数_空なら1
)</f>
        <v>73-1-1</v>
      </c>
      <c r="B196" s="143"/>
      <c r="C196" s="144"/>
      <c r="D196" s="145"/>
      <c r="E196" s="124" t="s">
        <v>355</v>
      </c>
      <c r="F196" s="124" t="s">
        <v>488</v>
      </c>
      <c r="G196" s="84" t="s">
        <v>509</v>
      </c>
      <c r="H196" s="112"/>
      <c r="I196" s="112"/>
      <c r="J196" s="125"/>
      <c r="K196" s="125"/>
      <c r="L196" s="112"/>
      <c r="M196" s="112"/>
      <c r="N196" s="112"/>
      <c r="O196" s="112"/>
      <c r="P196" s="112"/>
      <c r="Q196" s="123"/>
      <c r="R196" s="125"/>
    </row>
    <row r="197" spans="1:18" ht="22">
      <c r="A197" s="74" t="str" cm="1">
        <f t="array" aca="1" ref="A197" ca="1">_xlfn.LET(
_xlpm.詳細項目数, COUNTA($E$11:E197),
_xlpm.直近で詳細項目が空でないセルの行番号, MAX(INDEX((LEN($E$11:E197)&gt;0)*ROW($E$11:E197),0)),
_xlpm.観点数, COUNTA(INDIRECT("F"&amp;_xlpm.直近で詳細項目が空でないセルの行番号):F197),
_xlpm.直近で観点が空でないセルの行番号, MAX(INDEX((LEN($F$11:F197)&gt;0)*ROW($F$11:F197),0)),
_xlpm.テスト内容数, COUNTA(INDIRECT("J"&amp;_xlpm.直近で観点が空でないセルの行番号):J197),
_xlpm.テスト内容数_空なら1, IF(_xlpm.テスト内容数=0,1,_xlpm.テスト内容数),
_xlpm.詳細項目数&amp;"-"&amp;_xlpm.観点数&amp;"-"&amp;_xlpm.テスト内容数_空なら1
)</f>
        <v>74-1-1</v>
      </c>
      <c r="B197" s="143"/>
      <c r="C197" s="144"/>
      <c r="D197" s="143" t="s">
        <v>357</v>
      </c>
      <c r="E197" s="146" t="s">
        <v>175</v>
      </c>
      <c r="F197" s="124" t="s">
        <v>358</v>
      </c>
      <c r="G197" s="84" t="s">
        <v>509</v>
      </c>
      <c r="H197" s="112"/>
      <c r="I197" s="112"/>
      <c r="J197" s="125"/>
      <c r="K197" s="125"/>
      <c r="L197" s="112"/>
      <c r="M197" s="112"/>
      <c r="N197" s="112"/>
      <c r="O197" s="112"/>
      <c r="P197" s="112"/>
      <c r="Q197" s="123"/>
      <c r="R197" s="125"/>
    </row>
    <row r="198" spans="1:18" ht="22">
      <c r="A198" s="74" t="str" cm="1">
        <f t="array" aca="1" ref="A198" ca="1">_xlfn.LET(
_xlpm.詳細項目数, COUNTA($E$11:E198),
_xlpm.直近で詳細項目が空でないセルの行番号, MAX(INDEX((LEN($E$11:E198)&gt;0)*ROW($E$11:E198),0)),
_xlpm.観点数, COUNTA(INDIRECT("F"&amp;_xlpm.直近で詳細項目が空でないセルの行番号):F198),
_xlpm.直近で観点が空でないセルの行番号, MAX(INDEX((LEN($F$11:F198)&gt;0)*ROW($F$11:F198),0)),
_xlpm.テスト内容数, COUNTA(INDIRECT("J"&amp;_xlpm.直近で観点が空でないセルの行番号):J198),
_xlpm.テスト内容数_空なら1, IF(_xlpm.テスト内容数=0,1,_xlpm.テスト内容数),
_xlpm.詳細項目数&amp;"-"&amp;_xlpm.観点数&amp;"-"&amp;_xlpm.テスト内容数_空なら1
)</f>
        <v>74-2-1</v>
      </c>
      <c r="B198" s="143"/>
      <c r="C198" s="144"/>
      <c r="D198" s="143"/>
      <c r="E198" s="146"/>
      <c r="F198" s="124" t="s">
        <v>359</v>
      </c>
      <c r="G198" s="84" t="s">
        <v>509</v>
      </c>
      <c r="H198" s="112"/>
      <c r="I198" s="112"/>
      <c r="J198" s="125"/>
      <c r="K198" s="125"/>
      <c r="L198" s="112"/>
      <c r="M198" s="112"/>
      <c r="N198" s="112"/>
      <c r="O198" s="112"/>
      <c r="P198" s="112"/>
      <c r="Q198" s="123"/>
      <c r="R198" s="125"/>
    </row>
    <row r="199" spans="1:18">
      <c r="A199" s="74" t="str" cm="1">
        <f t="array" aca="1" ref="A199" ca="1">_xlfn.LET(
_xlpm.詳細項目数, COUNTA($E$11:E199),
_xlpm.直近で詳細項目が空でないセルの行番号, MAX(INDEX((LEN($E$11:E199)&gt;0)*ROW($E$11:E199),0)),
_xlpm.観点数, COUNTA(INDIRECT("F"&amp;_xlpm.直近で詳細項目が空でないセルの行番号):F199),
_xlpm.直近で観点が空でないセルの行番号, MAX(INDEX((LEN($F$11:F199)&gt;0)*ROW($F$11:F199),0)),
_xlpm.テスト内容数, COUNTA(INDIRECT("J"&amp;_xlpm.直近で観点が空でないセルの行番号):J199),
_xlpm.テスト内容数_空なら1, IF(_xlpm.テスト内容数=0,1,_xlpm.テスト内容数),
_xlpm.詳細項目数&amp;"-"&amp;_xlpm.観点数&amp;"-"&amp;_xlpm.テスト内容数_空なら1
)</f>
        <v>74-3-1</v>
      </c>
      <c r="B199" s="143"/>
      <c r="C199" s="144"/>
      <c r="D199" s="143"/>
      <c r="E199" s="146"/>
      <c r="F199" s="124" t="s">
        <v>360</v>
      </c>
      <c r="G199" s="84" t="s">
        <v>509</v>
      </c>
      <c r="H199" s="112"/>
      <c r="I199" s="112"/>
      <c r="J199" s="125"/>
      <c r="K199" s="125"/>
      <c r="L199" s="112"/>
      <c r="M199" s="112"/>
      <c r="N199" s="112"/>
      <c r="O199" s="112"/>
      <c r="P199" s="112"/>
      <c r="Q199" s="123"/>
      <c r="R199" s="125"/>
    </row>
    <row r="200" spans="1:18" ht="22">
      <c r="A200" s="74" t="str" cm="1">
        <f t="array" aca="1" ref="A200" ca="1">_xlfn.LET(
_xlpm.詳細項目数, COUNTA($E$11:E200),
_xlpm.直近で詳細項目が空でないセルの行番号, MAX(INDEX((LEN($E$11:E200)&gt;0)*ROW($E$11:E200),0)),
_xlpm.観点数, COUNTA(INDIRECT("F"&amp;_xlpm.直近で詳細項目が空でないセルの行番号):F200),
_xlpm.直近で観点が空でないセルの行番号, MAX(INDEX((LEN($F$11:F200)&gt;0)*ROW($F$11:F200),0)),
_xlpm.テスト内容数, COUNTA(INDIRECT("J"&amp;_xlpm.直近で観点が空でないセルの行番号):J200),
_xlpm.テスト内容数_空なら1, IF(_xlpm.テスト内容数=0,1,_xlpm.テスト内容数),
_xlpm.詳細項目数&amp;"-"&amp;_xlpm.観点数&amp;"-"&amp;_xlpm.テスト内容数_空なら1
)</f>
        <v>74-4-1</v>
      </c>
      <c r="B200" s="143"/>
      <c r="C200" s="144"/>
      <c r="D200" s="143"/>
      <c r="E200" s="146"/>
      <c r="F200" s="124" t="s">
        <v>361</v>
      </c>
      <c r="G200" s="84" t="s">
        <v>509</v>
      </c>
      <c r="H200" s="112"/>
      <c r="I200" s="112"/>
      <c r="J200" s="125"/>
      <c r="K200" s="125"/>
      <c r="L200" s="112"/>
      <c r="M200" s="112"/>
      <c r="N200" s="112"/>
      <c r="O200" s="112"/>
      <c r="P200" s="112"/>
      <c r="Q200" s="123"/>
      <c r="R200" s="125"/>
    </row>
    <row r="201" spans="1:18" ht="33">
      <c r="A201" s="74" t="str" cm="1">
        <f t="array" aca="1" ref="A201" ca="1">_xlfn.LET(
_xlpm.詳細項目数, COUNTA($E$11:E201),
_xlpm.直近で詳細項目が空でないセルの行番号, MAX(INDEX((LEN($E$11:E201)&gt;0)*ROW($E$11:E201),0)),
_xlpm.観点数, COUNTA(INDIRECT("F"&amp;_xlpm.直近で詳細項目が空でないセルの行番号):F201),
_xlpm.直近で観点が空でないセルの行番号, MAX(INDEX((LEN($F$11:F201)&gt;0)*ROW($F$11:F201),0)),
_xlpm.テスト内容数, COUNTA(INDIRECT("J"&amp;_xlpm.直近で観点が空でないセルの行番号):J201),
_xlpm.テスト内容数_空なら1, IF(_xlpm.テスト内容数=0,1,_xlpm.テスト内容数),
_xlpm.詳細項目数&amp;"-"&amp;_xlpm.観点数&amp;"-"&amp;_xlpm.テスト内容数_空なら1
)</f>
        <v>74-5-1</v>
      </c>
      <c r="B201" s="143"/>
      <c r="C201" s="144"/>
      <c r="D201" s="143"/>
      <c r="E201" s="146"/>
      <c r="F201" s="124" t="s">
        <v>362</v>
      </c>
      <c r="G201" s="84" t="s">
        <v>509</v>
      </c>
      <c r="H201" s="112"/>
      <c r="I201" s="112"/>
      <c r="J201" s="125"/>
      <c r="K201" s="125"/>
      <c r="L201" s="112"/>
      <c r="M201" s="112"/>
      <c r="N201" s="112"/>
      <c r="O201" s="112"/>
      <c r="P201" s="112"/>
      <c r="Q201" s="123"/>
      <c r="R201" s="125"/>
    </row>
    <row r="202" spans="1:18" ht="33">
      <c r="A202" s="74" t="str" cm="1">
        <f t="array" aca="1" ref="A202" ca="1">_xlfn.LET(
_xlpm.詳細項目数, COUNTA($E$11:E202),
_xlpm.直近で詳細項目が空でないセルの行番号, MAX(INDEX((LEN($E$11:E202)&gt;0)*ROW($E$11:E202),0)),
_xlpm.観点数, COUNTA(INDIRECT("F"&amp;_xlpm.直近で詳細項目が空でないセルの行番号):F202),
_xlpm.直近で観点が空でないセルの行番号, MAX(INDEX((LEN($F$11:F202)&gt;0)*ROW($F$11:F202),0)),
_xlpm.テスト内容数, COUNTA(INDIRECT("J"&amp;_xlpm.直近で観点が空でないセルの行番号):J202),
_xlpm.テスト内容数_空なら1, IF(_xlpm.テスト内容数=0,1,_xlpm.テスト内容数),
_xlpm.詳細項目数&amp;"-"&amp;_xlpm.観点数&amp;"-"&amp;_xlpm.テスト内容数_空なら1
)</f>
        <v>74-6-1</v>
      </c>
      <c r="B202" s="143"/>
      <c r="C202" s="144"/>
      <c r="D202" s="143"/>
      <c r="E202" s="146"/>
      <c r="F202" s="124" t="s">
        <v>363</v>
      </c>
      <c r="G202" s="84" t="s">
        <v>509</v>
      </c>
      <c r="H202" s="112"/>
      <c r="I202" s="112"/>
      <c r="J202" s="125"/>
      <c r="K202" s="125"/>
      <c r="L202" s="112"/>
      <c r="M202" s="112"/>
      <c r="N202" s="112"/>
      <c r="O202" s="112"/>
      <c r="P202" s="112"/>
      <c r="Q202" s="123"/>
      <c r="R202" s="125"/>
    </row>
    <row r="203" spans="1:18" ht="44">
      <c r="A203" s="74" t="str" cm="1">
        <f t="array" aca="1" ref="A203" ca="1">_xlfn.LET(
_xlpm.詳細項目数, COUNTA($E$11:E203),
_xlpm.直近で詳細項目が空でないセルの行番号, MAX(INDEX((LEN($E$11:E203)&gt;0)*ROW($E$11:E203),0)),
_xlpm.観点数, COUNTA(INDIRECT("F"&amp;_xlpm.直近で詳細項目が空でないセルの行番号):F203),
_xlpm.直近で観点が空でないセルの行番号, MAX(INDEX((LEN($F$11:F203)&gt;0)*ROW($F$11:F203),0)),
_xlpm.テスト内容数, COUNTA(INDIRECT("J"&amp;_xlpm.直近で観点が空でないセルの行番号):J203),
_xlpm.テスト内容数_空なら1, IF(_xlpm.テスト内容数=0,1,_xlpm.テスト内容数),
_xlpm.詳細項目数&amp;"-"&amp;_xlpm.観点数&amp;"-"&amp;_xlpm.テスト内容数_空なら1
)</f>
        <v>74-7-1</v>
      </c>
      <c r="B203" s="143"/>
      <c r="C203" s="144"/>
      <c r="D203" s="143"/>
      <c r="E203" s="146"/>
      <c r="F203" s="124" t="s">
        <v>489</v>
      </c>
      <c r="G203" s="84" t="s">
        <v>509</v>
      </c>
      <c r="H203" s="112"/>
      <c r="I203" s="112"/>
      <c r="J203" s="125"/>
      <c r="K203" s="125"/>
      <c r="L203" s="112"/>
      <c r="M203" s="112"/>
      <c r="N203" s="112"/>
      <c r="O203" s="112"/>
      <c r="P203" s="112"/>
      <c r="Q203" s="123"/>
      <c r="R203" s="125"/>
    </row>
    <row r="204" spans="1:18" ht="33">
      <c r="A204" s="74" t="str" cm="1">
        <f t="array" aca="1" ref="A204" ca="1">_xlfn.LET(
_xlpm.詳細項目数, COUNTA($E$11:E204),
_xlpm.直近で詳細項目が空でないセルの行番号, MAX(INDEX((LEN($E$11:E204)&gt;0)*ROW($E$11:E204),0)),
_xlpm.観点数, COUNTA(INDIRECT("F"&amp;_xlpm.直近で詳細項目が空でないセルの行番号):F204),
_xlpm.直近で観点が空でないセルの行番号, MAX(INDEX((LEN($F$11:F204)&gt;0)*ROW($F$11:F204),0)),
_xlpm.テスト内容数, COUNTA(INDIRECT("J"&amp;_xlpm.直近で観点が空でないセルの行番号):J204),
_xlpm.テスト内容数_空なら1, IF(_xlpm.テスト内容数=0,1,_xlpm.テスト内容数),
_xlpm.詳細項目数&amp;"-"&amp;_xlpm.観点数&amp;"-"&amp;_xlpm.テスト内容数_空なら1
)</f>
        <v>74-8-1</v>
      </c>
      <c r="B204" s="143"/>
      <c r="C204" s="144"/>
      <c r="D204" s="143"/>
      <c r="E204" s="146"/>
      <c r="F204" s="124" t="s">
        <v>365</v>
      </c>
      <c r="G204" s="84" t="s">
        <v>509</v>
      </c>
      <c r="H204" s="112"/>
      <c r="I204" s="112"/>
      <c r="J204" s="125"/>
      <c r="K204" s="125"/>
      <c r="L204" s="112"/>
      <c r="M204" s="112"/>
      <c r="N204" s="112"/>
      <c r="O204" s="112"/>
      <c r="P204" s="112"/>
      <c r="Q204" s="123"/>
      <c r="R204" s="125"/>
    </row>
    <row r="205" spans="1:18" ht="33">
      <c r="A205" s="74" t="str" cm="1">
        <f t="array" aca="1" ref="A205" ca="1">_xlfn.LET(
_xlpm.詳細項目数, COUNTA($E$11:E205),
_xlpm.直近で詳細項目が空でないセルの行番号, MAX(INDEX((LEN($E$11:E205)&gt;0)*ROW($E$11:E205),0)),
_xlpm.観点数, COUNTA(INDIRECT("F"&amp;_xlpm.直近で詳細項目が空でないセルの行番号):F205),
_xlpm.直近で観点が空でないセルの行番号, MAX(INDEX((LEN($F$11:F205)&gt;0)*ROW($F$11:F205),0)),
_xlpm.テスト内容数, COUNTA(INDIRECT("J"&amp;_xlpm.直近で観点が空でないセルの行番号):J205),
_xlpm.テスト内容数_空なら1, IF(_xlpm.テスト内容数=0,1,_xlpm.テスト内容数),
_xlpm.詳細項目数&amp;"-"&amp;_xlpm.観点数&amp;"-"&amp;_xlpm.テスト内容数_空なら1
)</f>
        <v>74-9-1</v>
      </c>
      <c r="B205" s="143"/>
      <c r="C205" s="144"/>
      <c r="D205" s="143"/>
      <c r="E205" s="146"/>
      <c r="F205" s="124" t="s">
        <v>366</v>
      </c>
      <c r="G205" s="84" t="s">
        <v>509</v>
      </c>
      <c r="H205" s="112"/>
      <c r="I205" s="112"/>
      <c r="J205" s="125"/>
      <c r="K205" s="125"/>
      <c r="L205" s="112"/>
      <c r="M205" s="112"/>
      <c r="N205" s="112"/>
      <c r="O205" s="112"/>
      <c r="P205" s="112"/>
      <c r="Q205" s="123"/>
      <c r="R205" s="125"/>
    </row>
    <row r="206" spans="1:18" ht="22">
      <c r="A206" s="74" t="str" cm="1">
        <f t="array" aca="1" ref="A206" ca="1">_xlfn.LET(
_xlpm.詳細項目数, COUNTA($E$11:E206),
_xlpm.直近で詳細項目が空でないセルの行番号, MAX(INDEX((LEN($E$11:E206)&gt;0)*ROW($E$11:E206),0)),
_xlpm.観点数, COUNTA(INDIRECT("F"&amp;_xlpm.直近で詳細項目が空でないセルの行番号):F206),
_xlpm.直近で観点が空でないセルの行番号, MAX(INDEX((LEN($F$11:F206)&gt;0)*ROW($F$11:F206),0)),
_xlpm.テスト内容数, COUNTA(INDIRECT("J"&amp;_xlpm.直近で観点が空でないセルの行番号):J206),
_xlpm.テスト内容数_空なら1, IF(_xlpm.テスト内容数=0,1,_xlpm.テスト内容数),
_xlpm.詳細項目数&amp;"-"&amp;_xlpm.観点数&amp;"-"&amp;_xlpm.テスト内容数_空なら1
)</f>
        <v>74-10-1</v>
      </c>
      <c r="B206" s="143"/>
      <c r="C206" s="144"/>
      <c r="D206" s="143"/>
      <c r="E206" s="146"/>
      <c r="F206" s="124" t="s">
        <v>367</v>
      </c>
      <c r="G206" s="84" t="s">
        <v>509</v>
      </c>
      <c r="H206" s="112"/>
      <c r="I206" s="112"/>
      <c r="J206" s="125"/>
      <c r="K206" s="125"/>
      <c r="L206" s="112"/>
      <c r="M206" s="112"/>
      <c r="N206" s="112"/>
      <c r="O206" s="112"/>
      <c r="P206" s="112"/>
      <c r="Q206" s="123"/>
      <c r="R206" s="125"/>
    </row>
    <row r="207" spans="1:18" ht="22">
      <c r="A207" s="74" t="str" cm="1">
        <f t="array" aca="1" ref="A207" ca="1">_xlfn.LET(
_xlpm.詳細項目数, COUNTA($E$11:E207),
_xlpm.直近で詳細項目が空でないセルの行番号, MAX(INDEX((LEN($E$11:E207)&gt;0)*ROW($E$11:E207),0)),
_xlpm.観点数, COUNTA(INDIRECT("F"&amp;_xlpm.直近で詳細項目が空でないセルの行番号):F207),
_xlpm.直近で観点が空でないセルの行番号, MAX(INDEX((LEN($F$11:F207)&gt;0)*ROW($F$11:F207),0)),
_xlpm.テスト内容数, COUNTA(INDIRECT("J"&amp;_xlpm.直近で観点が空でないセルの行番号):J207),
_xlpm.テスト内容数_空なら1, IF(_xlpm.テスト内容数=0,1,_xlpm.テスト内容数),
_xlpm.詳細項目数&amp;"-"&amp;_xlpm.観点数&amp;"-"&amp;_xlpm.テスト内容数_空なら1
)</f>
        <v>74-11-1</v>
      </c>
      <c r="B207" s="143"/>
      <c r="C207" s="144"/>
      <c r="D207" s="143"/>
      <c r="E207" s="146"/>
      <c r="F207" s="124" t="s">
        <v>368</v>
      </c>
      <c r="G207" s="84" t="s">
        <v>509</v>
      </c>
      <c r="H207" s="112"/>
      <c r="I207" s="112"/>
      <c r="J207" s="125"/>
      <c r="K207" s="125"/>
      <c r="L207" s="112"/>
      <c r="M207" s="112"/>
      <c r="N207" s="112"/>
      <c r="O207" s="112"/>
      <c r="P207" s="112"/>
      <c r="Q207" s="123"/>
      <c r="R207" s="125"/>
    </row>
    <row r="208" spans="1:18" ht="33">
      <c r="A208" s="74" t="str" cm="1">
        <f t="array" aca="1" ref="A208" ca="1">_xlfn.LET(
_xlpm.詳細項目数, COUNTA($E$11:E208),
_xlpm.直近で詳細項目が空でないセルの行番号, MAX(INDEX((LEN($E$11:E208)&gt;0)*ROW($E$11:E208),0)),
_xlpm.観点数, COUNTA(INDIRECT("F"&amp;_xlpm.直近で詳細項目が空でないセルの行番号):F208),
_xlpm.直近で観点が空でないセルの行番号, MAX(INDEX((LEN($F$11:F208)&gt;0)*ROW($F$11:F208),0)),
_xlpm.テスト内容数, COUNTA(INDIRECT("J"&amp;_xlpm.直近で観点が空でないセルの行番号):J208),
_xlpm.テスト内容数_空なら1, IF(_xlpm.テスト内容数=0,1,_xlpm.テスト内容数),
_xlpm.詳細項目数&amp;"-"&amp;_xlpm.観点数&amp;"-"&amp;_xlpm.テスト内容数_空なら1
)</f>
        <v>74-12-1</v>
      </c>
      <c r="B208" s="143"/>
      <c r="C208" s="144"/>
      <c r="D208" s="143"/>
      <c r="E208" s="146"/>
      <c r="F208" s="124" t="s">
        <v>369</v>
      </c>
      <c r="G208" s="84" t="s">
        <v>509</v>
      </c>
      <c r="H208" s="112"/>
      <c r="I208" s="112"/>
      <c r="J208" s="125"/>
      <c r="K208" s="125"/>
      <c r="L208" s="112"/>
      <c r="M208" s="112"/>
      <c r="N208" s="112"/>
      <c r="O208" s="112"/>
      <c r="P208" s="112"/>
      <c r="Q208" s="123"/>
      <c r="R208" s="125"/>
    </row>
    <row r="209" spans="1:18" ht="22">
      <c r="A209" s="74" t="str" cm="1">
        <f t="array" aca="1" ref="A209" ca="1">_xlfn.LET(
_xlpm.詳細項目数, COUNTA($E$11:E209),
_xlpm.直近で詳細項目が空でないセルの行番号, MAX(INDEX((LEN($E$11:E209)&gt;0)*ROW($E$11:E209),0)),
_xlpm.観点数, COUNTA(INDIRECT("F"&amp;_xlpm.直近で詳細項目が空でないセルの行番号):F209),
_xlpm.直近で観点が空でないセルの行番号, MAX(INDEX((LEN($F$11:F209)&gt;0)*ROW($F$11:F209),0)),
_xlpm.テスト内容数, COUNTA(INDIRECT("J"&amp;_xlpm.直近で観点が空でないセルの行番号):J209),
_xlpm.テスト内容数_空なら1, IF(_xlpm.テスト内容数=0,1,_xlpm.テスト内容数),
_xlpm.詳細項目数&amp;"-"&amp;_xlpm.観点数&amp;"-"&amp;_xlpm.テスト内容数_空なら1
)</f>
        <v>74-13-1</v>
      </c>
      <c r="B209" s="143"/>
      <c r="C209" s="144"/>
      <c r="D209" s="145"/>
      <c r="E209" s="147"/>
      <c r="F209" s="124" t="s">
        <v>370</v>
      </c>
      <c r="G209" s="84" t="s">
        <v>509</v>
      </c>
      <c r="H209" s="112"/>
      <c r="I209" s="112"/>
      <c r="J209" s="125"/>
      <c r="K209" s="125"/>
      <c r="L209" s="112"/>
      <c r="M209" s="112"/>
      <c r="N209" s="112"/>
      <c r="O209" s="112"/>
      <c r="P209" s="112"/>
      <c r="Q209" s="123"/>
      <c r="R209" s="125"/>
    </row>
    <row r="210" spans="1:18" ht="22">
      <c r="A210" s="74" t="str" cm="1">
        <f t="array" aca="1" ref="A210" ca="1">_xlfn.LET(
_xlpm.詳細項目数, COUNTA($E$11:E210),
_xlpm.直近で詳細項目が空でないセルの行番号, MAX(INDEX((LEN($E$11:E210)&gt;0)*ROW($E$11:E210),0)),
_xlpm.観点数, COUNTA(INDIRECT("F"&amp;_xlpm.直近で詳細項目が空でないセルの行番号):F210),
_xlpm.直近で観点が空でないセルの行番号, MAX(INDEX((LEN($F$11:F210)&gt;0)*ROW($F$11:F210),0)),
_xlpm.テスト内容数, COUNTA(INDIRECT("J"&amp;_xlpm.直近で観点が空でないセルの行番号):J210),
_xlpm.テスト内容数_空なら1, IF(_xlpm.テスト内容数=0,1,_xlpm.テスト内容数),
_xlpm.詳細項目数&amp;"-"&amp;_xlpm.観点数&amp;"-"&amp;_xlpm.テスト内容数_空なら1
)</f>
        <v>75-1-1</v>
      </c>
      <c r="B210" s="143"/>
      <c r="C210" s="144"/>
      <c r="D210" s="142" t="s">
        <v>490</v>
      </c>
      <c r="E210" s="148" t="s">
        <v>175</v>
      </c>
      <c r="F210" s="124" t="s">
        <v>372</v>
      </c>
      <c r="G210" s="84" t="s">
        <v>509</v>
      </c>
      <c r="H210" s="112"/>
      <c r="I210" s="112"/>
      <c r="J210" s="125"/>
      <c r="K210" s="125"/>
      <c r="L210" s="112"/>
      <c r="M210" s="112"/>
      <c r="N210" s="112"/>
      <c r="O210" s="112"/>
      <c r="P210" s="112"/>
      <c r="Q210" s="123"/>
      <c r="R210" s="125"/>
    </row>
    <row r="211" spans="1:18" ht="22">
      <c r="A211" s="74" t="str" cm="1">
        <f t="array" aca="1" ref="A211" ca="1">_xlfn.LET(
_xlpm.詳細項目数, COUNTA($E$11:E211),
_xlpm.直近で詳細項目が空でないセルの行番号, MAX(INDEX((LEN($E$11:E211)&gt;0)*ROW($E$11:E211),0)),
_xlpm.観点数, COUNTA(INDIRECT("F"&amp;_xlpm.直近で詳細項目が空でないセルの行番号):F211),
_xlpm.直近で観点が空でないセルの行番号, MAX(INDEX((LEN($F$11:F211)&gt;0)*ROW($F$11:F211),0)),
_xlpm.テスト内容数, COUNTA(INDIRECT("J"&amp;_xlpm.直近で観点が空でないセルの行番号):J211),
_xlpm.テスト内容数_空なら1, IF(_xlpm.テスト内容数=0,1,_xlpm.テスト内容数),
_xlpm.詳細項目数&amp;"-"&amp;_xlpm.観点数&amp;"-"&amp;_xlpm.テスト内容数_空なら1
)</f>
        <v>75-2-1</v>
      </c>
      <c r="B211" s="143"/>
      <c r="C211" s="144"/>
      <c r="D211" s="143"/>
      <c r="E211" s="146"/>
      <c r="F211" s="124" t="s">
        <v>373</v>
      </c>
      <c r="G211" s="84" t="s">
        <v>509</v>
      </c>
      <c r="H211" s="112"/>
      <c r="I211" s="112"/>
      <c r="J211" s="125"/>
      <c r="K211" s="125"/>
      <c r="L211" s="112"/>
      <c r="M211" s="112"/>
      <c r="N211" s="112"/>
      <c r="O211" s="112"/>
      <c r="P211" s="112"/>
      <c r="Q211" s="123"/>
      <c r="R211" s="125"/>
    </row>
    <row r="212" spans="1:18" ht="22">
      <c r="A212" s="74" t="str" cm="1">
        <f t="array" aca="1" ref="A212" ca="1">_xlfn.LET(
_xlpm.詳細項目数, COUNTA($E$11:E212),
_xlpm.直近で詳細項目が空でないセルの行番号, MAX(INDEX((LEN($E$11:E212)&gt;0)*ROW($E$11:E212),0)),
_xlpm.観点数, COUNTA(INDIRECT("F"&amp;_xlpm.直近で詳細項目が空でないセルの行番号):F212),
_xlpm.直近で観点が空でないセルの行番号, MAX(INDEX((LEN($F$11:F212)&gt;0)*ROW($F$11:F212),0)),
_xlpm.テスト内容数, COUNTA(INDIRECT("J"&amp;_xlpm.直近で観点が空でないセルの行番号):J212),
_xlpm.テスト内容数_空なら1, IF(_xlpm.テスト内容数=0,1,_xlpm.テスト内容数),
_xlpm.詳細項目数&amp;"-"&amp;_xlpm.観点数&amp;"-"&amp;_xlpm.テスト内容数_空なら1
)</f>
        <v>75-3-1</v>
      </c>
      <c r="B212" s="143"/>
      <c r="C212" s="144"/>
      <c r="D212" s="143"/>
      <c r="E212" s="146"/>
      <c r="F212" s="124" t="s">
        <v>374</v>
      </c>
      <c r="G212" s="84" t="s">
        <v>509</v>
      </c>
      <c r="H212" s="112"/>
      <c r="I212" s="112"/>
      <c r="J212" s="125"/>
      <c r="K212" s="125"/>
      <c r="L212" s="112"/>
      <c r="M212" s="112"/>
      <c r="N212" s="112"/>
      <c r="O212" s="112"/>
      <c r="P212" s="112"/>
      <c r="Q212" s="123"/>
      <c r="R212" s="125"/>
    </row>
    <row r="213" spans="1:18">
      <c r="A213" s="74" t="str" cm="1">
        <f t="array" aca="1" ref="A213" ca="1">_xlfn.LET(
_xlpm.詳細項目数, COUNTA($E$11:E213),
_xlpm.直近で詳細項目が空でないセルの行番号, MAX(INDEX((LEN($E$11:E213)&gt;0)*ROW($E$11:E213),0)),
_xlpm.観点数, COUNTA(INDIRECT("F"&amp;_xlpm.直近で詳細項目が空でないセルの行番号):F213),
_xlpm.直近で観点が空でないセルの行番号, MAX(INDEX((LEN($F$11:F213)&gt;0)*ROW($F$11:F213),0)),
_xlpm.テスト内容数, COUNTA(INDIRECT("J"&amp;_xlpm.直近で観点が空でないセルの行番号):J213),
_xlpm.テスト内容数_空なら1, IF(_xlpm.テスト内容数=0,1,_xlpm.テスト内容数),
_xlpm.詳細項目数&amp;"-"&amp;_xlpm.観点数&amp;"-"&amp;_xlpm.テスト内容数_空なら1
)</f>
        <v>75-4-1</v>
      </c>
      <c r="B213" s="143"/>
      <c r="C213" s="144"/>
      <c r="D213" s="143"/>
      <c r="E213" s="146"/>
      <c r="F213" s="124" t="s">
        <v>360</v>
      </c>
      <c r="G213" s="84" t="s">
        <v>509</v>
      </c>
      <c r="H213" s="112"/>
      <c r="I213" s="112"/>
      <c r="J213" s="125"/>
      <c r="K213" s="125"/>
      <c r="L213" s="112"/>
      <c r="M213" s="112"/>
      <c r="N213" s="112"/>
      <c r="O213" s="112"/>
      <c r="P213" s="112"/>
      <c r="Q213" s="123"/>
      <c r="R213" s="125"/>
    </row>
    <row r="214" spans="1:18" ht="22">
      <c r="A214" s="74" t="str" cm="1">
        <f t="array" aca="1" ref="A214" ca="1">_xlfn.LET(
_xlpm.詳細項目数, COUNTA($E$11:E214),
_xlpm.直近で詳細項目が空でないセルの行番号, MAX(INDEX((LEN($E$11:E214)&gt;0)*ROW($E$11:E214),0)),
_xlpm.観点数, COUNTA(INDIRECT("F"&amp;_xlpm.直近で詳細項目が空でないセルの行番号):F214),
_xlpm.直近で観点が空でないセルの行番号, MAX(INDEX((LEN($F$11:F214)&gt;0)*ROW($F$11:F214),0)),
_xlpm.テスト内容数, COUNTA(INDIRECT("J"&amp;_xlpm.直近で観点が空でないセルの行番号):J214),
_xlpm.テスト内容数_空なら1, IF(_xlpm.テスト内容数=0,1,_xlpm.テスト内容数),
_xlpm.詳細項目数&amp;"-"&amp;_xlpm.観点数&amp;"-"&amp;_xlpm.テスト内容数_空なら1
)</f>
        <v>75-5-1</v>
      </c>
      <c r="B214" s="143"/>
      <c r="C214" s="144"/>
      <c r="D214" s="143"/>
      <c r="E214" s="146"/>
      <c r="F214" s="124" t="s">
        <v>361</v>
      </c>
      <c r="G214" s="84" t="s">
        <v>509</v>
      </c>
      <c r="H214" s="112"/>
      <c r="I214" s="112"/>
      <c r="J214" s="125"/>
      <c r="K214" s="125"/>
      <c r="L214" s="112"/>
      <c r="M214" s="112"/>
      <c r="N214" s="112"/>
      <c r="O214" s="112"/>
      <c r="P214" s="112"/>
      <c r="Q214" s="123"/>
      <c r="R214" s="125"/>
    </row>
    <row r="215" spans="1:18" ht="44">
      <c r="A215" s="74" t="str" cm="1">
        <f t="array" aca="1" ref="A215" ca="1">_xlfn.LET(
_xlpm.詳細項目数, COUNTA($E$11:E215),
_xlpm.直近で詳細項目が空でないセルの行番号, MAX(INDEX((LEN($E$11:E215)&gt;0)*ROW($E$11:E215),0)),
_xlpm.観点数, COUNTA(INDIRECT("F"&amp;_xlpm.直近で詳細項目が空でないセルの行番号):F215),
_xlpm.直近で観点が空でないセルの行番号, MAX(INDEX((LEN($F$11:F215)&gt;0)*ROW($F$11:F215),0)),
_xlpm.テスト内容数, COUNTA(INDIRECT("J"&amp;_xlpm.直近で観点が空でないセルの行番号):J215),
_xlpm.テスト内容数_空なら1, IF(_xlpm.テスト内容数=0,1,_xlpm.テスト内容数),
_xlpm.詳細項目数&amp;"-"&amp;_xlpm.観点数&amp;"-"&amp;_xlpm.テスト内容数_空なら1
)</f>
        <v>75-6-1</v>
      </c>
      <c r="B215" s="143"/>
      <c r="C215" s="144"/>
      <c r="D215" s="143"/>
      <c r="E215" s="146"/>
      <c r="F215" s="124" t="s">
        <v>375</v>
      </c>
      <c r="G215" s="84" t="s">
        <v>509</v>
      </c>
      <c r="H215" s="112"/>
      <c r="I215" s="112"/>
      <c r="J215" s="125"/>
      <c r="K215" s="125"/>
      <c r="L215" s="112"/>
      <c r="M215" s="112"/>
      <c r="N215" s="112"/>
      <c r="O215" s="112"/>
      <c r="P215" s="112"/>
      <c r="Q215" s="123"/>
      <c r="R215" s="125"/>
    </row>
    <row r="216" spans="1:18" ht="33">
      <c r="A216" s="74" t="str" cm="1">
        <f t="array" aca="1" ref="A216" ca="1">_xlfn.LET(
_xlpm.詳細項目数, COUNTA($E$11:E216),
_xlpm.直近で詳細項目が空でないセルの行番号, MAX(INDEX((LEN($E$11:E216)&gt;0)*ROW($E$11:E216),0)),
_xlpm.観点数, COUNTA(INDIRECT("F"&amp;_xlpm.直近で詳細項目が空でないセルの行番号):F216),
_xlpm.直近で観点が空でないセルの行番号, MAX(INDEX((LEN($F$11:F216)&gt;0)*ROW($F$11:F216),0)),
_xlpm.テスト内容数, COUNTA(INDIRECT("J"&amp;_xlpm.直近で観点が空でないセルの行番号):J216),
_xlpm.テスト内容数_空なら1, IF(_xlpm.テスト内容数=0,1,_xlpm.テスト内容数),
_xlpm.詳細項目数&amp;"-"&amp;_xlpm.観点数&amp;"-"&amp;_xlpm.テスト内容数_空なら1
)</f>
        <v>75-7-1</v>
      </c>
      <c r="B216" s="143"/>
      <c r="C216" s="144"/>
      <c r="D216" s="143"/>
      <c r="E216" s="146"/>
      <c r="F216" s="124" t="s">
        <v>376</v>
      </c>
      <c r="G216" s="84" t="s">
        <v>509</v>
      </c>
      <c r="H216" s="112"/>
      <c r="I216" s="112"/>
      <c r="J216" s="125"/>
      <c r="K216" s="125"/>
      <c r="L216" s="112"/>
      <c r="M216" s="112"/>
      <c r="N216" s="112"/>
      <c r="O216" s="112"/>
      <c r="P216" s="112"/>
      <c r="Q216" s="123"/>
      <c r="R216" s="125"/>
    </row>
    <row r="217" spans="1:18" ht="33">
      <c r="A217" s="74" t="str" cm="1">
        <f t="array" aca="1" ref="A217" ca="1">_xlfn.LET(
_xlpm.詳細項目数, COUNTA($E$11:E217),
_xlpm.直近で詳細項目が空でないセルの行番号, MAX(INDEX((LEN($E$11:E217)&gt;0)*ROW($E$11:E217),0)),
_xlpm.観点数, COUNTA(INDIRECT("F"&amp;_xlpm.直近で詳細項目が空でないセルの行番号):F217),
_xlpm.直近で観点が空でないセルの行番号, MAX(INDEX((LEN($F$11:F217)&gt;0)*ROW($F$11:F217),0)),
_xlpm.テスト内容数, COUNTA(INDIRECT("J"&amp;_xlpm.直近で観点が空でないセルの行番号):J217),
_xlpm.テスト内容数_空なら1, IF(_xlpm.テスト内容数=0,1,_xlpm.テスト内容数),
_xlpm.詳細項目数&amp;"-"&amp;_xlpm.観点数&amp;"-"&amp;_xlpm.テスト内容数_空なら1
)</f>
        <v>75-8-1</v>
      </c>
      <c r="B217" s="143"/>
      <c r="C217" s="144"/>
      <c r="D217" s="143"/>
      <c r="E217" s="146"/>
      <c r="F217" s="124" t="s">
        <v>491</v>
      </c>
      <c r="G217" s="84" t="s">
        <v>509</v>
      </c>
      <c r="H217" s="112"/>
      <c r="I217" s="112"/>
      <c r="J217" s="125"/>
      <c r="K217" s="125"/>
      <c r="L217" s="112"/>
      <c r="M217" s="112"/>
      <c r="N217" s="112"/>
      <c r="O217" s="112"/>
      <c r="P217" s="112"/>
      <c r="Q217" s="123"/>
      <c r="R217" s="125"/>
    </row>
    <row r="218" spans="1:18" ht="44">
      <c r="A218" s="74" t="str" cm="1">
        <f t="array" aca="1" ref="A218" ca="1">_xlfn.LET(
_xlpm.詳細項目数, COUNTA($E$11:E218),
_xlpm.直近で詳細項目が空でないセルの行番号, MAX(INDEX((LEN($E$11:E218)&gt;0)*ROW($E$11:E218),0)),
_xlpm.観点数, COUNTA(INDIRECT("F"&amp;_xlpm.直近で詳細項目が空でないセルの行番号):F218),
_xlpm.直近で観点が空でないセルの行番号, MAX(INDEX((LEN($F$11:F218)&gt;0)*ROW($F$11:F218),0)),
_xlpm.テスト内容数, COUNTA(INDIRECT("J"&amp;_xlpm.直近で観点が空でないセルの行番号):J218),
_xlpm.テスト内容数_空なら1, IF(_xlpm.テスト内容数=0,1,_xlpm.テスト内容数),
_xlpm.詳細項目数&amp;"-"&amp;_xlpm.観点数&amp;"-"&amp;_xlpm.テスト内容数_空なら1
)</f>
        <v>75-9-1</v>
      </c>
      <c r="B218" s="143"/>
      <c r="C218" s="144"/>
      <c r="D218" s="143"/>
      <c r="E218" s="146"/>
      <c r="F218" s="124" t="s">
        <v>492</v>
      </c>
      <c r="G218" s="84" t="s">
        <v>509</v>
      </c>
      <c r="H218" s="112"/>
      <c r="I218" s="112"/>
      <c r="J218" s="125"/>
      <c r="K218" s="125"/>
      <c r="L218" s="112"/>
      <c r="M218" s="112"/>
      <c r="N218" s="112"/>
      <c r="O218" s="112"/>
      <c r="P218" s="112"/>
      <c r="Q218" s="123"/>
      <c r="R218" s="125"/>
    </row>
    <row r="219" spans="1:18" ht="33">
      <c r="A219" s="74" t="str" cm="1">
        <f t="array" aca="1" ref="A219" ca="1">_xlfn.LET(
_xlpm.詳細項目数, COUNTA($E$11:E219),
_xlpm.直近で詳細項目が空でないセルの行番号, MAX(INDEX((LEN($E$11:E219)&gt;0)*ROW($E$11:E219),0)),
_xlpm.観点数, COUNTA(INDIRECT("F"&amp;_xlpm.直近で詳細項目が空でないセルの行番号):F219),
_xlpm.直近で観点が空でないセルの行番号, MAX(INDEX((LEN($F$11:F219)&gt;0)*ROW($F$11:F219),0)),
_xlpm.テスト内容数, COUNTA(INDIRECT("J"&amp;_xlpm.直近で観点が空でないセルの行番号):J219),
_xlpm.テスト内容数_空なら1, IF(_xlpm.テスト内容数=0,1,_xlpm.テスト内容数),
_xlpm.詳細項目数&amp;"-"&amp;_xlpm.観点数&amp;"-"&amp;_xlpm.テスト内容数_空なら1
)</f>
        <v>75-10-1</v>
      </c>
      <c r="B219" s="143"/>
      <c r="C219" s="144"/>
      <c r="D219" s="143"/>
      <c r="E219" s="146"/>
      <c r="F219" s="124" t="s">
        <v>379</v>
      </c>
      <c r="G219" s="84" t="s">
        <v>509</v>
      </c>
      <c r="H219" s="112"/>
      <c r="I219" s="112"/>
      <c r="J219" s="125"/>
      <c r="K219" s="125"/>
      <c r="L219" s="112"/>
      <c r="M219" s="112"/>
      <c r="N219" s="112"/>
      <c r="O219" s="112"/>
      <c r="P219" s="112"/>
      <c r="Q219" s="123"/>
      <c r="R219" s="125"/>
    </row>
    <row r="220" spans="1:18" ht="33">
      <c r="A220" s="74" t="str" cm="1">
        <f t="array" aca="1" ref="A220" ca="1">_xlfn.LET(
_xlpm.詳細項目数, COUNTA($E$11:E220),
_xlpm.直近で詳細項目が空でないセルの行番号, MAX(INDEX((LEN($E$11:E220)&gt;0)*ROW($E$11:E220),0)),
_xlpm.観点数, COUNTA(INDIRECT("F"&amp;_xlpm.直近で詳細項目が空でないセルの行番号):F220),
_xlpm.直近で観点が空でないセルの行番号, MAX(INDEX((LEN($F$11:F220)&gt;0)*ROW($F$11:F220),0)),
_xlpm.テスト内容数, COUNTA(INDIRECT("J"&amp;_xlpm.直近で観点が空でないセルの行番号):J220),
_xlpm.テスト内容数_空なら1, IF(_xlpm.テスト内容数=0,1,_xlpm.テスト内容数),
_xlpm.詳細項目数&amp;"-"&amp;_xlpm.観点数&amp;"-"&amp;_xlpm.テスト内容数_空なら1
)</f>
        <v>75-11-1</v>
      </c>
      <c r="B220" s="143"/>
      <c r="C220" s="144"/>
      <c r="D220" s="143"/>
      <c r="E220" s="146"/>
      <c r="F220" s="124" t="s">
        <v>380</v>
      </c>
      <c r="G220" s="84" t="s">
        <v>509</v>
      </c>
      <c r="H220" s="112"/>
      <c r="I220" s="112"/>
      <c r="J220" s="125"/>
      <c r="K220" s="125"/>
      <c r="L220" s="112"/>
      <c r="M220" s="112"/>
      <c r="N220" s="112"/>
      <c r="O220" s="112"/>
      <c r="P220" s="112"/>
      <c r="Q220" s="123"/>
      <c r="R220" s="125"/>
    </row>
    <row r="221" spans="1:18" ht="22">
      <c r="A221" s="74" t="str" cm="1">
        <f t="array" aca="1" ref="A221" ca="1">_xlfn.LET(
_xlpm.詳細項目数, COUNTA($E$11:E221),
_xlpm.直近で詳細項目が空でないセルの行番号, MAX(INDEX((LEN($E$11:E221)&gt;0)*ROW($E$11:E221),0)),
_xlpm.観点数, COUNTA(INDIRECT("F"&amp;_xlpm.直近で詳細項目が空でないセルの行番号):F221),
_xlpm.直近で観点が空でないセルの行番号, MAX(INDEX((LEN($F$11:F221)&gt;0)*ROW($F$11:F221),0)),
_xlpm.テスト内容数, COUNTA(INDIRECT("J"&amp;_xlpm.直近で観点が空でないセルの行番号):J221),
_xlpm.テスト内容数_空なら1, IF(_xlpm.テスト内容数=0,1,_xlpm.テスト内容数),
_xlpm.詳細項目数&amp;"-"&amp;_xlpm.観点数&amp;"-"&amp;_xlpm.テスト内容数_空なら1
)</f>
        <v>75-12-1</v>
      </c>
      <c r="B221" s="143"/>
      <c r="C221" s="144"/>
      <c r="D221" s="143"/>
      <c r="E221" s="146"/>
      <c r="F221" s="124" t="s">
        <v>381</v>
      </c>
      <c r="G221" s="84" t="s">
        <v>509</v>
      </c>
      <c r="H221" s="112"/>
      <c r="I221" s="112"/>
      <c r="J221" s="125"/>
      <c r="K221" s="125"/>
      <c r="L221" s="112"/>
      <c r="M221" s="112"/>
      <c r="N221" s="112"/>
      <c r="O221" s="112"/>
      <c r="P221" s="112"/>
      <c r="Q221" s="123"/>
      <c r="R221" s="125"/>
    </row>
    <row r="222" spans="1:18" ht="22">
      <c r="A222" s="74" t="str" cm="1">
        <f t="array" aca="1" ref="A222" ca="1">_xlfn.LET(
_xlpm.詳細項目数, COUNTA($E$11:E222),
_xlpm.直近で詳細項目が空でないセルの行番号, MAX(INDEX((LEN($E$11:E222)&gt;0)*ROW($E$11:E222),0)),
_xlpm.観点数, COUNTA(INDIRECT("F"&amp;_xlpm.直近で詳細項目が空でないセルの行番号):F222),
_xlpm.直近で観点が空でないセルの行番号, MAX(INDEX((LEN($F$11:F222)&gt;0)*ROW($F$11:F222),0)),
_xlpm.テスト内容数, COUNTA(INDIRECT("J"&amp;_xlpm.直近で観点が空でないセルの行番号):J222),
_xlpm.テスト内容数_空なら1, IF(_xlpm.テスト内容数=0,1,_xlpm.テスト内容数),
_xlpm.詳細項目数&amp;"-"&amp;_xlpm.観点数&amp;"-"&amp;_xlpm.テスト内容数_空なら1
)</f>
        <v>75-13-1</v>
      </c>
      <c r="B222" s="143"/>
      <c r="C222" s="144"/>
      <c r="D222" s="143"/>
      <c r="E222" s="146"/>
      <c r="F222" s="124" t="s">
        <v>382</v>
      </c>
      <c r="G222" s="84" t="s">
        <v>509</v>
      </c>
      <c r="H222" s="112"/>
      <c r="I222" s="112"/>
      <c r="J222" s="125"/>
      <c r="K222" s="125"/>
      <c r="L222" s="112"/>
      <c r="M222" s="112"/>
      <c r="N222" s="112"/>
      <c r="O222" s="112"/>
      <c r="P222" s="112"/>
      <c r="Q222" s="123"/>
      <c r="R222" s="125"/>
    </row>
    <row r="223" spans="1:18" ht="33">
      <c r="A223" s="74" t="str" cm="1">
        <f t="array" aca="1" ref="A223" ca="1">_xlfn.LET(
_xlpm.詳細項目数, COUNTA($E$11:E223),
_xlpm.直近で詳細項目が空でないセルの行番号, MAX(INDEX((LEN($E$11:E223)&gt;0)*ROW($E$11:E223),0)),
_xlpm.観点数, COUNTA(INDIRECT("F"&amp;_xlpm.直近で詳細項目が空でないセルの行番号):F223),
_xlpm.直近で観点が空でないセルの行番号, MAX(INDEX((LEN($F$11:F223)&gt;0)*ROW($F$11:F223),0)),
_xlpm.テスト内容数, COUNTA(INDIRECT("J"&amp;_xlpm.直近で観点が空でないセルの行番号):J223),
_xlpm.テスト内容数_空なら1, IF(_xlpm.テスト内容数=0,1,_xlpm.テスト内容数),
_xlpm.詳細項目数&amp;"-"&amp;_xlpm.観点数&amp;"-"&amp;_xlpm.テスト内容数_空なら1
)</f>
        <v>75-14-1</v>
      </c>
      <c r="B223" s="143"/>
      <c r="C223" s="144"/>
      <c r="D223" s="143"/>
      <c r="E223" s="146"/>
      <c r="F223" s="124" t="s">
        <v>383</v>
      </c>
      <c r="G223" s="84" t="s">
        <v>509</v>
      </c>
      <c r="H223" s="112"/>
      <c r="I223" s="112"/>
      <c r="J223" s="125"/>
      <c r="K223" s="125"/>
      <c r="L223" s="112"/>
      <c r="M223" s="112"/>
      <c r="N223" s="112"/>
      <c r="O223" s="112"/>
      <c r="P223" s="112"/>
      <c r="Q223" s="123"/>
      <c r="R223" s="125"/>
    </row>
    <row r="224" spans="1:18" ht="22">
      <c r="A224" s="74" t="str" cm="1">
        <f t="array" aca="1" ref="A224" ca="1">_xlfn.LET(
_xlpm.詳細項目数, COUNTA($E$11:E224),
_xlpm.直近で詳細項目が空でないセルの行番号, MAX(INDEX((LEN($E$11:E224)&gt;0)*ROW($E$11:E224),0)),
_xlpm.観点数, COUNTA(INDIRECT("F"&amp;_xlpm.直近で詳細項目が空でないセルの行番号):F224),
_xlpm.直近で観点が空でないセルの行番号, MAX(INDEX((LEN($F$11:F224)&gt;0)*ROW($F$11:F224),0)),
_xlpm.テスト内容数, COUNTA(INDIRECT("J"&amp;_xlpm.直近で観点が空でないセルの行番号):J224),
_xlpm.テスト内容数_空なら1, IF(_xlpm.テスト内容数=0,1,_xlpm.テスト内容数),
_xlpm.詳細項目数&amp;"-"&amp;_xlpm.観点数&amp;"-"&amp;_xlpm.テスト内容数_空なら1
)</f>
        <v>75-15-1</v>
      </c>
      <c r="B224" s="143"/>
      <c r="C224" s="144"/>
      <c r="D224" s="143"/>
      <c r="E224" s="145"/>
      <c r="F224" s="124" t="s">
        <v>370</v>
      </c>
      <c r="G224" s="84" t="s">
        <v>509</v>
      </c>
      <c r="H224" s="112"/>
      <c r="I224" s="112"/>
      <c r="J224" s="125"/>
      <c r="K224" s="125"/>
      <c r="L224" s="112"/>
      <c r="M224" s="112"/>
      <c r="N224" s="112"/>
      <c r="O224" s="112"/>
      <c r="P224" s="112"/>
      <c r="Q224" s="123"/>
      <c r="R224" s="125"/>
    </row>
    <row r="225" spans="1:18" ht="44">
      <c r="A225" s="74" t="str" cm="1">
        <f t="array" aca="1" ref="A225" ca="1">_xlfn.LET(
_xlpm.詳細項目数, COUNTA($E$11:E225),
_xlpm.直近で詳細項目が空でないセルの行番号, MAX(INDEX((LEN($E$11:E225)&gt;0)*ROW($E$11:E225),0)),
_xlpm.観点数, COUNTA(INDIRECT("F"&amp;_xlpm.直近で詳細項目が空でないセルの行番号):F225),
_xlpm.直近で観点が空でないセルの行番号, MAX(INDEX((LEN($F$11:F225)&gt;0)*ROW($F$11:F225),0)),
_xlpm.テスト内容数, COUNTA(INDIRECT("J"&amp;_xlpm.直近で観点が空でないセルの行番号):J225),
_xlpm.テスト内容数_空なら1, IF(_xlpm.テスト内容数=0,1,_xlpm.テスト内容数),
_xlpm.詳細項目数&amp;"-"&amp;_xlpm.観点数&amp;"-"&amp;_xlpm.テスト内容数_空なら1
)</f>
        <v>76-1-1</v>
      </c>
      <c r="B225" s="143"/>
      <c r="C225" s="144"/>
      <c r="D225" s="143"/>
      <c r="E225" s="146" t="s">
        <v>384</v>
      </c>
      <c r="F225" s="124" t="s">
        <v>385</v>
      </c>
      <c r="G225" s="84" t="s">
        <v>509</v>
      </c>
      <c r="H225" s="112"/>
      <c r="I225" s="112"/>
      <c r="J225" s="125"/>
      <c r="K225" s="125"/>
      <c r="L225" s="112"/>
      <c r="M225" s="112"/>
      <c r="N225" s="112"/>
      <c r="O225" s="112"/>
      <c r="P225" s="112"/>
      <c r="Q225" s="123"/>
      <c r="R225" s="125"/>
    </row>
    <row r="226" spans="1:18" ht="44">
      <c r="A226" s="74" t="str" cm="1">
        <f t="array" aca="1" ref="A226" ca="1">_xlfn.LET(
_xlpm.詳細項目数, COUNTA($E$11:E226),
_xlpm.直近で詳細項目が空でないセルの行番号, MAX(INDEX((LEN($E$11:E226)&gt;0)*ROW($E$11:E226),0)),
_xlpm.観点数, COUNTA(INDIRECT("F"&amp;_xlpm.直近で詳細項目が空でないセルの行番号):F226),
_xlpm.直近で観点が空でないセルの行番号, MAX(INDEX((LEN($F$11:F226)&gt;0)*ROW($F$11:F226),0)),
_xlpm.テスト内容数, COUNTA(INDIRECT("J"&amp;_xlpm.直近で観点が空でないセルの行番号):J226),
_xlpm.テスト内容数_空なら1, IF(_xlpm.テスト内容数=0,1,_xlpm.テスト内容数),
_xlpm.詳細項目数&amp;"-"&amp;_xlpm.観点数&amp;"-"&amp;_xlpm.テスト内容数_空なら1
)</f>
        <v>76-2-1</v>
      </c>
      <c r="B226" s="143"/>
      <c r="C226" s="144"/>
      <c r="D226" s="143"/>
      <c r="E226" s="146"/>
      <c r="F226" s="124" t="s">
        <v>386</v>
      </c>
      <c r="G226" s="84" t="s">
        <v>509</v>
      </c>
      <c r="H226" s="112"/>
      <c r="I226" s="112"/>
      <c r="J226" s="125"/>
      <c r="K226" s="125"/>
      <c r="L226" s="112"/>
      <c r="M226" s="112"/>
      <c r="N226" s="112"/>
      <c r="O226" s="112"/>
      <c r="P226" s="112"/>
      <c r="Q226" s="123"/>
      <c r="R226" s="125"/>
    </row>
    <row r="227" spans="1:18" ht="33">
      <c r="A227" s="74" t="str" cm="1">
        <f t="array" aca="1" ref="A227" ca="1">_xlfn.LET(
_xlpm.詳細項目数, COUNTA($E$11:E227),
_xlpm.直近で詳細項目が空でないセルの行番号, MAX(INDEX((LEN($E$11:E227)&gt;0)*ROW($E$11:E227),0)),
_xlpm.観点数, COUNTA(INDIRECT("F"&amp;_xlpm.直近で詳細項目が空でないセルの行番号):F227),
_xlpm.直近で観点が空でないセルの行番号, MAX(INDEX((LEN($F$11:F227)&gt;0)*ROW($F$11:F227),0)),
_xlpm.テスト内容数, COUNTA(INDIRECT("J"&amp;_xlpm.直近で観点が空でないセルの行番号):J227),
_xlpm.テスト内容数_空なら1, IF(_xlpm.テスト内容数=0,1,_xlpm.テスト内容数),
_xlpm.詳細項目数&amp;"-"&amp;_xlpm.観点数&amp;"-"&amp;_xlpm.テスト内容数_空なら1
)</f>
        <v>76-3-1</v>
      </c>
      <c r="B227" s="143"/>
      <c r="C227" s="144"/>
      <c r="D227" s="143"/>
      <c r="E227" s="145"/>
      <c r="F227" s="124" t="s">
        <v>387</v>
      </c>
      <c r="G227" s="84" t="s">
        <v>509</v>
      </c>
      <c r="H227" s="112"/>
      <c r="I227" s="112"/>
      <c r="J227" s="125"/>
      <c r="K227" s="125"/>
      <c r="L227" s="112"/>
      <c r="M227" s="112"/>
      <c r="N227" s="112"/>
      <c r="O227" s="112"/>
      <c r="P227" s="112"/>
      <c r="Q227" s="123"/>
      <c r="R227" s="125"/>
    </row>
    <row r="228" spans="1:18" ht="33">
      <c r="A228" s="74" t="str" cm="1">
        <f t="array" aca="1" ref="A228" ca="1">_xlfn.LET(
_xlpm.詳細項目数, COUNTA($E$11:E228),
_xlpm.直近で詳細項目が空でないセルの行番号, MAX(INDEX((LEN($E$11:E228)&gt;0)*ROW($E$11:E228),0)),
_xlpm.観点数, COUNTA(INDIRECT("F"&amp;_xlpm.直近で詳細項目が空でないセルの行番号):F228),
_xlpm.直近で観点が空でないセルの行番号, MAX(INDEX((LEN($F$11:F228)&gt;0)*ROW($F$11:F228),0)),
_xlpm.テスト内容数, COUNTA(INDIRECT("J"&amp;_xlpm.直近で観点が空でないセルの行番号):J228),
_xlpm.テスト内容数_空なら1, IF(_xlpm.テスト内容数=0,1,_xlpm.テスト内容数),
_xlpm.詳細項目数&amp;"-"&amp;_xlpm.観点数&amp;"-"&amp;_xlpm.テスト内容数_空なら1
)</f>
        <v>77-1-1</v>
      </c>
      <c r="B228" s="143"/>
      <c r="C228" s="144"/>
      <c r="D228" s="143"/>
      <c r="E228" s="124" t="s">
        <v>200</v>
      </c>
      <c r="F228" s="124" t="s">
        <v>493</v>
      </c>
      <c r="G228" s="84" t="s">
        <v>509</v>
      </c>
      <c r="H228" s="112"/>
      <c r="I228" s="112"/>
      <c r="J228" s="125"/>
      <c r="K228" s="125"/>
      <c r="L228" s="112"/>
      <c r="M228" s="112"/>
      <c r="N228" s="112"/>
      <c r="O228" s="112"/>
      <c r="P228" s="112"/>
      <c r="Q228" s="123"/>
      <c r="R228" s="125"/>
    </row>
    <row r="229" spans="1:18" ht="22">
      <c r="A229" s="74" t="str" cm="1">
        <f t="array" aca="1" ref="A229" ca="1">_xlfn.LET(
_xlpm.詳細項目数, COUNTA($E$11:E229),
_xlpm.直近で詳細項目が空でないセルの行番号, MAX(INDEX((LEN($E$11:E229)&gt;0)*ROW($E$11:E229),0)),
_xlpm.観点数, COUNTA(INDIRECT("F"&amp;_xlpm.直近で詳細項目が空でないセルの行番号):F229),
_xlpm.直近で観点が空でないセルの行番号, MAX(INDEX((LEN($F$11:F229)&gt;0)*ROW($F$11:F229),0)),
_xlpm.テスト内容数, COUNTA(INDIRECT("J"&amp;_xlpm.直近で観点が空でないセルの行番号):J229),
_xlpm.テスト内容数_空なら1, IF(_xlpm.テスト内容数=0,1,_xlpm.テスト内容数),
_xlpm.詳細項目数&amp;"-"&amp;_xlpm.観点数&amp;"-"&amp;_xlpm.テスト内容数_空なら1
)</f>
        <v>78-1-1</v>
      </c>
      <c r="B229" s="145"/>
      <c r="C229" s="145"/>
      <c r="D229" s="145"/>
      <c r="E229" s="159" t="s">
        <v>389</v>
      </c>
      <c r="F229" s="124" t="s">
        <v>390</v>
      </c>
      <c r="G229" s="84" t="s">
        <v>509</v>
      </c>
      <c r="H229" s="112"/>
      <c r="I229" s="112"/>
      <c r="J229" s="125"/>
      <c r="K229" s="125"/>
      <c r="L229" s="112"/>
      <c r="M229" s="112"/>
      <c r="N229" s="112"/>
      <c r="O229" s="112"/>
      <c r="P229" s="112"/>
      <c r="Q229" s="123"/>
      <c r="R229" s="125"/>
    </row>
    <row r="230" spans="1:18" ht="22">
      <c r="A230" s="74" t="str" cm="1">
        <f t="array" aca="1" ref="A230" ca="1">_xlfn.LET(
_xlpm.詳細項目数, COUNTA($E$11:E230),
_xlpm.直近で詳細項目が空でないセルの行番号, MAX(INDEX((LEN($E$11:E230)&gt;0)*ROW($E$11:E230),0)),
_xlpm.観点数, COUNTA(INDIRECT("F"&amp;_xlpm.直近で詳細項目が空でないセルの行番号):F230),
_xlpm.直近で観点が空でないセルの行番号, MAX(INDEX((LEN($F$11:F230)&gt;0)*ROW($F$11:F230),0)),
_xlpm.テスト内容数, COUNTA(INDIRECT("J"&amp;_xlpm.直近で観点が空でないセルの行番号):J230),
_xlpm.テスト内容数_空なら1, IF(_xlpm.テスト内容数=0,1,_xlpm.テスト内容数),
_xlpm.詳細項目数&amp;"-"&amp;_xlpm.観点数&amp;"-"&amp;_xlpm.テスト内容数_空なら1
)</f>
        <v>79-1-1</v>
      </c>
      <c r="B230" s="142" t="s">
        <v>391</v>
      </c>
      <c r="C230" s="142" t="s">
        <v>242</v>
      </c>
      <c r="D230" s="142" t="s">
        <v>467</v>
      </c>
      <c r="E230" s="124" t="s">
        <v>467</v>
      </c>
      <c r="F230" s="124" t="s">
        <v>392</v>
      </c>
      <c r="G230" s="125" t="s">
        <v>510</v>
      </c>
      <c r="H230" s="112"/>
      <c r="I230" s="112"/>
      <c r="J230" s="125"/>
      <c r="K230" s="125"/>
      <c r="L230" s="112"/>
      <c r="M230" s="112"/>
      <c r="N230" s="112"/>
      <c r="O230" s="112"/>
      <c r="P230" s="112"/>
      <c r="Q230" s="123"/>
      <c r="R230" s="125"/>
    </row>
    <row r="231" spans="1:18" ht="22">
      <c r="A231" s="74" t="str" cm="1">
        <f t="array" aca="1" ref="A231" ca="1">_xlfn.LET(
_xlpm.詳細項目数, COUNTA($E$11:E231),
_xlpm.直近で詳細項目が空でないセルの行番号, MAX(INDEX((LEN($E$11:E231)&gt;0)*ROW($E$11:E231),0)),
_xlpm.観点数, COUNTA(INDIRECT("F"&amp;_xlpm.直近で詳細項目が空でないセルの行番号):F231),
_xlpm.直近で観点が空でないセルの行番号, MAX(INDEX((LEN($F$11:F231)&gt;0)*ROW($F$11:F231),0)),
_xlpm.テスト内容数, COUNTA(INDIRECT("J"&amp;_xlpm.直近で観点が空でないセルの行番号):J231),
_xlpm.テスト内容数_空なら1, IF(_xlpm.テスト内容数=0,1,_xlpm.テスト内容数),
_xlpm.詳細項目数&amp;"-"&amp;_xlpm.観点数&amp;"-"&amp;_xlpm.テスト内容数_空なら1
)</f>
        <v>80-1-1</v>
      </c>
      <c r="B231" s="143"/>
      <c r="C231" s="143"/>
      <c r="D231" s="143"/>
      <c r="E231" s="146" t="s">
        <v>186</v>
      </c>
      <c r="F231" s="124" t="s">
        <v>393</v>
      </c>
      <c r="G231" s="125" t="s">
        <v>510</v>
      </c>
      <c r="H231" s="112"/>
      <c r="I231" s="112"/>
      <c r="J231" s="125"/>
      <c r="K231" s="125"/>
      <c r="L231" s="112"/>
      <c r="M231" s="112"/>
      <c r="N231" s="112"/>
      <c r="O231" s="112"/>
      <c r="P231" s="112"/>
      <c r="Q231" s="123"/>
      <c r="R231" s="125"/>
    </row>
    <row r="232" spans="1:18" ht="22">
      <c r="A232" s="74" t="str" cm="1">
        <f t="array" aca="1" ref="A232" ca="1">_xlfn.LET(
_xlpm.詳細項目数, COUNTA($E$11:E232),
_xlpm.直近で詳細項目が空でないセルの行番号, MAX(INDEX((LEN($E$11:E232)&gt;0)*ROW($E$11:E232),0)),
_xlpm.観点数, COUNTA(INDIRECT("F"&amp;_xlpm.直近で詳細項目が空でないセルの行番号):F232),
_xlpm.直近で観点が空でないセルの行番号, MAX(INDEX((LEN($F$11:F232)&gt;0)*ROW($F$11:F232),0)),
_xlpm.テスト内容数, COUNTA(INDIRECT("J"&amp;_xlpm.直近で観点が空でないセルの行番号):J232),
_xlpm.テスト内容数_空なら1, IF(_xlpm.テスト内容数=0,1,_xlpm.テスト内容数),
_xlpm.詳細項目数&amp;"-"&amp;_xlpm.観点数&amp;"-"&amp;_xlpm.テスト内容数_空なら1
)</f>
        <v>80-2-1</v>
      </c>
      <c r="B232" s="143"/>
      <c r="C232" s="143"/>
      <c r="D232" s="143"/>
      <c r="E232" s="146"/>
      <c r="F232" s="124" t="s">
        <v>394</v>
      </c>
      <c r="G232" s="125" t="s">
        <v>510</v>
      </c>
      <c r="H232" s="112"/>
      <c r="I232" s="112"/>
      <c r="J232" s="125"/>
      <c r="K232" s="125"/>
      <c r="L232" s="112"/>
      <c r="M232" s="112"/>
      <c r="N232" s="112"/>
      <c r="O232" s="112"/>
      <c r="P232" s="112"/>
      <c r="Q232" s="123"/>
      <c r="R232" s="125"/>
    </row>
    <row r="233" spans="1:18" ht="22">
      <c r="A233" s="74" t="str" cm="1">
        <f t="array" aca="1" ref="A233" ca="1">_xlfn.LET(
_xlpm.詳細項目数, COUNTA($E$11:E233),
_xlpm.直近で詳細項目が空でないセルの行番号, MAX(INDEX((LEN($E$11:E233)&gt;0)*ROW($E$11:E233),0)),
_xlpm.観点数, COUNTA(INDIRECT("F"&amp;_xlpm.直近で詳細項目が空でないセルの行番号):F233),
_xlpm.直近で観点が空でないセルの行番号, MAX(INDEX((LEN($F$11:F233)&gt;0)*ROW($F$11:F233),0)),
_xlpm.テスト内容数, COUNTA(INDIRECT("J"&amp;_xlpm.直近で観点が空でないセルの行番号):J233),
_xlpm.テスト内容数_空なら1, IF(_xlpm.テスト内容数=0,1,_xlpm.テスト内容数),
_xlpm.詳細項目数&amp;"-"&amp;_xlpm.観点数&amp;"-"&amp;_xlpm.テスト内容数_空なら1
)</f>
        <v>80-3-1</v>
      </c>
      <c r="B233" s="143"/>
      <c r="C233" s="143"/>
      <c r="D233" s="143"/>
      <c r="E233" s="146"/>
      <c r="F233" s="124" t="s">
        <v>395</v>
      </c>
      <c r="G233" s="125" t="s">
        <v>510</v>
      </c>
      <c r="H233" s="112"/>
      <c r="I233" s="112"/>
      <c r="J233" s="125"/>
      <c r="K233" s="125"/>
      <c r="L233" s="112"/>
      <c r="M233" s="112"/>
      <c r="N233" s="112"/>
      <c r="O233" s="112"/>
      <c r="P233" s="112"/>
      <c r="Q233" s="123"/>
      <c r="R233" s="125"/>
    </row>
    <row r="234" spans="1:18" ht="22">
      <c r="A234" s="74" t="str" cm="1">
        <f t="array" aca="1" ref="A234" ca="1">_xlfn.LET(
_xlpm.詳細項目数, COUNTA($E$11:E234),
_xlpm.直近で詳細項目が空でないセルの行番号, MAX(INDEX((LEN($E$11:E234)&gt;0)*ROW($E$11:E234),0)),
_xlpm.観点数, COUNTA(INDIRECT("F"&amp;_xlpm.直近で詳細項目が空でないセルの行番号):F234),
_xlpm.直近で観点が空でないセルの行番号, MAX(INDEX((LEN($F$11:F234)&gt;0)*ROW($F$11:F234),0)),
_xlpm.テスト内容数, COUNTA(INDIRECT("J"&amp;_xlpm.直近で観点が空でないセルの行番号):J234),
_xlpm.テスト内容数_空なら1, IF(_xlpm.テスト内容数=0,1,_xlpm.テスト内容数),
_xlpm.詳細項目数&amp;"-"&amp;_xlpm.観点数&amp;"-"&amp;_xlpm.テスト内容数_空なら1
)</f>
        <v>80-4-1</v>
      </c>
      <c r="B234" s="143"/>
      <c r="C234" s="143"/>
      <c r="D234" s="143"/>
      <c r="E234" s="146"/>
      <c r="F234" s="124" t="s">
        <v>396</v>
      </c>
      <c r="G234" s="125" t="s">
        <v>510</v>
      </c>
      <c r="H234" s="112"/>
      <c r="I234" s="112"/>
      <c r="J234" s="125"/>
      <c r="K234" s="125"/>
      <c r="L234" s="112"/>
      <c r="M234" s="112"/>
      <c r="N234" s="112"/>
      <c r="O234" s="112"/>
      <c r="P234" s="112"/>
      <c r="Q234" s="123"/>
      <c r="R234" s="125"/>
    </row>
    <row r="235" spans="1:18" ht="33">
      <c r="A235" s="74" t="str" cm="1">
        <f t="array" aca="1" ref="A235" ca="1">_xlfn.LET(
_xlpm.詳細項目数, COUNTA($E$11:E235),
_xlpm.直近で詳細項目が空でないセルの行番号, MAX(INDEX((LEN($E$11:E235)&gt;0)*ROW($E$11:E235),0)),
_xlpm.観点数, COUNTA(INDIRECT("F"&amp;_xlpm.直近で詳細項目が空でないセルの行番号):F235),
_xlpm.直近で観点が空でないセルの行番号, MAX(INDEX((LEN($F$11:F235)&gt;0)*ROW($F$11:F235),0)),
_xlpm.テスト内容数, COUNTA(INDIRECT("J"&amp;_xlpm.直近で観点が空でないセルの行番号):J235),
_xlpm.テスト内容数_空なら1, IF(_xlpm.テスト内容数=0,1,_xlpm.テスト内容数),
_xlpm.詳細項目数&amp;"-"&amp;_xlpm.観点数&amp;"-"&amp;_xlpm.テスト内容数_空なら1
)</f>
        <v>80-5-1</v>
      </c>
      <c r="B235" s="143"/>
      <c r="C235" s="143"/>
      <c r="D235" s="143"/>
      <c r="E235" s="145"/>
      <c r="F235" s="124" t="s">
        <v>397</v>
      </c>
      <c r="G235" s="125" t="s">
        <v>510</v>
      </c>
      <c r="H235" s="112"/>
      <c r="I235" s="112"/>
      <c r="J235" s="125"/>
      <c r="K235" s="125"/>
      <c r="L235" s="112"/>
      <c r="M235" s="112"/>
      <c r="N235" s="112"/>
      <c r="O235" s="112"/>
      <c r="P235" s="112"/>
      <c r="Q235" s="123"/>
      <c r="R235" s="125"/>
    </row>
    <row r="236" spans="1:18" ht="33">
      <c r="A236" s="74" t="str" cm="1">
        <f t="array" aca="1" ref="A236" ca="1">_xlfn.LET(
_xlpm.詳細項目数, COUNTA($E$11:E236),
_xlpm.直近で詳細項目が空でないセルの行番号, MAX(INDEX((LEN($E$11:E236)&gt;0)*ROW($E$11:E236),0)),
_xlpm.観点数, COUNTA(INDIRECT("F"&amp;_xlpm.直近で詳細項目が空でないセルの行番号):F236),
_xlpm.直近で観点が空でないセルの行番号, MAX(INDEX((LEN($F$11:F236)&gt;0)*ROW($F$11:F236),0)),
_xlpm.テスト内容数, COUNTA(INDIRECT("J"&amp;_xlpm.直近で観点が空でないセルの行番号):J236),
_xlpm.テスト内容数_空なら1, IF(_xlpm.テスト内容数=0,1,_xlpm.テスト内容数),
_xlpm.詳細項目数&amp;"-"&amp;_xlpm.観点数&amp;"-"&amp;_xlpm.テスト内容数_空なら1
)</f>
        <v>81-1-1</v>
      </c>
      <c r="B236" s="143"/>
      <c r="C236" s="143"/>
      <c r="D236" s="143"/>
      <c r="E236" s="146" t="s">
        <v>253</v>
      </c>
      <c r="F236" s="124" t="s">
        <v>398</v>
      </c>
      <c r="G236" s="125" t="s">
        <v>510</v>
      </c>
      <c r="H236" s="112"/>
      <c r="I236" s="112"/>
      <c r="J236" s="125"/>
      <c r="K236" s="125"/>
      <c r="L236" s="112"/>
      <c r="M236" s="112"/>
      <c r="N236" s="112"/>
      <c r="O236" s="112"/>
      <c r="P236" s="112"/>
      <c r="Q236" s="123"/>
      <c r="R236" s="125"/>
    </row>
    <row r="237" spans="1:18" ht="33">
      <c r="A237" s="74" t="str" cm="1">
        <f t="array" aca="1" ref="A237" ca="1">_xlfn.LET(
_xlpm.詳細項目数, COUNTA($E$11:E237),
_xlpm.直近で詳細項目が空でないセルの行番号, MAX(INDEX((LEN($E$11:E237)&gt;0)*ROW($E$11:E237),0)),
_xlpm.観点数, COUNTA(INDIRECT("F"&amp;_xlpm.直近で詳細項目が空でないセルの行番号):F237),
_xlpm.直近で観点が空でないセルの行番号, MAX(INDEX((LEN($F$11:F237)&gt;0)*ROW($F$11:F237),0)),
_xlpm.テスト内容数, COUNTA(INDIRECT("J"&amp;_xlpm.直近で観点が空でないセルの行番号):J237),
_xlpm.テスト内容数_空なら1, IF(_xlpm.テスト内容数=0,1,_xlpm.テスト内容数),
_xlpm.詳細項目数&amp;"-"&amp;_xlpm.観点数&amp;"-"&amp;_xlpm.テスト内容数_空なら1
)</f>
        <v>81-2-1</v>
      </c>
      <c r="B237" s="143"/>
      <c r="C237" s="143"/>
      <c r="D237" s="143"/>
      <c r="E237" s="146"/>
      <c r="F237" s="124" t="s">
        <v>399</v>
      </c>
      <c r="G237" s="125" t="s">
        <v>510</v>
      </c>
      <c r="H237" s="112"/>
      <c r="I237" s="112"/>
      <c r="J237" s="125"/>
      <c r="K237" s="125"/>
      <c r="L237" s="112"/>
      <c r="M237" s="112"/>
      <c r="N237" s="112"/>
      <c r="O237" s="112"/>
      <c r="P237" s="112"/>
      <c r="Q237" s="123"/>
      <c r="R237" s="125"/>
    </row>
    <row r="238" spans="1:18" ht="44">
      <c r="A238" s="74" t="str" cm="1">
        <f t="array" aca="1" ref="A238" ca="1">_xlfn.LET(
_xlpm.詳細項目数, COUNTA($E$11:E238),
_xlpm.直近で詳細項目が空でないセルの行番号, MAX(INDEX((LEN($E$11:E238)&gt;0)*ROW($E$11:E238),0)),
_xlpm.観点数, COUNTA(INDIRECT("F"&amp;_xlpm.直近で詳細項目が空でないセルの行番号):F238),
_xlpm.直近で観点が空でないセルの行番号, MAX(INDEX((LEN($F$11:F238)&gt;0)*ROW($F$11:F238),0)),
_xlpm.テスト内容数, COUNTA(INDIRECT("J"&amp;_xlpm.直近で観点が空でないセルの行番号):J238),
_xlpm.テスト内容数_空なら1, IF(_xlpm.テスト内容数=0,1,_xlpm.テスト内容数),
_xlpm.詳細項目数&amp;"-"&amp;_xlpm.観点数&amp;"-"&amp;_xlpm.テスト内容数_空なら1
)</f>
        <v>81-3-1</v>
      </c>
      <c r="B238" s="143"/>
      <c r="C238" s="143"/>
      <c r="D238" s="143"/>
      <c r="E238" s="146"/>
      <c r="F238" s="124" t="s">
        <v>400</v>
      </c>
      <c r="G238" s="125" t="s">
        <v>510</v>
      </c>
      <c r="H238" s="112"/>
      <c r="I238" s="112"/>
      <c r="J238" s="125"/>
      <c r="K238" s="125"/>
      <c r="L238" s="112"/>
      <c r="M238" s="112"/>
      <c r="N238" s="112"/>
      <c r="O238" s="112"/>
      <c r="P238" s="112"/>
      <c r="Q238" s="123"/>
      <c r="R238" s="125"/>
    </row>
    <row r="239" spans="1:18" ht="44">
      <c r="A239" s="74" t="str" cm="1">
        <f t="array" aca="1" ref="A239" ca="1">_xlfn.LET(
_xlpm.詳細項目数, COUNTA($E$11:E239),
_xlpm.直近で詳細項目が空でないセルの行番号, MAX(INDEX((LEN($E$11:E239)&gt;0)*ROW($E$11:E239),0)),
_xlpm.観点数, COUNTA(INDIRECT("F"&amp;_xlpm.直近で詳細項目が空でないセルの行番号):F239),
_xlpm.直近で観点が空でないセルの行番号, MAX(INDEX((LEN($F$11:F239)&gt;0)*ROW($F$11:F239),0)),
_xlpm.テスト内容数, COUNTA(INDIRECT("J"&amp;_xlpm.直近で観点が空でないセルの行番号):J239),
_xlpm.テスト内容数_空なら1, IF(_xlpm.テスト内容数=0,1,_xlpm.テスト内容数),
_xlpm.詳細項目数&amp;"-"&amp;_xlpm.観点数&amp;"-"&amp;_xlpm.テスト内容数_空なら1
)</f>
        <v>81-4-1</v>
      </c>
      <c r="B239" s="143"/>
      <c r="C239" s="143"/>
      <c r="D239" s="143"/>
      <c r="E239" s="146"/>
      <c r="F239" s="124" t="s">
        <v>401</v>
      </c>
      <c r="G239" s="125" t="s">
        <v>510</v>
      </c>
      <c r="H239" s="112"/>
      <c r="I239" s="112"/>
      <c r="J239" s="125"/>
      <c r="K239" s="125"/>
      <c r="L239" s="112"/>
      <c r="M239" s="112"/>
      <c r="N239" s="112"/>
      <c r="O239" s="112"/>
      <c r="P239" s="112"/>
      <c r="Q239" s="123"/>
      <c r="R239" s="125"/>
    </row>
    <row r="240" spans="1:18" ht="33">
      <c r="A240" s="74" t="str" cm="1">
        <f t="array" aca="1" ref="A240" ca="1">_xlfn.LET(
_xlpm.詳細項目数, COUNTA($E$11:E240),
_xlpm.直近で詳細項目が空でないセルの行番号, MAX(INDEX((LEN($E$11:E240)&gt;0)*ROW($E$11:E240),0)),
_xlpm.観点数, COUNTA(INDIRECT("F"&amp;_xlpm.直近で詳細項目が空でないセルの行番号):F240),
_xlpm.直近で観点が空でないセルの行番号, MAX(INDEX((LEN($F$11:F240)&gt;0)*ROW($F$11:F240),0)),
_xlpm.テスト内容数, COUNTA(INDIRECT("J"&amp;_xlpm.直近で観点が空でないセルの行番号):J240),
_xlpm.テスト内容数_空なら1, IF(_xlpm.テスト内容数=0,1,_xlpm.テスト内容数),
_xlpm.詳細項目数&amp;"-"&amp;_xlpm.観点数&amp;"-"&amp;_xlpm.テスト内容数_空なら1
)</f>
        <v>81-5-1</v>
      </c>
      <c r="B240" s="143"/>
      <c r="C240" s="143"/>
      <c r="D240" s="143"/>
      <c r="E240" s="145"/>
      <c r="F240" s="124" t="s">
        <v>402</v>
      </c>
      <c r="G240" s="125" t="s">
        <v>510</v>
      </c>
      <c r="H240" s="112"/>
      <c r="I240" s="112"/>
      <c r="J240" s="125"/>
      <c r="K240" s="125"/>
      <c r="L240" s="112"/>
      <c r="M240" s="112"/>
      <c r="N240" s="112"/>
      <c r="O240" s="112"/>
      <c r="P240" s="112"/>
      <c r="Q240" s="123"/>
      <c r="R240" s="125"/>
    </row>
    <row r="241" spans="1:18" ht="33">
      <c r="A241" s="74" t="str" cm="1">
        <f t="array" aca="1" ref="A241" ca="1">_xlfn.LET(
_xlpm.詳細項目数, COUNTA($E$11:E241),
_xlpm.直近で詳細項目が空でないセルの行番号, MAX(INDEX((LEN($E$11:E241)&gt;0)*ROW($E$11:E241),0)),
_xlpm.観点数, COUNTA(INDIRECT("F"&amp;_xlpm.直近で詳細項目が空でないセルの行番号):F241),
_xlpm.直近で観点が空でないセルの行番号, MAX(INDEX((LEN($F$11:F241)&gt;0)*ROW($F$11:F241),0)),
_xlpm.テスト内容数, COUNTA(INDIRECT("J"&amp;_xlpm.直近で観点が空でないセルの行番号):J241),
_xlpm.テスト内容数_空なら1, IF(_xlpm.テスト内容数=0,1,_xlpm.テスト内容数),
_xlpm.詳細項目数&amp;"-"&amp;_xlpm.観点数&amp;"-"&amp;_xlpm.テスト内容数_空なら1
)</f>
        <v>82-1-1</v>
      </c>
      <c r="B241" s="143"/>
      <c r="C241" s="145"/>
      <c r="D241" s="145"/>
      <c r="E241" s="145" t="s">
        <v>480</v>
      </c>
      <c r="F241" s="124" t="s">
        <v>403</v>
      </c>
      <c r="G241" s="125" t="s">
        <v>510</v>
      </c>
      <c r="H241" s="112"/>
      <c r="I241" s="112"/>
      <c r="J241" s="125"/>
      <c r="K241" s="125"/>
      <c r="L241" s="112"/>
      <c r="M241" s="112"/>
      <c r="N241" s="112"/>
      <c r="O241" s="112"/>
      <c r="P241" s="112"/>
      <c r="Q241" s="123"/>
      <c r="R241" s="125"/>
    </row>
    <row r="242" spans="1:18" ht="33">
      <c r="A242" s="74" t="str" cm="1">
        <f t="array" aca="1" ref="A242" ca="1">_xlfn.LET(
_xlpm.詳細項目数, COUNTA($E$11:E242),
_xlpm.直近で詳細項目が空でないセルの行番号, MAX(INDEX((LEN($E$11:E242)&gt;0)*ROW($E$11:E242),0)),
_xlpm.観点数, COUNTA(INDIRECT("F"&amp;_xlpm.直近で詳細項目が空でないセルの行番号):F242),
_xlpm.直近で観点が空でないセルの行番号, MAX(INDEX((LEN($F$11:F242)&gt;0)*ROW($F$11:F242),0)),
_xlpm.テスト内容数, COUNTA(INDIRECT("J"&amp;_xlpm.直近で観点が空でないセルの行番号):J242),
_xlpm.テスト内容数_空なら1, IF(_xlpm.テスト内容数=0,1,_xlpm.テスト内容数),
_xlpm.詳細項目数&amp;"-"&amp;_xlpm.観点数&amp;"-"&amp;_xlpm.テスト内容数_空なら1
)</f>
        <v>83-1-1</v>
      </c>
      <c r="B242" s="145"/>
      <c r="C242" s="145" t="s">
        <v>463</v>
      </c>
      <c r="D242" s="145" t="s">
        <v>262</v>
      </c>
      <c r="E242" s="147" t="s">
        <v>263</v>
      </c>
      <c r="F242" s="124" t="s">
        <v>404</v>
      </c>
      <c r="G242" s="125" t="s">
        <v>510</v>
      </c>
      <c r="H242" s="112"/>
      <c r="I242" s="112"/>
      <c r="J242" s="125"/>
      <c r="K242" s="125"/>
      <c r="L242" s="112"/>
      <c r="M242" s="112"/>
      <c r="N242" s="112"/>
      <c r="O242" s="112"/>
      <c r="P242" s="112"/>
      <c r="Q242" s="123"/>
      <c r="R242" s="125"/>
    </row>
    <row r="243" spans="1:18" ht="22">
      <c r="A243" s="74" t="str" cm="1">
        <f t="array" aca="1" ref="A243" ca="1">_xlfn.LET(
_xlpm.詳細項目数, COUNTA($E$11:E243),
_xlpm.直近で詳細項目が空でないセルの行番号, MAX(INDEX((LEN($E$11:E243)&gt;0)*ROW($E$11:E243),0)),
_xlpm.観点数, COUNTA(INDIRECT("F"&amp;_xlpm.直近で詳細項目が空でないセルの行番号):F243),
_xlpm.直近で観点が空でないセルの行番号, MAX(INDEX((LEN($F$11:F243)&gt;0)*ROW($F$11:F243),0)),
_xlpm.テスト内容数, COUNTA(INDIRECT("J"&amp;_xlpm.直近で観点が空でないセルの行番号):J243),
_xlpm.テスト内容数_空なら1, IF(_xlpm.テスト内容数=0,1,_xlpm.テスト内容数),
_xlpm.詳細項目数&amp;"-"&amp;_xlpm.観点数&amp;"-"&amp;_xlpm.テスト内容数_空なら1
)</f>
        <v>84-1-1</v>
      </c>
      <c r="B243" s="142" t="s">
        <v>405</v>
      </c>
      <c r="C243" s="142" t="s">
        <v>406</v>
      </c>
      <c r="D243" s="142" t="s">
        <v>467</v>
      </c>
      <c r="E243" s="148" t="s">
        <v>467</v>
      </c>
      <c r="F243" s="124" t="s">
        <v>407</v>
      </c>
      <c r="G243" s="125" t="s">
        <v>510</v>
      </c>
      <c r="H243" s="112"/>
      <c r="I243" s="112"/>
      <c r="J243" s="125"/>
      <c r="K243" s="125"/>
      <c r="L243" s="112"/>
      <c r="M243" s="112"/>
      <c r="N243" s="112"/>
      <c r="O243" s="112"/>
      <c r="P243" s="112"/>
      <c r="Q243" s="123"/>
      <c r="R243" s="125"/>
    </row>
    <row r="244" spans="1:18" ht="22">
      <c r="A244" s="74" t="str" cm="1">
        <f t="array" aca="1" ref="A244" ca="1">_xlfn.LET(
_xlpm.詳細項目数, COUNTA($E$11:E244),
_xlpm.直近で詳細項目が空でないセルの行番号, MAX(INDEX((LEN($E$11:E244)&gt;0)*ROW($E$11:E244),0)),
_xlpm.観点数, COUNTA(INDIRECT("F"&amp;_xlpm.直近で詳細項目が空でないセルの行番号):F244),
_xlpm.直近で観点が空でないセルの行番号, MAX(INDEX((LEN($F$11:F244)&gt;0)*ROW($F$11:F244),0)),
_xlpm.テスト内容数, COUNTA(INDIRECT("J"&amp;_xlpm.直近で観点が空でないセルの行番号):J244),
_xlpm.テスト内容数_空なら1, IF(_xlpm.テスト内容数=0,1,_xlpm.テスト内容数),
_xlpm.詳細項目数&amp;"-"&amp;_xlpm.観点数&amp;"-"&amp;_xlpm.テスト内容数_空なら1
)</f>
        <v>84-2-1</v>
      </c>
      <c r="B244" s="143"/>
      <c r="C244" s="143"/>
      <c r="D244" s="145"/>
      <c r="E244" s="145"/>
      <c r="F244" s="124" t="s">
        <v>408</v>
      </c>
      <c r="G244" s="125" t="s">
        <v>510</v>
      </c>
      <c r="H244" s="112"/>
      <c r="I244" s="112"/>
      <c r="J244" s="125"/>
      <c r="K244" s="125"/>
      <c r="L244" s="112"/>
      <c r="M244" s="112"/>
      <c r="N244" s="112"/>
      <c r="O244" s="112"/>
      <c r="P244" s="112"/>
      <c r="Q244" s="123"/>
      <c r="R244" s="125"/>
    </row>
    <row r="245" spans="1:18" ht="33">
      <c r="A245" s="74" t="str" cm="1">
        <f t="array" aca="1" ref="A245" ca="1">_xlfn.LET(
_xlpm.詳細項目数, COUNTA($E$11:E245),
_xlpm.直近で詳細項目が空でないセルの行番号, MAX(INDEX((LEN($E$11:E245)&gt;0)*ROW($E$11:E245),0)),
_xlpm.観点数, COUNTA(INDIRECT("F"&amp;_xlpm.直近で詳細項目が空でないセルの行番号):F245),
_xlpm.直近で観点が空でないセルの行番号, MAX(INDEX((LEN($F$11:F245)&gt;0)*ROW($F$11:F245),0)),
_xlpm.テスト内容数, COUNTA(INDIRECT("J"&amp;_xlpm.直近で観点が空でないセルの行番号):J245),
_xlpm.テスト内容数_空なら1, IF(_xlpm.テスト内容数=0,1,_xlpm.テスト内容数),
_xlpm.詳細項目数&amp;"-"&amp;_xlpm.観点数&amp;"-"&amp;_xlpm.テスト内容数_空なら1
)</f>
        <v>85-1-1</v>
      </c>
      <c r="B245" s="143"/>
      <c r="C245" s="143"/>
      <c r="D245" s="143" t="s">
        <v>476</v>
      </c>
      <c r="E245" s="146" t="s">
        <v>467</v>
      </c>
      <c r="F245" s="124" t="s">
        <v>409</v>
      </c>
      <c r="G245" s="125" t="s">
        <v>510</v>
      </c>
      <c r="H245" s="112"/>
      <c r="I245" s="112"/>
      <c r="J245" s="125"/>
      <c r="K245" s="125"/>
      <c r="L245" s="112"/>
      <c r="M245" s="112"/>
      <c r="N245" s="112"/>
      <c r="O245" s="112"/>
      <c r="P245" s="112"/>
      <c r="Q245" s="123"/>
      <c r="R245" s="125"/>
    </row>
    <row r="246" spans="1:18" ht="33">
      <c r="A246" s="74" t="str" cm="1">
        <f t="array" aca="1" ref="A246" ca="1">_xlfn.LET(
_xlpm.詳細項目数, COUNTA($E$11:E246),
_xlpm.直近で詳細項目が空でないセルの行番号, MAX(INDEX((LEN($E$11:E246)&gt;0)*ROW($E$11:E246),0)),
_xlpm.観点数, COUNTA(INDIRECT("F"&amp;_xlpm.直近で詳細項目が空でないセルの行番号):F246),
_xlpm.直近で観点が空でないセルの行番号, MAX(INDEX((LEN($F$11:F246)&gt;0)*ROW($F$11:F246),0)),
_xlpm.テスト内容数, COUNTA(INDIRECT("J"&amp;_xlpm.直近で観点が空でないセルの行番号):J246),
_xlpm.テスト内容数_空なら1, IF(_xlpm.テスト内容数=0,1,_xlpm.テスト内容数),
_xlpm.詳細項目数&amp;"-"&amp;_xlpm.観点数&amp;"-"&amp;_xlpm.テスト内容数_空なら1
)</f>
        <v>85-2-1</v>
      </c>
      <c r="B246" s="143"/>
      <c r="C246" s="145"/>
      <c r="D246" s="145"/>
      <c r="E246" s="145"/>
      <c r="F246" s="124" t="s">
        <v>410</v>
      </c>
      <c r="G246" s="125" t="s">
        <v>510</v>
      </c>
      <c r="H246" s="112"/>
      <c r="I246" s="112"/>
      <c r="J246" s="125"/>
      <c r="K246" s="125"/>
      <c r="L246" s="112"/>
      <c r="M246" s="112"/>
      <c r="N246" s="112"/>
      <c r="O246" s="112"/>
      <c r="P246" s="112"/>
      <c r="Q246" s="123"/>
      <c r="R246" s="125"/>
    </row>
    <row r="247" spans="1:18" ht="33">
      <c r="A247" s="74" t="str" cm="1">
        <f t="array" aca="1" ref="A247" ca="1">_xlfn.LET(
_xlpm.詳細項目数, COUNTA($E$11:E247),
_xlpm.直近で詳細項目が空でないセルの行番号, MAX(INDEX((LEN($E$11:E247)&gt;0)*ROW($E$11:E247),0)),
_xlpm.観点数, COUNTA(INDIRECT("F"&amp;_xlpm.直近で詳細項目が空でないセルの行番号):F247),
_xlpm.直近で観点が空でないセルの行番号, MAX(INDEX((LEN($F$11:F247)&gt;0)*ROW($F$11:F247),0)),
_xlpm.テスト内容数, COUNTA(INDIRECT("J"&amp;_xlpm.直近で観点が空でないセルの行番号):J247),
_xlpm.テスト内容数_空なら1, IF(_xlpm.テスト内容数=0,1,_xlpm.テスト内容数),
_xlpm.詳細項目数&amp;"-"&amp;_xlpm.観点数&amp;"-"&amp;_xlpm.テスト内容数_空なら1
)</f>
        <v>86-1-1</v>
      </c>
      <c r="B247" s="143"/>
      <c r="C247" s="146" t="s">
        <v>411</v>
      </c>
      <c r="D247" s="143" t="s">
        <v>262</v>
      </c>
      <c r="E247" s="145" t="s">
        <v>280</v>
      </c>
      <c r="F247" s="124" t="s">
        <v>412</v>
      </c>
      <c r="G247" s="125" t="s">
        <v>510</v>
      </c>
      <c r="H247" s="112"/>
      <c r="I247" s="112"/>
      <c r="J247" s="125"/>
      <c r="K247" s="125"/>
      <c r="L247" s="112"/>
      <c r="M247" s="112"/>
      <c r="N247" s="112"/>
      <c r="O247" s="112"/>
      <c r="P247" s="112"/>
      <c r="Q247" s="123"/>
      <c r="R247" s="125"/>
    </row>
    <row r="248" spans="1:18" ht="33">
      <c r="A248" s="74" t="str" cm="1">
        <f t="array" aca="1" ref="A248" ca="1">_xlfn.LET(
_xlpm.詳細項目数, COUNTA($E$11:E248),
_xlpm.直近で詳細項目が空でないセルの行番号, MAX(INDEX((LEN($E$11:E248)&gt;0)*ROW($E$11:E248),0)),
_xlpm.観点数, COUNTA(INDIRECT("F"&amp;_xlpm.直近で詳細項目が空でないセルの行番号):F248),
_xlpm.直近で観点が空でないセルの行番号, MAX(INDEX((LEN($F$11:F248)&gt;0)*ROW($F$11:F248),0)),
_xlpm.テスト内容数, COUNTA(INDIRECT("J"&amp;_xlpm.直近で観点が空でないセルの行番号):J248),
_xlpm.テスト内容数_空なら1, IF(_xlpm.テスト内容数=0,1,_xlpm.テスト内容数),
_xlpm.詳細項目数&amp;"-"&amp;_xlpm.観点数&amp;"-"&amp;_xlpm.テスト内容数_空なら1
)</f>
        <v>87-1-1</v>
      </c>
      <c r="B248" s="143"/>
      <c r="C248" s="146"/>
      <c r="D248" s="143"/>
      <c r="E248" s="145" t="s">
        <v>284</v>
      </c>
      <c r="F248" s="124" t="s">
        <v>413</v>
      </c>
      <c r="G248" s="125" t="s">
        <v>510</v>
      </c>
      <c r="H248" s="112"/>
      <c r="I248" s="112"/>
      <c r="J248" s="125"/>
      <c r="K248" s="125"/>
      <c r="L248" s="112"/>
      <c r="M248" s="112"/>
      <c r="N248" s="112"/>
      <c r="O248" s="112"/>
      <c r="P248" s="112"/>
      <c r="Q248" s="123"/>
      <c r="R248" s="125"/>
    </row>
    <row r="249" spans="1:18" ht="33">
      <c r="A249" s="74" t="str" cm="1">
        <f t="array" aca="1" ref="A249" ca="1">_xlfn.LET(
_xlpm.詳細項目数, COUNTA($E$11:E249),
_xlpm.直近で詳細項目が空でないセルの行番号, MAX(INDEX((LEN($E$11:E249)&gt;0)*ROW($E$11:E249),0)),
_xlpm.観点数, COUNTA(INDIRECT("F"&amp;_xlpm.直近で詳細項目が空でないセルの行番号):F249),
_xlpm.直近で観点が空でないセルの行番号, MAX(INDEX((LEN($F$11:F249)&gt;0)*ROW($F$11:F249),0)),
_xlpm.テスト内容数, COUNTA(INDIRECT("J"&amp;_xlpm.直近で観点が空でないセルの行番号):J249),
_xlpm.テスト内容数_空なら1, IF(_xlpm.テスト内容数=0,1,_xlpm.テスト内容数),
_xlpm.詳細項目数&amp;"-"&amp;_xlpm.観点数&amp;"-"&amp;_xlpm.テスト内容数_空なら1
)</f>
        <v>88-1-1</v>
      </c>
      <c r="B249" s="143"/>
      <c r="C249" s="144"/>
      <c r="D249" s="146"/>
      <c r="E249" s="145" t="s">
        <v>263</v>
      </c>
      <c r="F249" s="124" t="s">
        <v>414</v>
      </c>
      <c r="G249" s="125" t="s">
        <v>510</v>
      </c>
      <c r="H249" s="112"/>
      <c r="I249" s="112"/>
      <c r="J249" s="125"/>
      <c r="K249" s="125"/>
      <c r="L249" s="112"/>
      <c r="M249" s="112"/>
      <c r="N249" s="112"/>
      <c r="O249" s="112"/>
      <c r="P249" s="112"/>
      <c r="Q249" s="123"/>
      <c r="R249" s="125"/>
    </row>
    <row r="250" spans="1:18" ht="33">
      <c r="A250" s="74" t="str" cm="1">
        <f t="array" aca="1" ref="A250" ca="1">_xlfn.LET(
_xlpm.詳細項目数, COUNTA($E$11:E250),
_xlpm.直近で詳細項目が空でないセルの行番号, MAX(INDEX((LEN($E$11:E250)&gt;0)*ROW($E$11:E250),0)),
_xlpm.観点数, COUNTA(INDIRECT("F"&amp;_xlpm.直近で詳細項目が空でないセルの行番号):F250),
_xlpm.直近で観点が空でないセルの行番号, MAX(INDEX((LEN($F$11:F250)&gt;0)*ROW($F$11:F250),0)),
_xlpm.テスト内容数, COUNTA(INDIRECT("J"&amp;_xlpm.直近で観点が空でないセルの行番号):J250),
_xlpm.テスト内容数_空なら1, IF(_xlpm.テスト内容数=0,1,_xlpm.テスト内容数),
_xlpm.詳細項目数&amp;"-"&amp;_xlpm.観点数&amp;"-"&amp;_xlpm.テスト内容数_空なら1
)</f>
        <v>89-1-1</v>
      </c>
      <c r="B250" s="143"/>
      <c r="C250" s="146"/>
      <c r="D250" s="145"/>
      <c r="E250" s="145" t="s">
        <v>287</v>
      </c>
      <c r="F250" s="124" t="s">
        <v>415</v>
      </c>
      <c r="G250" s="125" t="s">
        <v>510</v>
      </c>
      <c r="H250" s="112"/>
      <c r="I250" s="112"/>
      <c r="J250" s="125"/>
      <c r="K250" s="125"/>
      <c r="L250" s="112"/>
      <c r="M250" s="112"/>
      <c r="N250" s="112"/>
      <c r="O250" s="112"/>
      <c r="P250" s="112"/>
      <c r="Q250" s="123"/>
      <c r="R250" s="125"/>
    </row>
    <row r="251" spans="1:18" ht="22">
      <c r="A251" s="74" t="str" cm="1">
        <f t="array" aca="1" ref="A251" ca="1">_xlfn.LET(
_xlpm.詳細項目数, COUNTA($E$11:E251),
_xlpm.直近で詳細項目が空でないセルの行番号, MAX(INDEX((LEN($E$11:E251)&gt;0)*ROW($E$11:E251),0)),
_xlpm.観点数, COUNTA(INDIRECT("F"&amp;_xlpm.直近で詳細項目が空でないセルの行番号):F251),
_xlpm.直近で観点が空でないセルの行番号, MAX(INDEX((LEN($F$11:F251)&gt;0)*ROW($F$11:F251),0)),
_xlpm.テスト内容数, COUNTA(INDIRECT("J"&amp;_xlpm.直近で観点が空でないセルの行番号):J251),
_xlpm.テスト内容数_空なら1, IF(_xlpm.テスト内容数=0,1,_xlpm.テスト内容数),
_xlpm.詳細項目数&amp;"-"&amp;_xlpm.観点数&amp;"-"&amp;_xlpm.テスト内容数_空なら1
)</f>
        <v>90-1-1</v>
      </c>
      <c r="B251" s="143"/>
      <c r="C251" s="144"/>
      <c r="D251" s="143" t="s">
        <v>296</v>
      </c>
      <c r="E251" s="152" t="s">
        <v>467</v>
      </c>
      <c r="F251" s="124" t="s">
        <v>416</v>
      </c>
      <c r="G251" s="125" t="s">
        <v>510</v>
      </c>
      <c r="H251" s="112"/>
      <c r="I251" s="112"/>
      <c r="J251" s="125"/>
      <c r="K251" s="125"/>
      <c r="L251" s="112"/>
      <c r="M251" s="112"/>
      <c r="N251" s="112"/>
      <c r="O251" s="112"/>
      <c r="P251" s="112"/>
      <c r="Q251" s="123"/>
      <c r="R251" s="125"/>
    </row>
    <row r="252" spans="1:18" ht="22">
      <c r="A252" s="74" t="str" cm="1">
        <f t="array" aca="1" ref="A252" ca="1">_xlfn.LET(
_xlpm.詳細項目数, COUNTA($E$11:E252),
_xlpm.直近で詳細項目が空でないセルの行番号, MAX(INDEX((LEN($E$11:E252)&gt;0)*ROW($E$11:E252),0)),
_xlpm.観点数, COUNTA(INDIRECT("F"&amp;_xlpm.直近で詳細項目が空でないセルの行番号):F252),
_xlpm.直近で観点が空でないセルの行番号, MAX(INDEX((LEN($F$11:F252)&gt;0)*ROW($F$11:F252),0)),
_xlpm.テスト内容数, COUNTA(INDIRECT("J"&amp;_xlpm.直近で観点が空でないセルの行番号):J252),
_xlpm.テスト内容数_空なら1, IF(_xlpm.テスト内容数=0,1,_xlpm.テスト内容数),
_xlpm.詳細項目数&amp;"-"&amp;_xlpm.観点数&amp;"-"&amp;_xlpm.テスト内容数_空なら1
)</f>
        <v>90-2-1</v>
      </c>
      <c r="B252" s="143"/>
      <c r="C252" s="144"/>
      <c r="D252" s="146"/>
      <c r="E252" s="145"/>
      <c r="F252" s="124" t="s">
        <v>417</v>
      </c>
      <c r="G252" s="125" t="s">
        <v>510</v>
      </c>
      <c r="H252" s="112"/>
      <c r="I252" s="112"/>
      <c r="J252" s="125"/>
      <c r="K252" s="125"/>
      <c r="L252" s="112"/>
      <c r="M252" s="112"/>
      <c r="N252" s="112"/>
      <c r="O252" s="112"/>
      <c r="P252" s="112"/>
      <c r="Q252" s="123"/>
      <c r="R252" s="125"/>
    </row>
    <row r="253" spans="1:18" ht="33">
      <c r="A253" s="74" t="str" cm="1">
        <f t="array" aca="1" ref="A253" ca="1">_xlfn.LET(
_xlpm.詳細項目数, COUNTA($E$11:E253),
_xlpm.直近で詳細項目が空でないセルの行番号, MAX(INDEX((LEN($E$11:E253)&gt;0)*ROW($E$11:E253),0)),
_xlpm.観点数, COUNTA(INDIRECT("F"&amp;_xlpm.直近で詳細項目が空でないセルの行番号):F253),
_xlpm.直近で観点が空でないセルの行番号, MAX(INDEX((LEN($F$11:F253)&gt;0)*ROW($F$11:F253),0)),
_xlpm.テスト内容数, COUNTA(INDIRECT("J"&amp;_xlpm.直近で観点が空でないセルの行番号):J253),
_xlpm.テスト内容数_空なら1, IF(_xlpm.テスト内容数=0,1,_xlpm.テスト内容数),
_xlpm.詳細項目数&amp;"-"&amp;_xlpm.観点数&amp;"-"&amp;_xlpm.テスト内容数_空なら1
)</f>
        <v>91-1-1</v>
      </c>
      <c r="B253" s="143"/>
      <c r="C253" s="144"/>
      <c r="D253" s="146"/>
      <c r="E253" s="146" t="s">
        <v>175</v>
      </c>
      <c r="F253" s="124" t="s">
        <v>418</v>
      </c>
      <c r="G253" s="125" t="s">
        <v>510</v>
      </c>
      <c r="H253" s="112"/>
      <c r="I253" s="112"/>
      <c r="J253" s="125"/>
      <c r="K253" s="125"/>
      <c r="L253" s="112"/>
      <c r="M253" s="112"/>
      <c r="N253" s="112"/>
      <c r="O253" s="112"/>
      <c r="P253" s="112"/>
      <c r="Q253" s="123"/>
      <c r="R253" s="125"/>
    </row>
    <row r="254" spans="1:18" ht="33">
      <c r="A254" s="74" t="str" cm="1">
        <f t="array" aca="1" ref="A254" ca="1">_xlfn.LET(
_xlpm.詳細項目数, COUNTA($E$11:E254),
_xlpm.直近で詳細項目が空でないセルの行番号, MAX(INDEX((LEN($E$11:E254)&gt;0)*ROW($E$11:E254),0)),
_xlpm.観点数, COUNTA(INDIRECT("F"&amp;_xlpm.直近で詳細項目が空でないセルの行番号):F254),
_xlpm.直近で観点が空でないセルの行番号, MAX(INDEX((LEN($F$11:F254)&gt;0)*ROW($F$11:F254),0)),
_xlpm.テスト内容数, COUNTA(INDIRECT("J"&amp;_xlpm.直近で観点が空でないセルの行番号):J254),
_xlpm.テスト内容数_空なら1, IF(_xlpm.テスト内容数=0,1,_xlpm.テスト内容数),
_xlpm.詳細項目数&amp;"-"&amp;_xlpm.観点数&amp;"-"&amp;_xlpm.テスト内容数_空なら1
)</f>
        <v>91-2-1</v>
      </c>
      <c r="B254" s="143"/>
      <c r="C254" s="144"/>
      <c r="D254" s="146"/>
      <c r="E254" s="146"/>
      <c r="F254" s="124" t="s">
        <v>419</v>
      </c>
      <c r="G254" s="125" t="s">
        <v>510</v>
      </c>
      <c r="H254" s="112"/>
      <c r="I254" s="112"/>
      <c r="J254" s="125"/>
      <c r="K254" s="125"/>
      <c r="L254" s="112"/>
      <c r="M254" s="112"/>
      <c r="N254" s="112"/>
      <c r="O254" s="112"/>
      <c r="P254" s="112"/>
      <c r="Q254" s="123"/>
      <c r="R254" s="125"/>
    </row>
    <row r="255" spans="1:18" ht="33">
      <c r="A255" s="74" t="str" cm="1">
        <f t="array" aca="1" ref="A255" ca="1">_xlfn.LET(
_xlpm.詳細項目数, COUNTA($E$11:E255),
_xlpm.直近で詳細項目が空でないセルの行番号, MAX(INDEX((LEN($E$11:E255)&gt;0)*ROW($E$11:E255),0)),
_xlpm.観点数, COUNTA(INDIRECT("F"&amp;_xlpm.直近で詳細項目が空でないセルの行番号):F255),
_xlpm.直近で観点が空でないセルの行番号, MAX(INDEX((LEN($F$11:F255)&gt;0)*ROW($F$11:F255),0)),
_xlpm.テスト内容数, COUNTA(INDIRECT("J"&amp;_xlpm.直近で観点が空でないセルの行番号):J255),
_xlpm.テスト内容数_空なら1, IF(_xlpm.テスト内容数=0,1,_xlpm.テスト内容数),
_xlpm.詳細項目数&amp;"-"&amp;_xlpm.観点数&amp;"-"&amp;_xlpm.テスト内容数_空なら1
)</f>
        <v>91-3-1</v>
      </c>
      <c r="B255" s="143"/>
      <c r="C255" s="144"/>
      <c r="D255" s="146"/>
      <c r="E255" s="146"/>
      <c r="F255" s="124" t="s">
        <v>494</v>
      </c>
      <c r="G255" s="125" t="s">
        <v>510</v>
      </c>
      <c r="H255" s="112"/>
      <c r="I255" s="112"/>
      <c r="J255" s="125"/>
      <c r="K255" s="125"/>
      <c r="L255" s="112"/>
      <c r="M255" s="112"/>
      <c r="N255" s="112"/>
      <c r="O255" s="112"/>
      <c r="P255" s="112"/>
      <c r="Q255" s="123"/>
      <c r="R255" s="125"/>
    </row>
    <row r="256" spans="1:18" ht="33">
      <c r="A256" s="74" t="str" cm="1">
        <f t="array" aca="1" ref="A256" ca="1">_xlfn.LET(
_xlpm.詳細項目数, COUNTA($E$11:E256),
_xlpm.直近で詳細項目が空でないセルの行番号, MAX(INDEX((LEN($E$11:E256)&gt;0)*ROW($E$11:E256),0)),
_xlpm.観点数, COUNTA(INDIRECT("F"&amp;_xlpm.直近で詳細項目が空でないセルの行番号):F256),
_xlpm.直近で観点が空でないセルの行番号, MAX(INDEX((LEN($F$11:F256)&gt;0)*ROW($F$11:F256),0)),
_xlpm.テスト内容数, COUNTA(INDIRECT("J"&amp;_xlpm.直近で観点が空でないセルの行番号):J256),
_xlpm.テスト内容数_空なら1, IF(_xlpm.テスト内容数=0,1,_xlpm.テスト内容数),
_xlpm.詳細項目数&amp;"-"&amp;_xlpm.観点数&amp;"-"&amp;_xlpm.テスト内容数_空なら1
)</f>
        <v>91-4-1</v>
      </c>
      <c r="B256" s="143"/>
      <c r="C256" s="144"/>
      <c r="D256" s="146"/>
      <c r="E256" s="146"/>
      <c r="F256" s="124" t="s">
        <v>421</v>
      </c>
      <c r="G256" s="125" t="s">
        <v>510</v>
      </c>
      <c r="H256" s="112"/>
      <c r="I256" s="112"/>
      <c r="J256" s="125"/>
      <c r="K256" s="125"/>
      <c r="L256" s="112"/>
      <c r="M256" s="112"/>
      <c r="N256" s="112"/>
      <c r="O256" s="112"/>
      <c r="P256" s="112"/>
      <c r="Q256" s="123"/>
      <c r="R256" s="125"/>
    </row>
    <row r="257" spans="1:18" ht="33">
      <c r="A257" s="74" t="str" cm="1">
        <f t="array" aca="1" ref="A257" ca="1">_xlfn.LET(
_xlpm.詳細項目数, COUNTA($E$11:E257),
_xlpm.直近で詳細項目が空でないセルの行番号, MAX(INDEX((LEN($E$11:E257)&gt;0)*ROW($E$11:E257),0)),
_xlpm.観点数, COUNTA(INDIRECT("F"&amp;_xlpm.直近で詳細項目が空でないセルの行番号):F257),
_xlpm.直近で観点が空でないセルの行番号, MAX(INDEX((LEN($F$11:F257)&gt;0)*ROW($F$11:F257),0)),
_xlpm.テスト内容数, COUNTA(INDIRECT("J"&amp;_xlpm.直近で観点が空でないセルの行番号):J257),
_xlpm.テスト内容数_空なら1, IF(_xlpm.テスト内容数=0,1,_xlpm.テスト内容数),
_xlpm.詳細項目数&amp;"-"&amp;_xlpm.観点数&amp;"-"&amp;_xlpm.テスト内容数_空なら1
)</f>
        <v>91-5-1</v>
      </c>
      <c r="B257" s="143"/>
      <c r="C257" s="143"/>
      <c r="D257" s="143"/>
      <c r="E257" s="152"/>
      <c r="F257" s="124" t="s">
        <v>422</v>
      </c>
      <c r="G257" s="125" t="s">
        <v>510</v>
      </c>
      <c r="H257" s="112"/>
      <c r="I257" s="112"/>
      <c r="J257" s="125"/>
      <c r="K257" s="125"/>
      <c r="L257" s="112"/>
      <c r="M257" s="112"/>
      <c r="N257" s="112"/>
      <c r="O257" s="112"/>
      <c r="P257" s="112"/>
      <c r="Q257" s="123"/>
      <c r="R257" s="125"/>
    </row>
    <row r="258" spans="1:18" ht="22">
      <c r="A258" s="74" t="str" cm="1">
        <f t="array" aca="1" ref="A258" ca="1">_xlfn.LET(
_xlpm.詳細項目数, COUNTA($E$11:E258),
_xlpm.直近で詳細項目が空でないセルの行番号, MAX(INDEX((LEN($E$11:E258)&gt;0)*ROW($E$11:E258),0)),
_xlpm.観点数, COUNTA(INDIRECT("F"&amp;_xlpm.直近で詳細項目が空でないセルの行番号):F258),
_xlpm.直近で観点が空でないセルの行番号, MAX(INDEX((LEN($F$11:F258)&gt;0)*ROW($F$11:F258),0)),
_xlpm.テスト内容数, COUNTA(INDIRECT("J"&amp;_xlpm.直近で観点が空でないセルの行番号):J258),
_xlpm.テスト内容数_空なら1, IF(_xlpm.テスト内容数=0,1,_xlpm.テスト内容数),
_xlpm.詳細項目数&amp;"-"&amp;_xlpm.観点数&amp;"-"&amp;_xlpm.テスト内容数_空なら1
)</f>
        <v>91-6-1</v>
      </c>
      <c r="B258" s="143"/>
      <c r="C258" s="143"/>
      <c r="D258" s="143"/>
      <c r="E258" s="152"/>
      <c r="F258" s="124" t="s">
        <v>423</v>
      </c>
      <c r="G258" s="125" t="s">
        <v>510</v>
      </c>
      <c r="H258" s="112"/>
      <c r="I258" s="112"/>
      <c r="J258" s="125"/>
      <c r="K258" s="125"/>
      <c r="L258" s="112"/>
      <c r="M258" s="112"/>
      <c r="N258" s="112"/>
      <c r="O258" s="112"/>
      <c r="P258" s="112"/>
      <c r="Q258" s="123"/>
      <c r="R258" s="125"/>
    </row>
    <row r="259" spans="1:18" ht="22">
      <c r="A259" s="74" t="str" cm="1">
        <f t="array" aca="1" ref="A259" ca="1">_xlfn.LET(
_xlpm.詳細項目数, COUNTA($E$11:E259),
_xlpm.直近で詳細項目が空でないセルの行番号, MAX(INDEX((LEN($E$11:E259)&gt;0)*ROW($E$11:E259),0)),
_xlpm.観点数, COUNTA(INDIRECT("F"&amp;_xlpm.直近で詳細項目が空でないセルの行番号):F259),
_xlpm.直近で観点が空でないセルの行番号, MAX(INDEX((LEN($F$11:F259)&gt;0)*ROW($F$11:F259),0)),
_xlpm.テスト内容数, COUNTA(INDIRECT("J"&amp;_xlpm.直近で観点が空でないセルの行番号):J259),
_xlpm.テスト内容数_空なら1, IF(_xlpm.テスト内容数=0,1,_xlpm.テスト内容数),
_xlpm.詳細項目数&amp;"-"&amp;_xlpm.観点数&amp;"-"&amp;_xlpm.テスト内容数_空なら1
)</f>
        <v>91-7-1</v>
      </c>
      <c r="B259" s="143"/>
      <c r="C259" s="143"/>
      <c r="D259" s="143"/>
      <c r="E259" s="152"/>
      <c r="F259" s="124" t="s">
        <v>424</v>
      </c>
      <c r="G259" s="125" t="s">
        <v>510</v>
      </c>
      <c r="H259" s="112"/>
      <c r="I259" s="112"/>
      <c r="J259" s="125"/>
      <c r="K259" s="125"/>
      <c r="L259" s="112"/>
      <c r="M259" s="112"/>
      <c r="N259" s="112"/>
      <c r="O259" s="112"/>
      <c r="P259" s="112"/>
      <c r="Q259" s="123"/>
      <c r="R259" s="125"/>
    </row>
    <row r="260" spans="1:18" ht="33">
      <c r="A260" s="74" t="str" cm="1">
        <f t="array" aca="1" ref="A260" ca="1">_xlfn.LET(
_xlpm.詳細項目数, COUNTA($E$11:E260),
_xlpm.直近で詳細項目が空でないセルの行番号, MAX(INDEX((LEN($E$11:E260)&gt;0)*ROW($E$11:E260),0)),
_xlpm.観点数, COUNTA(INDIRECT("F"&amp;_xlpm.直近で詳細項目が空でないセルの行番号):F260),
_xlpm.直近で観点が空でないセルの行番号, MAX(INDEX((LEN($F$11:F260)&gt;0)*ROW($F$11:F260),0)),
_xlpm.テスト内容数, COUNTA(INDIRECT("J"&amp;_xlpm.直近で観点が空でないセルの行番号):J260),
_xlpm.テスト内容数_空なら1, IF(_xlpm.テスト内容数=0,1,_xlpm.テスト内容数),
_xlpm.詳細項目数&amp;"-"&amp;_xlpm.観点数&amp;"-"&amp;_xlpm.テスト内容数_空なら1
)</f>
        <v>91-8-1</v>
      </c>
      <c r="B260" s="143"/>
      <c r="C260" s="143"/>
      <c r="D260" s="143"/>
      <c r="E260" s="152"/>
      <c r="F260" s="124" t="s">
        <v>425</v>
      </c>
      <c r="G260" s="125" t="s">
        <v>510</v>
      </c>
      <c r="H260" s="112"/>
      <c r="I260" s="112"/>
      <c r="J260" s="125"/>
      <c r="K260" s="125"/>
      <c r="L260" s="112"/>
      <c r="M260" s="112"/>
      <c r="N260" s="112"/>
      <c r="O260" s="112"/>
      <c r="P260" s="112"/>
      <c r="Q260" s="123"/>
      <c r="R260" s="125"/>
    </row>
    <row r="261" spans="1:18" ht="33">
      <c r="A261" s="74" t="str" cm="1">
        <f t="array" aca="1" ref="A261" ca="1">_xlfn.LET(
_xlpm.詳細項目数, COUNTA($E$11:E261),
_xlpm.直近で詳細項目が空でないセルの行番号, MAX(INDEX((LEN($E$11:E261)&gt;0)*ROW($E$11:E261),0)),
_xlpm.観点数, COUNTA(INDIRECT("F"&amp;_xlpm.直近で詳細項目が空でないセルの行番号):F261),
_xlpm.直近で観点が空でないセルの行番号, MAX(INDEX((LEN($F$11:F261)&gt;0)*ROW($F$11:F261),0)),
_xlpm.テスト内容数, COUNTA(INDIRECT("J"&amp;_xlpm.直近で観点が空でないセルの行番号):J261),
_xlpm.テスト内容数_空なら1, IF(_xlpm.テスト内容数=0,1,_xlpm.テスト内容数),
_xlpm.詳細項目数&amp;"-"&amp;_xlpm.観点数&amp;"-"&amp;_xlpm.テスト内容数_空なら1
)</f>
        <v>91-9-1</v>
      </c>
      <c r="B261" s="143"/>
      <c r="C261" s="143"/>
      <c r="D261" s="143"/>
      <c r="E261" s="152"/>
      <c r="F261" s="124" t="s">
        <v>426</v>
      </c>
      <c r="G261" s="125" t="s">
        <v>510</v>
      </c>
      <c r="H261" s="112"/>
      <c r="I261" s="112"/>
      <c r="J261" s="125"/>
      <c r="K261" s="125"/>
      <c r="L261" s="112"/>
      <c r="M261" s="112"/>
      <c r="N261" s="112"/>
      <c r="O261" s="112"/>
      <c r="P261" s="112"/>
      <c r="Q261" s="123"/>
      <c r="R261" s="125"/>
    </row>
    <row r="262" spans="1:18" ht="33">
      <c r="A262" s="74" t="str" cm="1">
        <f t="array" aca="1" ref="A262" ca="1">_xlfn.LET(
_xlpm.詳細項目数, COUNTA($E$11:E262),
_xlpm.直近で詳細項目が空でないセルの行番号, MAX(INDEX((LEN($E$11:E262)&gt;0)*ROW($E$11:E262),0)),
_xlpm.観点数, COUNTA(INDIRECT("F"&amp;_xlpm.直近で詳細項目が空でないセルの行番号):F262),
_xlpm.直近で観点が空でないセルの行番号, MAX(INDEX((LEN($F$11:F262)&gt;0)*ROW($F$11:F262),0)),
_xlpm.テスト内容数, COUNTA(INDIRECT("J"&amp;_xlpm.直近で観点が空でないセルの行番号):J262),
_xlpm.テスト内容数_空なら1, IF(_xlpm.テスト内容数=0,1,_xlpm.テスト内容数),
_xlpm.詳細項目数&amp;"-"&amp;_xlpm.観点数&amp;"-"&amp;_xlpm.テスト内容数_空なら1
)</f>
        <v>91-10-1</v>
      </c>
      <c r="B262" s="143"/>
      <c r="C262" s="143"/>
      <c r="D262" s="143"/>
      <c r="E262" s="146"/>
      <c r="F262" s="124" t="s">
        <v>427</v>
      </c>
      <c r="G262" s="125" t="s">
        <v>510</v>
      </c>
      <c r="H262" s="112"/>
      <c r="I262" s="112"/>
      <c r="J262" s="125"/>
      <c r="K262" s="125"/>
      <c r="L262" s="112"/>
      <c r="M262" s="112"/>
      <c r="N262" s="112"/>
      <c r="O262" s="112"/>
      <c r="P262" s="112"/>
      <c r="Q262" s="123"/>
      <c r="R262" s="125"/>
    </row>
    <row r="263" spans="1:18" ht="33">
      <c r="A263" s="74" t="str" cm="1">
        <f t="array" aca="1" ref="A263" ca="1">_xlfn.LET(
_xlpm.詳細項目数, COUNTA($E$11:E263),
_xlpm.直近で詳細項目が空でないセルの行番号, MAX(INDEX((LEN($E$11:E263)&gt;0)*ROW($E$11:E263),0)),
_xlpm.観点数, COUNTA(INDIRECT("F"&amp;_xlpm.直近で詳細項目が空でないセルの行番号):F263),
_xlpm.直近で観点が空でないセルの行番号, MAX(INDEX((LEN($F$11:F263)&gt;0)*ROW($F$11:F263),0)),
_xlpm.テスト内容数, COUNTA(INDIRECT("J"&amp;_xlpm.直近で観点が空でないセルの行番号):J263),
_xlpm.テスト内容数_空なら1, IF(_xlpm.テスト内容数=0,1,_xlpm.テスト内容数),
_xlpm.詳細項目数&amp;"-"&amp;_xlpm.観点数&amp;"-"&amp;_xlpm.テスト内容数_空なら1
)</f>
        <v>91-11-1</v>
      </c>
      <c r="B263" s="143"/>
      <c r="C263" s="143"/>
      <c r="D263" s="143"/>
      <c r="E263" s="145"/>
      <c r="F263" s="124" t="s">
        <v>428</v>
      </c>
      <c r="G263" s="125" t="s">
        <v>510</v>
      </c>
      <c r="H263" s="112"/>
      <c r="I263" s="112"/>
      <c r="J263" s="125"/>
      <c r="K263" s="125"/>
      <c r="L263" s="112"/>
      <c r="M263" s="112"/>
      <c r="N263" s="112"/>
      <c r="O263" s="112"/>
      <c r="P263" s="112"/>
      <c r="Q263" s="123"/>
      <c r="R263" s="125"/>
    </row>
    <row r="264" spans="1:18">
      <c r="A264" s="74" t="str" cm="1">
        <f t="array" aca="1" ref="A264" ca="1">_xlfn.LET(
_xlpm.詳細項目数, COUNTA($E$11:E264),
_xlpm.直近で詳細項目が空でないセルの行番号, MAX(INDEX((LEN($E$11:E264)&gt;0)*ROW($E$11:E264),0)),
_xlpm.観点数, COUNTA(INDIRECT("F"&amp;_xlpm.直近で詳細項目が空でないセルの行番号):F264),
_xlpm.直近で観点が空でないセルの行番号, MAX(INDEX((LEN($F$11:F264)&gt;0)*ROW($F$11:F264),0)),
_xlpm.テスト内容数, COUNTA(INDIRECT("J"&amp;_xlpm.直近で観点が空でないセルの行番号):J264),
_xlpm.テスト内容数_空なら1, IF(_xlpm.テスト内容数=0,1,_xlpm.テスト内容数),
_xlpm.詳細項目数&amp;"-"&amp;_xlpm.観点数&amp;"-"&amp;_xlpm.テスト内容数_空なら1
)</f>
        <v>92-1-1</v>
      </c>
      <c r="B264" s="143"/>
      <c r="C264" s="143"/>
      <c r="D264" s="143"/>
      <c r="E264" s="146" t="s">
        <v>109</v>
      </c>
      <c r="F264" s="124" t="s">
        <v>429</v>
      </c>
      <c r="G264" s="125" t="s">
        <v>510</v>
      </c>
      <c r="H264" s="112"/>
      <c r="I264" s="112"/>
      <c r="J264" s="125"/>
      <c r="K264" s="125"/>
      <c r="L264" s="112"/>
      <c r="M264" s="112"/>
      <c r="N264" s="112"/>
      <c r="O264" s="112"/>
      <c r="P264" s="112"/>
      <c r="Q264" s="123"/>
      <c r="R264" s="125"/>
    </row>
    <row r="265" spans="1:18">
      <c r="A265" s="74" t="str" cm="1">
        <f t="array" aca="1" ref="A265" ca="1">_xlfn.LET(
_xlpm.詳細項目数, COUNTA($E$11:E265),
_xlpm.直近で詳細項目が空でないセルの行番号, MAX(INDEX((LEN($E$11:E265)&gt;0)*ROW($E$11:E265),0)),
_xlpm.観点数, COUNTA(INDIRECT("F"&amp;_xlpm.直近で詳細項目が空でないセルの行番号):F265),
_xlpm.直近で観点が空でないセルの行番号, MAX(INDEX((LEN($F$11:F265)&gt;0)*ROW($F$11:F265),0)),
_xlpm.テスト内容数, COUNTA(INDIRECT("J"&amp;_xlpm.直近で観点が空でないセルの行番号):J265),
_xlpm.テスト内容数_空なら1, IF(_xlpm.テスト内容数=0,1,_xlpm.テスト内容数),
_xlpm.詳細項目数&amp;"-"&amp;_xlpm.観点数&amp;"-"&amp;_xlpm.テスト内容数_空なら1
)</f>
        <v>92-2-1</v>
      </c>
      <c r="B265" s="143"/>
      <c r="C265" s="143"/>
      <c r="D265" s="143"/>
      <c r="E265" s="146"/>
      <c r="F265" s="124" t="s">
        <v>430</v>
      </c>
      <c r="G265" s="125" t="s">
        <v>510</v>
      </c>
      <c r="H265" s="112"/>
      <c r="I265" s="112"/>
      <c r="J265" s="125"/>
      <c r="K265" s="125"/>
      <c r="L265" s="112"/>
      <c r="M265" s="112"/>
      <c r="N265" s="112"/>
      <c r="O265" s="112"/>
      <c r="P265" s="112"/>
      <c r="Q265" s="123"/>
      <c r="R265" s="125"/>
    </row>
    <row r="266" spans="1:18" ht="22">
      <c r="A266" s="74" t="str" cm="1">
        <f t="array" aca="1" ref="A266" ca="1">_xlfn.LET(
_xlpm.詳細項目数, COUNTA($E$11:E266),
_xlpm.直近で詳細項目が空でないセルの行番号, MAX(INDEX((LEN($E$11:E266)&gt;0)*ROW($E$11:E266),0)),
_xlpm.観点数, COUNTA(INDIRECT("F"&amp;_xlpm.直近で詳細項目が空でないセルの行番号):F266),
_xlpm.直近で観点が空でないセルの行番号, MAX(INDEX((LEN($F$11:F266)&gt;0)*ROW($F$11:F266),0)),
_xlpm.テスト内容数, COUNTA(INDIRECT("J"&amp;_xlpm.直近で観点が空でないセルの行番号):J266),
_xlpm.テスト内容数_空なら1, IF(_xlpm.テスト内容数=0,1,_xlpm.テスト内容数),
_xlpm.詳細項目数&amp;"-"&amp;_xlpm.観点数&amp;"-"&amp;_xlpm.テスト内容数_空なら1
)</f>
        <v>92-3-1</v>
      </c>
      <c r="B266" s="143"/>
      <c r="C266" s="144"/>
      <c r="D266" s="143"/>
      <c r="E266" s="146"/>
      <c r="F266" s="124" t="s">
        <v>431</v>
      </c>
      <c r="G266" s="125" t="s">
        <v>510</v>
      </c>
      <c r="H266" s="112"/>
      <c r="I266" s="112"/>
      <c r="J266" s="125"/>
      <c r="K266" s="125"/>
      <c r="L266" s="112"/>
      <c r="M266" s="112"/>
      <c r="N266" s="112"/>
      <c r="O266" s="112"/>
      <c r="P266" s="112"/>
      <c r="Q266" s="123"/>
      <c r="R266" s="125"/>
    </row>
    <row r="267" spans="1:18" ht="22">
      <c r="A267" s="74" t="str" cm="1">
        <f t="array" aca="1" ref="A267" ca="1">_xlfn.LET(
_xlpm.詳細項目数, COUNTA($E$11:E267),
_xlpm.直近で詳細項目が空でないセルの行番号, MAX(INDEX((LEN($E$11:E267)&gt;0)*ROW($E$11:E267),0)),
_xlpm.観点数, COUNTA(INDIRECT("F"&amp;_xlpm.直近で詳細項目が空でないセルの行番号):F267),
_xlpm.直近で観点が空でないセルの行番号, MAX(INDEX((LEN($F$11:F267)&gt;0)*ROW($F$11:F267),0)),
_xlpm.テスト内容数, COUNTA(INDIRECT("J"&amp;_xlpm.直近で観点が空でないセルの行番号):J267),
_xlpm.テスト内容数_空なら1, IF(_xlpm.テスト内容数=0,1,_xlpm.テスト内容数),
_xlpm.詳細項目数&amp;"-"&amp;_xlpm.観点数&amp;"-"&amp;_xlpm.テスト内容数_空なら1
)</f>
        <v>92-4-1</v>
      </c>
      <c r="B267" s="143"/>
      <c r="C267" s="144"/>
      <c r="D267" s="146"/>
      <c r="E267" s="146"/>
      <c r="F267" s="124" t="s">
        <v>432</v>
      </c>
      <c r="G267" s="125" t="s">
        <v>510</v>
      </c>
      <c r="H267" s="112"/>
      <c r="I267" s="112"/>
      <c r="J267" s="125"/>
      <c r="K267" s="125"/>
      <c r="L267" s="112"/>
      <c r="M267" s="112"/>
      <c r="N267" s="112"/>
      <c r="O267" s="112"/>
      <c r="P267" s="112"/>
      <c r="Q267" s="123"/>
      <c r="R267" s="125"/>
    </row>
    <row r="268" spans="1:18" ht="22">
      <c r="A268" s="74" t="str" cm="1">
        <f t="array" aca="1" ref="A268" ca="1">_xlfn.LET(
_xlpm.詳細項目数, COUNTA($E$11:E268),
_xlpm.直近で詳細項目が空でないセルの行番号, MAX(INDEX((LEN($E$11:E268)&gt;0)*ROW($E$11:E268),0)),
_xlpm.観点数, COUNTA(INDIRECT("F"&amp;_xlpm.直近で詳細項目が空でないセルの行番号):F268),
_xlpm.直近で観点が空でないセルの行番号, MAX(INDEX((LEN($F$11:F268)&gt;0)*ROW($F$11:F268),0)),
_xlpm.テスト内容数, COUNTA(INDIRECT("J"&amp;_xlpm.直近で観点が空でないセルの行番号):J268),
_xlpm.テスト内容数_空なら1, IF(_xlpm.テスト内容数=0,1,_xlpm.テスト内容数),
_xlpm.詳細項目数&amp;"-"&amp;_xlpm.観点数&amp;"-"&amp;_xlpm.テスト内容数_空なら1
)</f>
        <v>92-5-1</v>
      </c>
      <c r="B268" s="143"/>
      <c r="C268" s="144"/>
      <c r="D268" s="146"/>
      <c r="E268" s="146"/>
      <c r="F268" s="124" t="s">
        <v>433</v>
      </c>
      <c r="G268" s="125" t="s">
        <v>510</v>
      </c>
      <c r="H268" s="112"/>
      <c r="I268" s="112"/>
      <c r="J268" s="125"/>
      <c r="K268" s="125"/>
      <c r="L268" s="112"/>
      <c r="M268" s="112"/>
      <c r="N268" s="112"/>
      <c r="O268" s="112"/>
      <c r="P268" s="112"/>
      <c r="Q268" s="123"/>
      <c r="R268" s="125"/>
    </row>
    <row r="269" spans="1:18" ht="33">
      <c r="A269" s="74" t="str" cm="1">
        <f t="array" aca="1" ref="A269" ca="1">_xlfn.LET(
_xlpm.詳細項目数, COUNTA($E$11:E269),
_xlpm.直近で詳細項目が空でないセルの行番号, MAX(INDEX((LEN($E$11:E269)&gt;0)*ROW($E$11:E269),0)),
_xlpm.観点数, COUNTA(INDIRECT("F"&amp;_xlpm.直近で詳細項目が空でないセルの行番号):F269),
_xlpm.直近で観点が空でないセルの行番号, MAX(INDEX((LEN($F$11:F269)&gt;0)*ROW($F$11:F269),0)),
_xlpm.テスト内容数, COUNTA(INDIRECT("J"&amp;_xlpm.直近で観点が空でないセルの行番号):J269),
_xlpm.テスト内容数_空なら1, IF(_xlpm.テスト内容数=0,1,_xlpm.テスト内容数),
_xlpm.詳細項目数&amp;"-"&amp;_xlpm.観点数&amp;"-"&amp;_xlpm.テスト内容数_空なら1
)</f>
        <v>92-6-1</v>
      </c>
      <c r="B269" s="143"/>
      <c r="C269" s="144"/>
      <c r="D269" s="146"/>
      <c r="E269" s="145"/>
      <c r="F269" s="124" t="s">
        <v>434</v>
      </c>
      <c r="G269" s="125" t="s">
        <v>510</v>
      </c>
      <c r="H269" s="112"/>
      <c r="I269" s="112"/>
      <c r="J269" s="125"/>
      <c r="K269" s="125"/>
      <c r="L269" s="112"/>
      <c r="M269" s="112"/>
      <c r="N269" s="112"/>
      <c r="O269" s="112"/>
      <c r="P269" s="112"/>
      <c r="Q269" s="123"/>
      <c r="R269" s="125"/>
    </row>
    <row r="270" spans="1:18" ht="22">
      <c r="A270" s="74" t="str" cm="1">
        <f t="array" aca="1" ref="A270" ca="1">_xlfn.LET(
_xlpm.詳細項目数, COUNTA($E$11:E270),
_xlpm.直近で詳細項目が空でないセルの行番号, MAX(INDEX((LEN($E$11:E270)&gt;0)*ROW($E$11:E270),0)),
_xlpm.観点数, COUNTA(INDIRECT("F"&amp;_xlpm.直近で詳細項目が空でないセルの行番号):F270),
_xlpm.直近で観点が空でないセルの行番号, MAX(INDEX((LEN($F$11:F270)&gt;0)*ROW($F$11:F270),0)),
_xlpm.テスト内容数, COUNTA(INDIRECT("J"&amp;_xlpm.直近で観点が空でないセルの行番号):J270),
_xlpm.テスト内容数_空なら1, IF(_xlpm.テスト内容数=0,1,_xlpm.テスト内容数),
_xlpm.詳細項目数&amp;"-"&amp;_xlpm.観点数&amp;"-"&amp;_xlpm.テスト内容数_空なら1
)</f>
        <v>93-1-1</v>
      </c>
      <c r="B270" s="143"/>
      <c r="C270" s="144"/>
      <c r="D270" s="146"/>
      <c r="E270" s="146" t="s">
        <v>253</v>
      </c>
      <c r="F270" s="124" t="s">
        <v>435</v>
      </c>
      <c r="G270" s="125" t="s">
        <v>510</v>
      </c>
      <c r="H270" s="112"/>
      <c r="I270" s="112"/>
      <c r="J270" s="125"/>
      <c r="K270" s="125"/>
      <c r="L270" s="112"/>
      <c r="M270" s="112"/>
      <c r="N270" s="112"/>
      <c r="O270" s="112"/>
      <c r="P270" s="112"/>
      <c r="Q270" s="123"/>
      <c r="R270" s="125"/>
    </row>
    <row r="271" spans="1:18" ht="33">
      <c r="A271" s="74" t="str" cm="1">
        <f t="array" aca="1" ref="A271" ca="1">_xlfn.LET(
_xlpm.詳細項目数, COUNTA($E$11:E271),
_xlpm.直近で詳細項目が空でないセルの行番号, MAX(INDEX((LEN($E$11:E271)&gt;0)*ROW($E$11:E271),0)),
_xlpm.観点数, COUNTA(INDIRECT("F"&amp;_xlpm.直近で詳細項目が空でないセルの行番号):F271),
_xlpm.直近で観点が空でないセルの行番号, MAX(INDEX((LEN($F$11:F271)&gt;0)*ROW($F$11:F271),0)),
_xlpm.テスト内容数, COUNTA(INDIRECT("J"&amp;_xlpm.直近で観点が空でないセルの行番号):J271),
_xlpm.テスト内容数_空なら1, IF(_xlpm.テスト内容数=0,1,_xlpm.テスト内容数),
_xlpm.詳細項目数&amp;"-"&amp;_xlpm.観点数&amp;"-"&amp;_xlpm.テスト内容数_空なら1
)</f>
        <v>93-2-1</v>
      </c>
      <c r="B271" s="143"/>
      <c r="C271" s="144"/>
      <c r="D271" s="146"/>
      <c r="E271" s="146"/>
      <c r="F271" s="124" t="s">
        <v>436</v>
      </c>
      <c r="G271" s="125" t="s">
        <v>510</v>
      </c>
      <c r="H271" s="112"/>
      <c r="I271" s="112"/>
      <c r="J271" s="125"/>
      <c r="K271" s="125"/>
      <c r="L271" s="112"/>
      <c r="M271" s="112"/>
      <c r="N271" s="112"/>
      <c r="O271" s="112"/>
      <c r="P271" s="112"/>
      <c r="Q271" s="123"/>
      <c r="R271" s="125"/>
    </row>
    <row r="272" spans="1:18" ht="44">
      <c r="A272" s="74" t="str" cm="1">
        <f t="array" aca="1" ref="A272" ca="1">_xlfn.LET(
_xlpm.詳細項目数, COUNTA($E$11:E272),
_xlpm.直近で詳細項目が空でないセルの行番号, MAX(INDEX((LEN($E$11:E272)&gt;0)*ROW($E$11:E272),0)),
_xlpm.観点数, COUNTA(INDIRECT("F"&amp;_xlpm.直近で詳細項目が空でないセルの行番号):F272),
_xlpm.直近で観点が空でないセルの行番号, MAX(INDEX((LEN($F$11:F272)&gt;0)*ROW($F$11:F272),0)),
_xlpm.テスト内容数, COUNTA(INDIRECT("J"&amp;_xlpm.直近で観点が空でないセルの行番号):J272),
_xlpm.テスト内容数_空なら1, IF(_xlpm.テスト内容数=0,1,_xlpm.テスト内容数),
_xlpm.詳細項目数&amp;"-"&amp;_xlpm.観点数&amp;"-"&amp;_xlpm.テスト内容数_空なら1
)</f>
        <v>93-3-1</v>
      </c>
      <c r="B272" s="143"/>
      <c r="C272" s="144"/>
      <c r="D272" s="146"/>
      <c r="E272" s="146"/>
      <c r="F272" s="124" t="s">
        <v>437</v>
      </c>
      <c r="G272" s="125" t="s">
        <v>510</v>
      </c>
      <c r="H272" s="112"/>
      <c r="I272" s="112"/>
      <c r="J272" s="125"/>
      <c r="K272" s="125"/>
      <c r="L272" s="112"/>
      <c r="M272" s="112"/>
      <c r="N272" s="112"/>
      <c r="O272" s="112"/>
      <c r="P272" s="112"/>
      <c r="Q272" s="123"/>
      <c r="R272" s="125"/>
    </row>
    <row r="273" spans="1:18" ht="44">
      <c r="A273" s="74" t="str" cm="1">
        <f t="array" aca="1" ref="A273" ca="1">_xlfn.LET(
_xlpm.詳細項目数, COUNTA($E$11:E273),
_xlpm.直近で詳細項目が空でないセルの行番号, MAX(INDEX((LEN($E$11:E273)&gt;0)*ROW($E$11:E273),0)),
_xlpm.観点数, COUNTA(INDIRECT("F"&amp;_xlpm.直近で詳細項目が空でないセルの行番号):F273),
_xlpm.直近で観点が空でないセルの行番号, MAX(INDEX((LEN($F$11:F273)&gt;0)*ROW($F$11:F273),0)),
_xlpm.テスト内容数, COUNTA(INDIRECT("J"&amp;_xlpm.直近で観点が空でないセルの行番号):J273),
_xlpm.テスト内容数_空なら1, IF(_xlpm.テスト内容数=0,1,_xlpm.テスト内容数),
_xlpm.詳細項目数&amp;"-"&amp;_xlpm.観点数&amp;"-"&amp;_xlpm.テスト内容数_空なら1
)</f>
        <v>93-4-1</v>
      </c>
      <c r="B273" s="143"/>
      <c r="C273" s="144"/>
      <c r="D273" s="146"/>
      <c r="E273" s="146"/>
      <c r="F273" s="124" t="s">
        <v>438</v>
      </c>
      <c r="G273" s="125" t="s">
        <v>510</v>
      </c>
      <c r="H273" s="112"/>
      <c r="I273" s="112"/>
      <c r="J273" s="125"/>
      <c r="K273" s="125"/>
      <c r="L273" s="112"/>
      <c r="M273" s="112"/>
      <c r="N273" s="112"/>
      <c r="O273" s="112"/>
      <c r="P273" s="112"/>
      <c r="Q273" s="123"/>
      <c r="R273" s="125"/>
    </row>
    <row r="274" spans="1:18" ht="22">
      <c r="A274" s="74" t="str" cm="1">
        <f t="array" aca="1" ref="A274" ca="1">_xlfn.LET(
_xlpm.詳細項目数, COUNTA($E$11:E274),
_xlpm.直近で詳細項目が空でないセルの行番号, MAX(INDEX((LEN($E$11:E274)&gt;0)*ROW($E$11:E274),0)),
_xlpm.観点数, COUNTA(INDIRECT("F"&amp;_xlpm.直近で詳細項目が空でないセルの行番号):F274),
_xlpm.直近で観点が空でないセルの行番号, MAX(INDEX((LEN($F$11:F274)&gt;0)*ROW($F$11:F274),0)),
_xlpm.テスト内容数, COUNTA(INDIRECT("J"&amp;_xlpm.直近で観点が空でないセルの行番号):J274),
_xlpm.テスト内容数_空なら1, IF(_xlpm.テスト内容数=0,1,_xlpm.テスト内容数),
_xlpm.詳細項目数&amp;"-"&amp;_xlpm.観点数&amp;"-"&amp;_xlpm.テスト内容数_空なら1
)</f>
        <v>93-5-1</v>
      </c>
      <c r="B274" s="143"/>
      <c r="C274" s="144"/>
      <c r="D274" s="146"/>
      <c r="E274" s="146"/>
      <c r="F274" s="124" t="s">
        <v>439</v>
      </c>
      <c r="G274" s="125" t="s">
        <v>510</v>
      </c>
      <c r="H274" s="112"/>
      <c r="I274" s="112"/>
      <c r="J274" s="125"/>
      <c r="K274" s="125"/>
      <c r="L274" s="112"/>
      <c r="M274" s="112"/>
      <c r="N274" s="112"/>
      <c r="O274" s="112"/>
      <c r="P274" s="112"/>
      <c r="Q274" s="123"/>
      <c r="R274" s="125"/>
    </row>
    <row r="275" spans="1:18" ht="44">
      <c r="A275" s="74" t="str" cm="1">
        <f t="array" aca="1" ref="A275" ca="1">_xlfn.LET(
_xlpm.詳細項目数, COUNTA($E$11:E275),
_xlpm.直近で詳細項目が空でないセルの行番号, MAX(INDEX((LEN($E$11:E275)&gt;0)*ROW($E$11:E275),0)),
_xlpm.観点数, COUNTA(INDIRECT("F"&amp;_xlpm.直近で詳細項目が空でないセルの行番号):F275),
_xlpm.直近で観点が空でないセルの行番号, MAX(INDEX((LEN($F$11:F275)&gt;0)*ROW($F$11:F275),0)),
_xlpm.テスト内容数, COUNTA(INDIRECT("J"&amp;_xlpm.直近で観点が空でないセルの行番号):J275),
_xlpm.テスト内容数_空なら1, IF(_xlpm.テスト内容数=0,1,_xlpm.テスト内容数),
_xlpm.詳細項目数&amp;"-"&amp;_xlpm.観点数&amp;"-"&amp;_xlpm.テスト内容数_空なら1
)</f>
        <v>93-6-1</v>
      </c>
      <c r="B275" s="143"/>
      <c r="C275" s="144"/>
      <c r="D275" s="146"/>
      <c r="E275" s="146"/>
      <c r="F275" s="124" t="s">
        <v>440</v>
      </c>
      <c r="G275" s="125" t="s">
        <v>510</v>
      </c>
      <c r="H275" s="112"/>
      <c r="I275" s="112"/>
      <c r="J275" s="125"/>
      <c r="K275" s="125"/>
      <c r="L275" s="112"/>
      <c r="M275" s="112"/>
      <c r="N275" s="112"/>
      <c r="O275" s="112"/>
      <c r="P275" s="112"/>
      <c r="Q275" s="123"/>
      <c r="R275" s="125"/>
    </row>
    <row r="276" spans="1:18" ht="44">
      <c r="A276" s="74" t="str" cm="1">
        <f t="array" aca="1" ref="A276" ca="1">_xlfn.LET(
_xlpm.詳細項目数, COUNTA($E$11:E276),
_xlpm.直近で詳細項目が空でないセルの行番号, MAX(INDEX((LEN($E$11:E276)&gt;0)*ROW($E$11:E276),0)),
_xlpm.観点数, COUNTA(INDIRECT("F"&amp;_xlpm.直近で詳細項目が空でないセルの行番号):F276),
_xlpm.直近で観点が空でないセルの行番号, MAX(INDEX((LEN($F$11:F276)&gt;0)*ROW($F$11:F276),0)),
_xlpm.テスト内容数, COUNTA(INDIRECT("J"&amp;_xlpm.直近で観点が空でないセルの行番号):J276),
_xlpm.テスト内容数_空なら1, IF(_xlpm.テスト内容数=0,1,_xlpm.テスト内容数),
_xlpm.詳細項目数&amp;"-"&amp;_xlpm.観点数&amp;"-"&amp;_xlpm.テスト内容数_空なら1
)</f>
        <v>93-7-1</v>
      </c>
      <c r="B276" s="143"/>
      <c r="C276" s="144"/>
      <c r="D276" s="146"/>
      <c r="E276" s="146"/>
      <c r="F276" s="124" t="s">
        <v>441</v>
      </c>
      <c r="G276" s="125" t="s">
        <v>510</v>
      </c>
      <c r="H276" s="112"/>
      <c r="I276" s="112"/>
      <c r="J276" s="125"/>
      <c r="K276" s="125"/>
      <c r="L276" s="112"/>
      <c r="M276" s="112"/>
      <c r="N276" s="112"/>
      <c r="O276" s="112"/>
      <c r="P276" s="112"/>
      <c r="Q276" s="123"/>
      <c r="R276" s="125"/>
    </row>
    <row r="277" spans="1:18" ht="22">
      <c r="A277" s="74" t="str" cm="1">
        <f t="array" aca="1" ref="A277" ca="1">_xlfn.LET(
_xlpm.詳細項目数, COUNTA($E$11:E277),
_xlpm.直近で詳細項目が空でないセルの行番号, MAX(INDEX((LEN($E$11:E277)&gt;0)*ROW($E$11:E277),0)),
_xlpm.観点数, COUNTA(INDIRECT("F"&amp;_xlpm.直近で詳細項目が空でないセルの行番号):F277),
_xlpm.直近で観点が空でないセルの行番号, MAX(INDEX((LEN($F$11:F277)&gt;0)*ROW($F$11:F277),0)),
_xlpm.テスト内容数, COUNTA(INDIRECT("J"&amp;_xlpm.直近で観点が空でないセルの行番号):J277),
_xlpm.テスト内容数_空なら1, IF(_xlpm.テスト内容数=0,1,_xlpm.テスト内容数),
_xlpm.詳細項目数&amp;"-"&amp;_xlpm.観点数&amp;"-"&amp;_xlpm.テスト内容数_空なら1
)</f>
        <v>93-8-1</v>
      </c>
      <c r="B277" s="143"/>
      <c r="C277" s="144"/>
      <c r="D277" s="146"/>
      <c r="E277" s="145"/>
      <c r="F277" s="124" t="s">
        <v>442</v>
      </c>
      <c r="G277" s="125" t="s">
        <v>510</v>
      </c>
      <c r="H277" s="112"/>
      <c r="I277" s="112"/>
      <c r="J277" s="125"/>
      <c r="K277" s="125"/>
      <c r="L277" s="112"/>
      <c r="M277" s="112"/>
      <c r="N277" s="112"/>
      <c r="O277" s="112"/>
      <c r="P277" s="112"/>
      <c r="Q277" s="123"/>
      <c r="R277" s="125"/>
    </row>
    <row r="278" spans="1:18" ht="22">
      <c r="A278" s="74" t="str" cm="1">
        <f t="array" aca="1" ref="A278" ca="1">_xlfn.LET(
_xlpm.詳細項目数, COUNTA($E$11:E278),
_xlpm.直近で詳細項目が空でないセルの行番号, MAX(INDEX((LEN($E$11:E278)&gt;0)*ROW($E$11:E278),0)),
_xlpm.観点数, COUNTA(INDIRECT("F"&amp;_xlpm.直近で詳細項目が空でないセルの行番号):F278),
_xlpm.直近で観点が空でないセルの行番号, MAX(INDEX((LEN($F$11:F278)&gt;0)*ROW($F$11:F278),0)),
_xlpm.テスト内容数, COUNTA(INDIRECT("J"&amp;_xlpm.直近で観点が空でないセルの行番号):J278),
_xlpm.テスト内容数_空なら1, IF(_xlpm.テスト内容数=0,1,_xlpm.テスト内容数),
_xlpm.詳細項目数&amp;"-"&amp;_xlpm.観点数&amp;"-"&amp;_xlpm.テスト内容数_空なら1
)</f>
        <v>94-1-1</v>
      </c>
      <c r="B278" s="145"/>
      <c r="C278" s="160"/>
      <c r="D278" s="147"/>
      <c r="E278" s="147" t="s">
        <v>287</v>
      </c>
      <c r="F278" s="124" t="s">
        <v>443</v>
      </c>
      <c r="G278" s="125" t="s">
        <v>510</v>
      </c>
      <c r="H278" s="112"/>
      <c r="I278" s="112"/>
      <c r="J278" s="125"/>
      <c r="K278" s="125"/>
      <c r="L278" s="112"/>
      <c r="M278" s="112"/>
      <c r="N278" s="112"/>
      <c r="O278" s="112"/>
      <c r="P278" s="112"/>
      <c r="Q278" s="123"/>
      <c r="R278" s="125"/>
    </row>
    <row r="279" spans="1:18" ht="22">
      <c r="A279" s="74" t="str" cm="1">
        <f t="array" aca="1" ref="A279" ca="1">_xlfn.LET(
_xlpm.詳細項目数, COUNTA($E$11:E279),
_xlpm.直近で詳細項目が空でないセルの行番号, MAX(INDEX((LEN($E$11:E279)&gt;0)*ROW($E$11:E279),0)),
_xlpm.観点数, COUNTA(INDIRECT("F"&amp;_xlpm.直近で詳細項目が空でないセルの行番号):F279),
_xlpm.直近で観点が空でないセルの行番号, MAX(INDEX((LEN($F$11:F279)&gt;0)*ROW($F$11:F279),0)),
_xlpm.テスト内容数, COUNTA(INDIRECT("J"&amp;_xlpm.直近で観点が空でないセルの行番号):J279),
_xlpm.テスト内容数_空なら1, IF(_xlpm.テスト内容数=0,1,_xlpm.テスト内容数),
_xlpm.詳細項目数&amp;"-"&amp;_xlpm.観点数&amp;"-"&amp;_xlpm.テスト内容数_空なら1
)</f>
        <v>95-1-1</v>
      </c>
      <c r="B279" s="142" t="s">
        <v>444</v>
      </c>
      <c r="C279" s="142" t="s">
        <v>445</v>
      </c>
      <c r="D279" s="142" t="s">
        <v>467</v>
      </c>
      <c r="E279" s="148" t="s">
        <v>467</v>
      </c>
      <c r="F279" s="124" t="s">
        <v>446</v>
      </c>
      <c r="G279" s="84" t="s">
        <v>511</v>
      </c>
      <c r="H279" s="112"/>
      <c r="I279" s="112"/>
      <c r="J279" s="131"/>
      <c r="K279" s="125"/>
      <c r="L279" s="112"/>
      <c r="M279" s="112"/>
      <c r="N279" s="112"/>
      <c r="O279" s="112"/>
      <c r="P279" s="112"/>
      <c r="Q279" s="123"/>
      <c r="R279" s="125"/>
    </row>
    <row r="280" spans="1:18" ht="22">
      <c r="A280" s="74" t="str" cm="1">
        <f t="array" aca="1" ref="A280" ca="1">_xlfn.LET(
_xlpm.詳細項目数, COUNTA($E$11:E280),
_xlpm.直近で詳細項目が空でないセルの行番号, MAX(INDEX((LEN($E$11:E280)&gt;0)*ROW($E$11:E280),0)),
_xlpm.観点数, COUNTA(INDIRECT("F"&amp;_xlpm.直近で詳細項目が空でないセルの行番号):F280),
_xlpm.直近で観点が空でないセルの行番号, MAX(INDEX((LEN($F$11:F280)&gt;0)*ROW($F$11:F280),0)),
_xlpm.テスト内容数, COUNTA(INDIRECT("J"&amp;_xlpm.直近で観点が空でないセルの行番号):J280),
_xlpm.テスト内容数_空なら1, IF(_xlpm.テスト内容数=0,1,_xlpm.テスト内容数),
_xlpm.詳細項目数&amp;"-"&amp;_xlpm.観点数&amp;"-"&amp;_xlpm.テスト内容数_空なら1
)</f>
        <v>95-2-1</v>
      </c>
      <c r="B280" s="143"/>
      <c r="C280" s="143"/>
      <c r="D280" s="143"/>
      <c r="E280" s="146"/>
      <c r="F280" s="124" t="s">
        <v>447</v>
      </c>
      <c r="G280" s="84" t="s">
        <v>511</v>
      </c>
      <c r="H280" s="112"/>
      <c r="I280" s="112"/>
      <c r="J280" s="131"/>
      <c r="K280" s="125"/>
      <c r="L280" s="112"/>
      <c r="M280" s="112"/>
      <c r="N280" s="112"/>
      <c r="O280" s="112"/>
      <c r="P280" s="112"/>
      <c r="Q280" s="123"/>
      <c r="R280" s="125"/>
    </row>
    <row r="281" spans="1:18" ht="22">
      <c r="A281" s="74" t="str" cm="1">
        <f t="array" aca="1" ref="A281" ca="1">_xlfn.LET(
_xlpm.詳細項目数, COUNTA($E$11:E281),
_xlpm.直近で詳細項目が空でないセルの行番号, MAX(INDEX((LEN($E$11:E281)&gt;0)*ROW($E$11:E281),0)),
_xlpm.観点数, COUNTA(INDIRECT("F"&amp;_xlpm.直近で詳細項目が空でないセルの行番号):F281),
_xlpm.直近で観点が空でないセルの行番号, MAX(INDEX((LEN($F$11:F281)&gt;0)*ROW($F$11:F281),0)),
_xlpm.テスト内容数, COUNTA(INDIRECT("J"&amp;_xlpm.直近で観点が空でないセルの行番号):J281),
_xlpm.テスト内容数_空なら1, IF(_xlpm.テスト内容数=0,1,_xlpm.テスト内容数),
_xlpm.詳細項目数&amp;"-"&amp;_xlpm.観点数&amp;"-"&amp;_xlpm.テスト内容数_空なら1
)</f>
        <v>95-3-1</v>
      </c>
      <c r="B281" s="143"/>
      <c r="C281" s="143"/>
      <c r="D281" s="143"/>
      <c r="E281" s="146"/>
      <c r="F281" s="124" t="s">
        <v>448</v>
      </c>
      <c r="G281" s="84" t="s">
        <v>511</v>
      </c>
      <c r="H281" s="112"/>
      <c r="I281" s="112"/>
      <c r="J281" s="131"/>
      <c r="K281" s="125"/>
      <c r="L281" s="112"/>
      <c r="M281" s="112"/>
      <c r="N281" s="112"/>
      <c r="O281" s="112"/>
      <c r="P281" s="112"/>
      <c r="Q281" s="123"/>
      <c r="R281" s="125"/>
    </row>
    <row r="282" spans="1:18" ht="22">
      <c r="A282" s="74" t="str" cm="1">
        <f t="array" aca="1" ref="A282" ca="1">_xlfn.LET(
_xlpm.詳細項目数, COUNTA($E$11:E282),
_xlpm.直近で詳細項目が空でないセルの行番号, MAX(INDEX((LEN($E$11:E282)&gt;0)*ROW($E$11:E282),0)),
_xlpm.観点数, COUNTA(INDIRECT("F"&amp;_xlpm.直近で詳細項目が空でないセルの行番号):F282),
_xlpm.直近で観点が空でないセルの行番号, MAX(INDEX((LEN($F$11:F282)&gt;0)*ROW($F$11:F282),0)),
_xlpm.テスト内容数, COUNTA(INDIRECT("J"&amp;_xlpm.直近で観点が空でないセルの行番号):J282),
_xlpm.テスト内容数_空なら1, IF(_xlpm.テスト内容数=0,1,_xlpm.テスト内容数),
_xlpm.詳細項目数&amp;"-"&amp;_xlpm.観点数&amp;"-"&amp;_xlpm.テスト内容数_空なら1
)</f>
        <v>95-4-1</v>
      </c>
      <c r="B282" s="143"/>
      <c r="C282" s="145"/>
      <c r="D282" s="145"/>
      <c r="E282" s="145"/>
      <c r="F282" s="124" t="s">
        <v>449</v>
      </c>
      <c r="G282" s="84" t="s">
        <v>511</v>
      </c>
      <c r="H282" s="112"/>
      <c r="I282" s="112"/>
      <c r="J282" s="131"/>
      <c r="K282" s="125"/>
      <c r="L282" s="112"/>
      <c r="M282" s="112"/>
      <c r="N282" s="112"/>
      <c r="O282" s="112"/>
      <c r="P282" s="112"/>
      <c r="Q282" s="123"/>
      <c r="R282" s="125"/>
    </row>
    <row r="283" spans="1:18" ht="22">
      <c r="A283" s="74" t="str" cm="1">
        <f t="array" aca="1" ref="A283" ca="1">_xlfn.LET(
_xlpm.詳細項目数, COUNTA($E$11:E283),
_xlpm.直近で詳細項目が空でないセルの行番号, MAX(INDEX((LEN($E$11:E283)&gt;0)*ROW($E$11:E283),0)),
_xlpm.観点数, COUNTA(INDIRECT("F"&amp;_xlpm.直近で詳細項目が空でないセルの行番号):F283),
_xlpm.直近で観点が空でないセルの行番号, MAX(INDEX((LEN($F$11:F283)&gt;0)*ROW($F$11:F283),0)),
_xlpm.テスト内容数, COUNTA(INDIRECT("J"&amp;_xlpm.直近で観点が空でないセルの行番号):J283),
_xlpm.テスト内容数_空なら1, IF(_xlpm.テスト内容数=0,1,_xlpm.テスト内容数),
_xlpm.詳細項目数&amp;"-"&amp;_xlpm.観点数&amp;"-"&amp;_xlpm.テスト内容数_空なら1
)</f>
        <v>96-1-1</v>
      </c>
      <c r="B283" s="143"/>
      <c r="C283" s="143" t="s">
        <v>450</v>
      </c>
      <c r="D283" s="143" t="s">
        <v>262</v>
      </c>
      <c r="E283" s="145" t="s">
        <v>280</v>
      </c>
      <c r="F283" s="124" t="s">
        <v>451</v>
      </c>
      <c r="G283" s="84" t="s">
        <v>511</v>
      </c>
      <c r="H283" s="112"/>
      <c r="I283" s="112"/>
      <c r="J283" s="131"/>
      <c r="K283" s="125"/>
      <c r="L283" s="112"/>
      <c r="M283" s="112"/>
      <c r="N283" s="112"/>
      <c r="O283" s="112"/>
      <c r="P283" s="112"/>
      <c r="Q283" s="123"/>
      <c r="R283" s="125"/>
    </row>
    <row r="284" spans="1:18" ht="22">
      <c r="A284" s="74" t="str" cm="1">
        <f t="array" aca="1" ref="A284" ca="1">_xlfn.LET(
_xlpm.詳細項目数, COUNTA($E$11:E284),
_xlpm.直近で詳細項目が空でないセルの行番号, MAX(INDEX((LEN($E$11:E284)&gt;0)*ROW($E$11:E284),0)),
_xlpm.観点数, COUNTA(INDIRECT("F"&amp;_xlpm.直近で詳細項目が空でないセルの行番号):F284),
_xlpm.直近で観点が空でないセルの行番号, MAX(INDEX((LEN($F$11:F284)&gt;0)*ROW($F$11:F284),0)),
_xlpm.テスト内容数, COUNTA(INDIRECT("J"&amp;_xlpm.直近で観点が空でないセルの行番号):J284),
_xlpm.テスト内容数_空なら1, IF(_xlpm.テスト内容数=0,1,_xlpm.テスト内容数),
_xlpm.詳細項目数&amp;"-"&amp;_xlpm.観点数&amp;"-"&amp;_xlpm.テスト内容数_空なら1
)</f>
        <v>97-1-1</v>
      </c>
      <c r="B284" s="143"/>
      <c r="C284" s="143"/>
      <c r="D284" s="143"/>
      <c r="E284" s="145" t="s">
        <v>282</v>
      </c>
      <c r="F284" s="124" t="s">
        <v>452</v>
      </c>
      <c r="G284" s="84" t="s">
        <v>511</v>
      </c>
      <c r="H284" s="112"/>
      <c r="I284" s="112"/>
      <c r="J284" s="131"/>
      <c r="K284" s="125"/>
      <c r="L284" s="112"/>
      <c r="M284" s="112"/>
      <c r="N284" s="112"/>
      <c r="O284" s="112"/>
      <c r="P284" s="112"/>
      <c r="Q284" s="123"/>
      <c r="R284" s="125"/>
    </row>
    <row r="285" spans="1:18" ht="22">
      <c r="A285" s="74" t="str" cm="1">
        <f t="array" aca="1" ref="A285" ca="1">_xlfn.LET(
_xlpm.詳細項目数, COUNTA($E$11:E285),
_xlpm.直近で詳細項目が空でないセルの行番号, MAX(INDEX((LEN($E$11:E285)&gt;0)*ROW($E$11:E285),0)),
_xlpm.観点数, COUNTA(INDIRECT("F"&amp;_xlpm.直近で詳細項目が空でないセルの行番号):F285),
_xlpm.直近で観点が空でないセルの行番号, MAX(INDEX((LEN($F$11:F285)&gt;0)*ROW($F$11:F285),0)),
_xlpm.テスト内容数, COUNTA(INDIRECT("J"&amp;_xlpm.直近で観点が空でないセルの行番号):J285),
_xlpm.テスト内容数_空なら1, IF(_xlpm.テスト内容数=0,1,_xlpm.テスト内容数),
_xlpm.詳細項目数&amp;"-"&amp;_xlpm.観点数&amp;"-"&amp;_xlpm.テスト内容数_空なら1
)</f>
        <v>98-1-1</v>
      </c>
      <c r="B285" s="143"/>
      <c r="C285" s="143"/>
      <c r="D285" s="143"/>
      <c r="E285" s="145" t="s">
        <v>284</v>
      </c>
      <c r="F285" s="124" t="s">
        <v>453</v>
      </c>
      <c r="G285" s="84" t="s">
        <v>511</v>
      </c>
      <c r="H285" s="112"/>
      <c r="I285" s="112"/>
      <c r="J285" s="131"/>
      <c r="K285" s="125"/>
      <c r="L285" s="112"/>
      <c r="M285" s="112"/>
      <c r="N285" s="112"/>
      <c r="O285" s="112"/>
      <c r="P285" s="112"/>
      <c r="Q285" s="123"/>
      <c r="R285" s="125"/>
    </row>
    <row r="286" spans="1:18" ht="22">
      <c r="A286" s="74" t="str" cm="1">
        <f t="array" aca="1" ref="A286" ca="1">_xlfn.LET(
_xlpm.詳細項目数, COUNTA($E$11:E286),
_xlpm.直近で詳細項目が空でないセルの行番号, MAX(INDEX((LEN($E$11:E286)&gt;0)*ROW($E$11:E286),0)),
_xlpm.観点数, COUNTA(INDIRECT("F"&amp;_xlpm.直近で詳細項目が空でないセルの行番号):F286),
_xlpm.直近で観点が空でないセルの行番号, MAX(INDEX((LEN($F$11:F286)&gt;0)*ROW($F$11:F286),0)),
_xlpm.テスト内容数, COUNTA(INDIRECT("J"&amp;_xlpm.直近で観点が空でないセルの行番号):J286),
_xlpm.テスト内容数_空なら1, IF(_xlpm.テスト内容数=0,1,_xlpm.テスト内容数),
_xlpm.詳細項目数&amp;"-"&amp;_xlpm.観点数&amp;"-"&amp;_xlpm.テスト内容数_空なら1
)</f>
        <v>99-1-1</v>
      </c>
      <c r="B286" s="143"/>
      <c r="C286" s="143"/>
      <c r="D286" s="145"/>
      <c r="E286" s="145" t="s">
        <v>200</v>
      </c>
      <c r="F286" s="124" t="s">
        <v>454</v>
      </c>
      <c r="G286" s="84" t="s">
        <v>511</v>
      </c>
      <c r="H286" s="112"/>
      <c r="I286" s="112"/>
      <c r="J286" s="131"/>
      <c r="K286" s="125"/>
      <c r="L286" s="112"/>
      <c r="M286" s="112"/>
      <c r="N286" s="112"/>
      <c r="O286" s="112"/>
      <c r="P286" s="112"/>
      <c r="Q286" s="123"/>
      <c r="R286" s="125"/>
    </row>
    <row r="287" spans="1:18" ht="22">
      <c r="A287" s="74" t="str" cm="1">
        <f t="array" aca="1" ref="A287" ca="1">_xlfn.LET(
_xlpm.詳細項目数, COUNTA($E$11:E287),
_xlpm.直近で詳細項目が空でないセルの行番号, MAX(INDEX((LEN($E$11:E287)&gt;0)*ROW($E$11:E287),0)),
_xlpm.観点数, COUNTA(INDIRECT("F"&amp;_xlpm.直近で詳細項目が空でないセルの行番号):F287),
_xlpm.直近で観点が空でないセルの行番号, MAX(INDEX((LEN($F$11:F287)&gt;0)*ROW($F$11:F287),0)),
_xlpm.テスト内容数, COUNTA(INDIRECT("J"&amp;_xlpm.直近で観点が空でないセルの行番号):J287),
_xlpm.テスト内容数_空なら1, IF(_xlpm.テスト内容数=0,1,_xlpm.テスト内容数),
_xlpm.詳細項目数&amp;"-"&amp;_xlpm.観点数&amp;"-"&amp;_xlpm.テスト内容数_空なら1
)</f>
        <v>100-1-1</v>
      </c>
      <c r="B287" s="143"/>
      <c r="C287" s="144"/>
      <c r="D287" s="143" t="s">
        <v>455</v>
      </c>
      <c r="E287" s="146" t="s">
        <v>456</v>
      </c>
      <c r="F287" s="124" t="s">
        <v>457</v>
      </c>
      <c r="G287" s="84" t="s">
        <v>511</v>
      </c>
      <c r="H287" s="112"/>
      <c r="I287" s="112"/>
      <c r="J287" s="131"/>
      <c r="K287" s="125"/>
      <c r="L287" s="112"/>
      <c r="M287" s="112"/>
      <c r="N287" s="112"/>
      <c r="O287" s="112"/>
      <c r="P287" s="112"/>
      <c r="Q287" s="123"/>
      <c r="R287" s="125"/>
    </row>
    <row r="288" spans="1:18" ht="22">
      <c r="A288" s="74" t="str" cm="1">
        <f t="array" aca="1" ref="A288" ca="1">_xlfn.LET(
_xlpm.詳細項目数, COUNTA($E$11:E288),
_xlpm.直近で詳細項目が空でないセルの行番号, MAX(INDEX((LEN($E$11:E288)&gt;0)*ROW($E$11:E288),0)),
_xlpm.観点数, COUNTA(INDIRECT("F"&amp;_xlpm.直近で詳細項目が空でないセルの行番号):F288),
_xlpm.直近で観点が空でないセルの行番号, MAX(INDEX((LEN($F$11:F288)&gt;0)*ROW($F$11:F288),0)),
_xlpm.テスト内容数, COUNTA(INDIRECT("J"&amp;_xlpm.直近で観点が空でないセルの行番号):J288),
_xlpm.テスト内容数_空なら1, IF(_xlpm.テスト内容数=0,1,_xlpm.テスト内容数),
_xlpm.詳細項目数&amp;"-"&amp;_xlpm.観点数&amp;"-"&amp;_xlpm.テスト内容数_空なら1
)</f>
        <v>100-2-1</v>
      </c>
      <c r="B288" s="143"/>
      <c r="C288" s="144"/>
      <c r="D288" s="146"/>
      <c r="E288" s="146"/>
      <c r="F288" s="124" t="s">
        <v>458</v>
      </c>
      <c r="G288" s="84" t="s">
        <v>511</v>
      </c>
      <c r="H288" s="112"/>
      <c r="I288" s="112"/>
      <c r="J288" s="131"/>
      <c r="K288" s="125"/>
      <c r="L288" s="112"/>
      <c r="M288" s="112"/>
      <c r="N288" s="112"/>
      <c r="O288" s="112"/>
      <c r="P288" s="112"/>
      <c r="Q288" s="123"/>
      <c r="R288" s="125"/>
    </row>
    <row r="289" spans="1:18" ht="33">
      <c r="A289" s="74" t="str" cm="1">
        <f t="array" aca="1" ref="A289" ca="1">_xlfn.LET(
_xlpm.詳細項目数, COUNTA($E$11:E289),
_xlpm.直近で詳細項目が空でないセルの行番号, MAX(INDEX((LEN($E$11:E289)&gt;0)*ROW($E$11:E289),0)),
_xlpm.観点数, COUNTA(INDIRECT("F"&amp;_xlpm.直近で詳細項目が空でないセルの行番号):F289),
_xlpm.直近で観点が空でないセルの行番号, MAX(INDEX((LEN($F$11:F289)&gt;0)*ROW($F$11:F289),0)),
_xlpm.テスト内容数, COUNTA(INDIRECT("J"&amp;_xlpm.直近で観点が空でないセルの行番号):J289),
_xlpm.テスト内容数_空なら1, IF(_xlpm.テスト内容数=0,1,_xlpm.テスト内容数),
_xlpm.詳細項目数&amp;"-"&amp;_xlpm.観点数&amp;"-"&amp;_xlpm.テスト内容数_空なら1
)</f>
        <v>100-3-1</v>
      </c>
      <c r="B289" s="143"/>
      <c r="C289" s="144"/>
      <c r="D289" s="146"/>
      <c r="E289" s="146"/>
      <c r="F289" s="124" t="s">
        <v>459</v>
      </c>
      <c r="G289" s="84" t="s">
        <v>511</v>
      </c>
      <c r="H289" s="112"/>
      <c r="I289" s="112"/>
      <c r="J289" s="131"/>
      <c r="K289" s="125"/>
      <c r="L289" s="112"/>
      <c r="M289" s="112"/>
      <c r="N289" s="112"/>
      <c r="O289" s="112"/>
      <c r="P289" s="112"/>
      <c r="Q289" s="123"/>
      <c r="R289" s="125"/>
    </row>
    <row r="290" spans="1:18" ht="33">
      <c r="A290" s="74" t="str" cm="1">
        <f t="array" aca="1" ref="A290" ca="1">_xlfn.LET(
_xlpm.詳細項目数, COUNTA($E$11:E290),
_xlpm.直近で詳細項目が空でないセルの行番号, MAX(INDEX((LEN($E$11:E290)&gt;0)*ROW($E$11:E290),0)),
_xlpm.観点数, COUNTA(INDIRECT("F"&amp;_xlpm.直近で詳細項目が空でないセルの行番号):F290),
_xlpm.直近で観点が空でないセルの行番号, MAX(INDEX((LEN($F$11:F290)&gt;0)*ROW($F$11:F290),0)),
_xlpm.テスト内容数, COUNTA(INDIRECT("J"&amp;_xlpm.直近で観点が空でないセルの行番号):J290),
_xlpm.テスト内容数_空なら1, IF(_xlpm.テスト内容数=0,1,_xlpm.テスト内容数),
_xlpm.詳細項目数&amp;"-"&amp;_xlpm.観点数&amp;"-"&amp;_xlpm.テスト内容数_空なら1
)</f>
        <v>100-4-1</v>
      </c>
      <c r="B290" s="143"/>
      <c r="C290" s="144"/>
      <c r="D290" s="146"/>
      <c r="E290" s="146"/>
      <c r="F290" s="124" t="s">
        <v>495</v>
      </c>
      <c r="G290" s="84" t="s">
        <v>511</v>
      </c>
      <c r="H290" s="112"/>
      <c r="I290" s="112"/>
      <c r="J290" s="131"/>
      <c r="K290" s="125"/>
      <c r="L290" s="112"/>
      <c r="M290" s="112"/>
      <c r="N290" s="112"/>
      <c r="O290" s="112"/>
      <c r="P290" s="112"/>
      <c r="Q290" s="123"/>
      <c r="R290" s="125"/>
    </row>
    <row r="291" spans="1:18" ht="33">
      <c r="A291" s="74" t="str" cm="1">
        <f t="array" aca="1" ref="A291" ca="1">_xlfn.LET(
_xlpm.詳細項目数, COUNTA($E$11:E291),
_xlpm.直近で詳細項目が空でないセルの行番号, MAX(INDEX((LEN($E$11:E291)&gt;0)*ROW($E$11:E291),0)),
_xlpm.観点数, COUNTA(INDIRECT("F"&amp;_xlpm.直近で詳細項目が空でないセルの行番号):F291),
_xlpm.直近で観点が空でないセルの行番号, MAX(INDEX((LEN($F$11:F291)&gt;0)*ROW($F$11:F291),0)),
_xlpm.テスト内容数, COUNTA(INDIRECT("J"&amp;_xlpm.直近で観点が空でないセルの行番号):J291),
_xlpm.テスト内容数_空なら1, IF(_xlpm.テスト内容数=0,1,_xlpm.テスト内容数),
_xlpm.詳細項目数&amp;"-"&amp;_xlpm.観点数&amp;"-"&amp;_xlpm.テスト内容数_空なら1
)</f>
        <v>100-5-1</v>
      </c>
      <c r="B291" s="143"/>
      <c r="C291" s="144"/>
      <c r="D291" s="146"/>
      <c r="E291" s="146"/>
      <c r="F291" s="124" t="s">
        <v>484</v>
      </c>
      <c r="G291" s="84" t="s">
        <v>511</v>
      </c>
      <c r="H291" s="112"/>
      <c r="I291" s="112"/>
      <c r="J291" s="131"/>
      <c r="K291" s="125"/>
      <c r="L291" s="112"/>
      <c r="M291" s="112"/>
      <c r="N291" s="112"/>
      <c r="O291" s="112"/>
      <c r="P291" s="112"/>
      <c r="Q291" s="123"/>
      <c r="R291" s="125"/>
    </row>
    <row r="292" spans="1:18" ht="33">
      <c r="A292" s="74" t="str" cm="1">
        <f t="array" aca="1" ref="A292" ca="1">_xlfn.LET(
_xlpm.詳細項目数, COUNTA($E$11:E292),
_xlpm.直近で詳細項目が空でないセルの行番号, MAX(INDEX((LEN($E$11:E292)&gt;0)*ROW($E$11:E292),0)),
_xlpm.観点数, COUNTA(INDIRECT("F"&amp;_xlpm.直近で詳細項目が空でないセルの行番号):F292),
_xlpm.直近で観点が空でないセルの行番号, MAX(INDEX((LEN($F$11:F292)&gt;0)*ROW($F$11:F292),0)),
_xlpm.テスト内容数, COUNTA(INDIRECT("J"&amp;_xlpm.直近で観点が空でないセルの行番号):J292),
_xlpm.テスト内容数_空なら1, IF(_xlpm.テスト内容数=0,1,_xlpm.テスト内容数),
_xlpm.詳細項目数&amp;"-"&amp;_xlpm.観点数&amp;"-"&amp;_xlpm.テスト内容数_空なら1
)</f>
        <v>100-6-1</v>
      </c>
      <c r="B292" s="143"/>
      <c r="C292" s="144"/>
      <c r="D292" s="146"/>
      <c r="E292" s="146"/>
      <c r="F292" s="124" t="s">
        <v>485</v>
      </c>
      <c r="G292" s="84" t="s">
        <v>511</v>
      </c>
      <c r="H292" s="112"/>
      <c r="I292" s="112"/>
      <c r="J292" s="131"/>
      <c r="K292" s="125"/>
      <c r="L292" s="112"/>
      <c r="M292" s="112"/>
      <c r="N292" s="112"/>
      <c r="O292" s="112"/>
      <c r="P292" s="112"/>
      <c r="Q292" s="123"/>
      <c r="R292" s="125"/>
    </row>
    <row r="293" spans="1:18" ht="33">
      <c r="A293" s="74" t="str" cm="1">
        <f t="array" aca="1" ref="A293" ca="1">_xlfn.LET(
_xlpm.詳細項目数, COUNTA($E$11:E293),
_xlpm.直近で詳細項目が空でないセルの行番号, MAX(INDEX((LEN($E$11:E293)&gt;0)*ROW($E$11:E293),0)),
_xlpm.観点数, COUNTA(INDIRECT("F"&amp;_xlpm.直近で詳細項目が空でないセルの行番号):F293),
_xlpm.直近で観点が空でないセルの行番号, MAX(INDEX((LEN($F$11:F293)&gt;0)*ROW($F$11:F293),0)),
_xlpm.テスト内容数, COUNTA(INDIRECT("J"&amp;_xlpm.直近で観点が空でないセルの行番号):J293),
_xlpm.テスト内容数_空なら1, IF(_xlpm.テスト内容数=0,1,_xlpm.テスト内容数),
_xlpm.詳細項目数&amp;"-"&amp;_xlpm.観点数&amp;"-"&amp;_xlpm.テスト内容数_空なら1
)</f>
        <v>100-7-1</v>
      </c>
      <c r="B293" s="143"/>
      <c r="C293" s="144"/>
      <c r="D293" s="146"/>
      <c r="E293" s="146"/>
      <c r="F293" s="124" t="s">
        <v>496</v>
      </c>
      <c r="G293" s="84" t="s">
        <v>511</v>
      </c>
      <c r="H293" s="112"/>
      <c r="I293" s="112"/>
      <c r="J293" s="131"/>
      <c r="K293" s="125"/>
      <c r="L293" s="112"/>
      <c r="M293" s="112"/>
      <c r="N293" s="112"/>
      <c r="O293" s="112"/>
      <c r="P293" s="112"/>
      <c r="Q293" s="123"/>
      <c r="R293" s="125"/>
    </row>
    <row r="294" spans="1:18" ht="22">
      <c r="A294" s="74" t="str" cm="1">
        <f t="array" aca="1" ref="A294" ca="1">_xlfn.LET(
_xlpm.詳細項目数, COUNTA($E$11:E294),
_xlpm.直近で詳細項目が空でないセルの行番号, MAX(INDEX((LEN($E$11:E294)&gt;0)*ROW($E$11:E294),0)),
_xlpm.観点数, COUNTA(INDIRECT("F"&amp;_xlpm.直近で詳細項目が空でないセルの行番号):F294),
_xlpm.直近で観点が空でないセルの行番号, MAX(INDEX((LEN($F$11:F294)&gt;0)*ROW($F$11:F294),0)),
_xlpm.テスト内容数, COUNTA(INDIRECT("J"&amp;_xlpm.直近で観点が空でないセルの行番号):J294),
_xlpm.テスト内容数_空なら1, IF(_xlpm.テスト内容数=0,1,_xlpm.テスト内容数),
_xlpm.詳細項目数&amp;"-"&amp;_xlpm.観点数&amp;"-"&amp;_xlpm.テスト内容数_空なら1
)</f>
        <v>100-8-1</v>
      </c>
      <c r="B294" s="143"/>
      <c r="C294" s="144"/>
      <c r="D294" s="146"/>
      <c r="E294" s="146"/>
      <c r="F294" s="124" t="s">
        <v>461</v>
      </c>
      <c r="G294" s="84" t="s">
        <v>511</v>
      </c>
      <c r="H294" s="112"/>
      <c r="I294" s="112"/>
      <c r="J294" s="131"/>
      <c r="K294" s="125"/>
      <c r="L294" s="112"/>
      <c r="M294" s="112"/>
      <c r="N294" s="112"/>
      <c r="O294" s="112"/>
      <c r="P294" s="112"/>
      <c r="Q294" s="123"/>
      <c r="R294" s="125"/>
    </row>
    <row r="295" spans="1:18" ht="22">
      <c r="A295" s="74" t="str" cm="1">
        <f t="array" aca="1" ref="A295" ca="1">_xlfn.LET(
_xlpm.詳細項目数, COUNTA($E$11:E295),
_xlpm.直近で詳細項目が空でないセルの行番号, MAX(INDEX((LEN($E$11:E295)&gt;0)*ROW($E$11:E295),0)),
_xlpm.観点数, COUNTA(INDIRECT("F"&amp;_xlpm.直近で詳細項目が空でないセルの行番号):F295),
_xlpm.直近で観点が空でないセルの行番号, MAX(INDEX((LEN($F$11:F295)&gt;0)*ROW($F$11:F295),0)),
_xlpm.テスト内容数, COUNTA(INDIRECT("J"&amp;_xlpm.直近で観点が空でないセルの行番号):J295),
_xlpm.テスト内容数_空なら1, IF(_xlpm.テスト内容数=0,1,_xlpm.テスト内容数),
_xlpm.詳細項目数&amp;"-"&amp;_xlpm.観点数&amp;"-"&amp;_xlpm.テスト内容数_空なら1
)</f>
        <v>100-9-1</v>
      </c>
      <c r="B295" s="145"/>
      <c r="C295" s="160"/>
      <c r="D295" s="147"/>
      <c r="E295" s="147"/>
      <c r="F295" s="124" t="s">
        <v>462</v>
      </c>
      <c r="G295" s="84" t="s">
        <v>511</v>
      </c>
      <c r="H295" s="112"/>
      <c r="I295" s="112"/>
      <c r="J295" s="131"/>
      <c r="K295" s="125"/>
      <c r="L295" s="112"/>
      <c r="M295" s="112"/>
      <c r="N295" s="112"/>
      <c r="O295" s="112"/>
      <c r="P295" s="112"/>
      <c r="Q295" s="123"/>
      <c r="R295" s="125"/>
    </row>
    <row r="296" spans="1:18" s="37" customFormat="1" ht="22">
      <c r="A296" s="74" t="str" cm="1">
        <f t="array" aca="1" ref="A296" ca="1">_xlfn.LET(
_xlpm.詳細項目数, COUNTA($E$11:E296),
_xlpm.直近で詳細項目が空でないセルの行番号, MAX(INDEX((LEN($E$11:E296)&gt;0)*ROW($E$11:E296),0)),
_xlpm.観点数, COUNTA(INDIRECT("F"&amp;_xlpm.直近で詳細項目が空でないセルの行番号):F296),
_xlpm.直近で観点が空でないセルの行番号, MAX(INDEX((LEN($F$11:F296)&gt;0)*ROW($F$11:F296),0)),
_xlpm.テスト内容数, COUNTA(INDIRECT("J"&amp;_xlpm.直近で観点が空でないセルの行番号):J296),
_xlpm.テスト内容数_空なら1, IF(_xlpm.テスト内容数=0,1,_xlpm.テスト内容数),
_xlpm.詳細項目数&amp;"-"&amp;_xlpm.観点数&amp;"-"&amp;_xlpm.テスト内容数_空なら1
)</f>
        <v>101-1-1</v>
      </c>
      <c r="B296" s="270" t="s">
        <v>516</v>
      </c>
      <c r="C296" s="271" t="s">
        <v>517</v>
      </c>
      <c r="D296" s="229" t="s">
        <v>518</v>
      </c>
      <c r="E296" s="241" t="s">
        <v>38</v>
      </c>
      <c r="F296" s="124" t="s">
        <v>519</v>
      </c>
      <c r="G296" s="128" t="s">
        <v>520</v>
      </c>
      <c r="H296" s="128"/>
      <c r="I296" s="128"/>
      <c r="J296" s="128"/>
      <c r="K296" s="184"/>
      <c r="L296" s="184"/>
      <c r="M296" s="112"/>
      <c r="N296" s="112"/>
      <c r="O296" s="112"/>
      <c r="P296" s="123"/>
      <c r="Q296" s="128"/>
      <c r="R296" s="128"/>
    </row>
    <row r="297" spans="1:18" s="37" customFormat="1">
      <c r="A297" s="74" t="str" cm="1">
        <f t="array" aca="1" ref="A297" ca="1">_xlfn.LET(
_xlpm.詳細項目数, COUNTA($E$11:E297),
_xlpm.直近で詳細項目が空でないセルの行番号, MAX(INDEX((LEN($E$11:E297)&gt;0)*ROW($E$11:E297),0)),
_xlpm.観点数, COUNTA(INDIRECT("F"&amp;_xlpm.直近で詳細項目が空でないセルの行番号):F297),
_xlpm.直近で観点が空でないセルの行番号, MAX(INDEX((LEN($F$11:F297)&gt;0)*ROW($F$11:F297),0)),
_xlpm.テスト内容数, COUNTA(INDIRECT("J"&amp;_xlpm.直近で観点が空でないセルの行番号):J297),
_xlpm.テスト内容数_空なら1, IF(_xlpm.テスト内容数=0,1,_xlpm.テスト内容数),
_xlpm.詳細項目数&amp;"-"&amp;_xlpm.観点数&amp;"-"&amp;_xlpm.テスト内容数_空なら1
)</f>
        <v>101-2-1</v>
      </c>
      <c r="B297" s="227"/>
      <c r="C297" s="228"/>
      <c r="D297" s="229"/>
      <c r="E297" s="229"/>
      <c r="F297" s="124" t="s">
        <v>521</v>
      </c>
      <c r="G297" s="128" t="s">
        <v>520</v>
      </c>
      <c r="H297" s="128"/>
      <c r="I297" s="128"/>
      <c r="J297" s="128"/>
      <c r="K297" s="184"/>
      <c r="L297" s="184"/>
      <c r="M297" s="112"/>
      <c r="N297" s="112"/>
      <c r="O297" s="112"/>
      <c r="P297" s="123"/>
      <c r="Q297" s="128"/>
      <c r="R297" s="128"/>
    </row>
    <row r="298" spans="1:18" s="37" customFormat="1" ht="22">
      <c r="A298" s="74" t="str" cm="1">
        <f t="array" aca="1" ref="A298" ca="1">_xlfn.LET(
_xlpm.詳細項目数, COUNTA($E$11:E298),
_xlpm.直近で詳細項目が空でないセルの行番号, MAX(INDEX((LEN($E$11:E298)&gt;0)*ROW($E$11:E298),0)),
_xlpm.観点数, COUNTA(INDIRECT("F"&amp;_xlpm.直近で詳細項目が空でないセルの行番号):F298),
_xlpm.直近で観点が空でないセルの行番号, MAX(INDEX((LEN($F$11:F298)&gt;0)*ROW($F$11:F298),0)),
_xlpm.テスト内容数, COUNTA(INDIRECT("J"&amp;_xlpm.直近で観点が空でないセルの行番号):J298),
_xlpm.テスト内容数_空なら1, IF(_xlpm.テスト内容数=0,1,_xlpm.テスト内容数),
_xlpm.詳細項目数&amp;"-"&amp;_xlpm.観点数&amp;"-"&amp;_xlpm.テスト内容数_空なら1
)</f>
        <v>101-3-1</v>
      </c>
      <c r="B298" s="185"/>
      <c r="C298" s="186"/>
      <c r="D298" s="182"/>
      <c r="E298" s="182"/>
      <c r="F298" s="1" t="s">
        <v>522</v>
      </c>
      <c r="G298" s="99"/>
      <c r="H298" s="93" t="s">
        <v>637</v>
      </c>
      <c r="I298" s="93" t="s">
        <v>638</v>
      </c>
      <c r="J298" s="93" t="s">
        <v>522</v>
      </c>
      <c r="K298" s="93" t="s">
        <v>522</v>
      </c>
      <c r="L298" s="99" t="s">
        <v>635</v>
      </c>
      <c r="M298" s="95">
        <v>1</v>
      </c>
      <c r="N298" s="95"/>
      <c r="O298" s="95"/>
      <c r="P298" s="2"/>
      <c r="Q298" s="99"/>
      <c r="R298" s="99"/>
    </row>
    <row r="299" spans="1:18" s="37" customFormat="1" ht="22">
      <c r="A299" s="74" t="str" cm="1">
        <f t="array" aca="1" ref="A299" ca="1">_xlfn.LET(
_xlpm.詳細項目数, COUNTA($E$11:E299),
_xlpm.直近で詳細項目が空でないセルの行番号, MAX(INDEX((LEN($E$11:E299)&gt;0)*ROW($E$11:E299),0)),
_xlpm.観点数, COUNTA(INDIRECT("F"&amp;_xlpm.直近で詳細項目が空でないセルの行番号):F299),
_xlpm.直近で観点が空でないセルの行番号, MAX(INDEX((LEN($F$11:F299)&gt;0)*ROW($F$11:F299),0)),
_xlpm.テスト内容数, COUNTA(INDIRECT("J"&amp;_xlpm.直近で観点が空でないセルの行番号):J299),
_xlpm.テスト内容数_空なら1, IF(_xlpm.テスト内容数=0,1,_xlpm.テスト内容数),
_xlpm.詳細項目数&amp;"-"&amp;_xlpm.観点数&amp;"-"&amp;_xlpm.テスト内容数_空なら1
)</f>
        <v>101-4-1</v>
      </c>
      <c r="B299" s="185"/>
      <c r="C299" s="186"/>
      <c r="D299" s="182"/>
      <c r="E299" s="182"/>
      <c r="F299" s="1" t="s">
        <v>523</v>
      </c>
      <c r="G299" s="99"/>
      <c r="H299" s="93" t="s">
        <v>637</v>
      </c>
      <c r="I299" s="93" t="s">
        <v>638</v>
      </c>
      <c r="J299" s="93" t="s">
        <v>523</v>
      </c>
      <c r="K299" s="93" t="s">
        <v>523</v>
      </c>
      <c r="L299" s="99" t="s">
        <v>635</v>
      </c>
      <c r="M299" s="95">
        <v>1</v>
      </c>
      <c r="N299" s="95"/>
      <c r="O299" s="95"/>
      <c r="P299" s="2"/>
      <c r="Q299" s="99"/>
      <c r="R299" s="99"/>
    </row>
    <row r="300" spans="1:18" s="37" customFormat="1" ht="22">
      <c r="A300" s="74" t="str" cm="1">
        <f t="array" aca="1" ref="A300" ca="1">_xlfn.LET(
_xlpm.詳細項目数, COUNTA($E$11:E300),
_xlpm.直近で詳細項目が空でないセルの行番号, MAX(INDEX((LEN($E$11:E300)&gt;0)*ROW($E$11:E300),0)),
_xlpm.観点数, COUNTA(INDIRECT("F"&amp;_xlpm.直近で詳細項目が空でないセルの行番号):F300),
_xlpm.直近で観点が空でないセルの行番号, MAX(INDEX((LEN($F$11:F300)&gt;0)*ROW($F$11:F300),0)),
_xlpm.テスト内容数, COUNTA(INDIRECT("J"&amp;_xlpm.直近で観点が空でないセルの行番号):J300),
_xlpm.テスト内容数_空なら1, IF(_xlpm.テスト内容数=0,1,_xlpm.テスト内容数),
_xlpm.詳細項目数&amp;"-"&amp;_xlpm.観点数&amp;"-"&amp;_xlpm.テスト内容数_空なら1
)</f>
        <v>101-5-1</v>
      </c>
      <c r="B300" s="185"/>
      <c r="C300" s="186"/>
      <c r="D300" s="182"/>
      <c r="E300" s="182"/>
      <c r="F300" s="1" t="s">
        <v>524</v>
      </c>
      <c r="G300" s="99"/>
      <c r="H300" s="93" t="s">
        <v>637</v>
      </c>
      <c r="I300" s="93" t="s">
        <v>638</v>
      </c>
      <c r="J300" s="93" t="s">
        <v>524</v>
      </c>
      <c r="K300" s="93" t="s">
        <v>524</v>
      </c>
      <c r="L300" s="99" t="s">
        <v>635</v>
      </c>
      <c r="M300" s="95">
        <v>1</v>
      </c>
      <c r="N300" s="95"/>
      <c r="O300" s="95"/>
      <c r="P300" s="2"/>
      <c r="Q300" s="99"/>
      <c r="R300" s="99"/>
    </row>
    <row r="301" spans="1:18" ht="22">
      <c r="A301" s="74" t="str" cm="1">
        <f t="array" aca="1" ref="A301" ca="1">_xlfn.LET(
_xlpm.詳細項目数, COUNTA($E$11:E301),
_xlpm.直近で詳細項目が空でないセルの行番号, MAX(INDEX((LEN($E$11:E301)&gt;0)*ROW($E$11:E301),0)),
_xlpm.観点数, COUNTA(INDIRECT("F"&amp;_xlpm.直近で詳細項目が空でないセルの行番号):F301),
_xlpm.直近で観点が空でないセルの行番号, MAX(INDEX((LEN($F$11:F301)&gt;0)*ROW($F$11:F301),0)),
_xlpm.テスト内容数, COUNTA(INDIRECT("J"&amp;_xlpm.直近で観点が空でないセルの行番号):J301),
_xlpm.テスト内容数_空なら1, IF(_xlpm.テスト内容数=0,1,_xlpm.テスト内容数),
_xlpm.詳細項目数&amp;"-"&amp;_xlpm.観点数&amp;"-"&amp;_xlpm.テスト内容数_空なら1
)</f>
        <v>101-6-1</v>
      </c>
      <c r="B301" s="130"/>
      <c r="C301" s="187"/>
      <c r="D301" s="96"/>
      <c r="E301" s="96"/>
      <c r="F301" s="188" t="s">
        <v>525</v>
      </c>
      <c r="G301" s="188"/>
      <c r="H301" s="93" t="s">
        <v>637</v>
      </c>
      <c r="I301" s="93" t="s">
        <v>638</v>
      </c>
      <c r="J301" s="93" t="s">
        <v>630</v>
      </c>
      <c r="K301" s="93" t="s">
        <v>630</v>
      </c>
      <c r="L301" s="99" t="s">
        <v>635</v>
      </c>
      <c r="M301" s="95">
        <v>1</v>
      </c>
      <c r="N301" s="97"/>
      <c r="O301" s="95"/>
      <c r="P301" s="189"/>
      <c r="Q301" s="95"/>
      <c r="R301" s="95"/>
    </row>
    <row r="302" spans="1:18" s="37" customFormat="1" ht="33">
      <c r="A302" s="74" t="str" cm="1">
        <f t="array" aca="1" ref="A302" ca="1">_xlfn.LET(
_xlpm.詳細項目数, COUNTA($E$11:E302),
_xlpm.直近で詳細項目が空でないセルの行番号, MAX(INDEX((LEN($E$11:E302)&gt;0)*ROW($E$11:E302),0)),
_xlpm.観点数, COUNTA(INDIRECT("F"&amp;_xlpm.直近で詳細項目が空でないセルの行番号):F302),
_xlpm.直近で観点が空でないセルの行番号, MAX(INDEX((LEN($F$11:F302)&gt;0)*ROW($F$11:F302),0)),
_xlpm.テスト内容数, COUNTA(INDIRECT("J"&amp;_xlpm.直近で観点が空でないセルの行番号):J302),
_xlpm.テスト内容数_空なら1, IF(_xlpm.テスト内容数=0,1,_xlpm.テスト内容数),
_xlpm.詳細項目数&amp;"-"&amp;_xlpm.観点数&amp;"-"&amp;_xlpm.テスト内容数_空なら1
)</f>
        <v>101-7-1</v>
      </c>
      <c r="B302" s="227"/>
      <c r="C302" s="228"/>
      <c r="D302" s="229"/>
      <c r="E302" s="229"/>
      <c r="F302" s="230" t="s">
        <v>526</v>
      </c>
      <c r="G302" s="164"/>
      <c r="H302" s="163" t="s">
        <v>637</v>
      </c>
      <c r="I302" s="163" t="s">
        <v>639</v>
      </c>
      <c r="J302" s="163" t="s">
        <v>788</v>
      </c>
      <c r="K302" s="164" t="s">
        <v>786</v>
      </c>
      <c r="L302" s="209" t="s">
        <v>816</v>
      </c>
      <c r="M302" s="95"/>
      <c r="N302" s="166"/>
      <c r="O302" s="166"/>
      <c r="P302" s="67"/>
      <c r="Q302" s="164"/>
      <c r="R302" s="164"/>
    </row>
    <row r="303" spans="1:18" s="37" customFormat="1" ht="33">
      <c r="A303" s="74" t="str" cm="1">
        <f t="array" aca="1" ref="A303" ca="1">_xlfn.LET(
_xlpm.詳細項目数, COUNTA($E$11:E303),
_xlpm.直近で詳細項目が空でないセルの行番号, MAX(INDEX((LEN($E$11:E303)&gt;0)*ROW($E$11:E303),0)),
_xlpm.観点数, COUNTA(INDIRECT("F"&amp;_xlpm.直近で詳細項目が空でないセルの行番号):F303),
_xlpm.直近で観点が空でないセルの行番号, MAX(INDEX((LEN($F$11:F303)&gt;0)*ROW($F$11:F303),0)),
_xlpm.テスト内容数, COUNTA(INDIRECT("J"&amp;_xlpm.直近で観点が空でないセルの行番号):J303),
_xlpm.テスト内容数_空なら1, IF(_xlpm.テスト内容数=0,1,_xlpm.テスト内容数),
_xlpm.詳細項目数&amp;"-"&amp;_xlpm.観点数&amp;"-"&amp;_xlpm.テスト内容数_空なら1
)</f>
        <v>101-8-1</v>
      </c>
      <c r="B303" s="227"/>
      <c r="C303" s="228"/>
      <c r="D303" s="229"/>
      <c r="E303" s="229"/>
      <c r="F303" s="230" t="s">
        <v>527</v>
      </c>
      <c r="G303" s="164"/>
      <c r="H303" s="163" t="s">
        <v>637</v>
      </c>
      <c r="I303" s="163" t="s">
        <v>639</v>
      </c>
      <c r="J303" s="163" t="s">
        <v>789</v>
      </c>
      <c r="K303" s="164" t="s">
        <v>787</v>
      </c>
      <c r="L303" s="209" t="s">
        <v>816</v>
      </c>
      <c r="M303" s="95"/>
      <c r="N303" s="166"/>
      <c r="O303" s="166"/>
      <c r="P303" s="67"/>
      <c r="Q303" s="164"/>
      <c r="R303" s="164"/>
    </row>
    <row r="304" spans="1:18" s="37" customFormat="1" ht="22">
      <c r="A304" s="74" t="str" cm="1">
        <f t="array" aca="1" ref="A304" ca="1">_xlfn.LET(
_xlpm.詳細項目数, COUNTA($E$11:E304),
_xlpm.直近で詳細項目が空でないセルの行番号, MAX(INDEX((LEN($E$11:E304)&gt;0)*ROW($E$11:E304),0)),
_xlpm.観点数, COUNTA(INDIRECT("F"&amp;_xlpm.直近で詳細項目が空でないセルの行番号):F304),
_xlpm.直近で観点が空でないセルの行番号, MAX(INDEX((LEN($F$11:F304)&gt;0)*ROW($F$11:F304),0)),
_xlpm.テスト内容数, COUNTA(INDIRECT("J"&amp;_xlpm.直近で観点が空でないセルの行番号):J304),
_xlpm.テスト内容数_空なら1, IF(_xlpm.テスト内容数=0,1,_xlpm.テスト内容数),
_xlpm.詳細項目数&amp;"-"&amp;_xlpm.観点数&amp;"-"&amp;_xlpm.テスト内容数_空なら1
)</f>
        <v>101-9-1</v>
      </c>
      <c r="B304" s="185"/>
      <c r="C304" s="186"/>
      <c r="D304" s="182"/>
      <c r="E304" s="182"/>
      <c r="F304" s="1" t="s">
        <v>528</v>
      </c>
      <c r="G304" s="99"/>
      <c r="H304" s="93" t="s">
        <v>637</v>
      </c>
      <c r="I304" s="93" t="s">
        <v>640</v>
      </c>
      <c r="J304" s="93" t="s">
        <v>528</v>
      </c>
      <c r="K304" s="93" t="s">
        <v>528</v>
      </c>
      <c r="L304" s="99" t="s">
        <v>635</v>
      </c>
      <c r="M304" s="95">
        <v>1</v>
      </c>
      <c r="N304" s="95"/>
      <c r="O304" s="95"/>
      <c r="P304" s="2"/>
      <c r="Q304" s="99"/>
      <c r="R304" s="99"/>
    </row>
    <row r="305" spans="1:18" s="37" customFormat="1" ht="22">
      <c r="A305" s="74" t="str" cm="1">
        <f t="array" aca="1" ref="A305" ca="1">_xlfn.LET(
_xlpm.詳細項目数, COUNTA($E$11:E305),
_xlpm.直近で詳細項目が空でないセルの行番号, MAX(INDEX((LEN($E$11:E305)&gt;0)*ROW($E$11:E305),0)),
_xlpm.観点数, COUNTA(INDIRECT("F"&amp;_xlpm.直近で詳細項目が空でないセルの行番号):F305),
_xlpm.直近で観点が空でないセルの行番号, MAX(INDEX((LEN($F$11:F305)&gt;0)*ROW($F$11:F305),0)),
_xlpm.テスト内容数, COUNTA(INDIRECT("J"&amp;_xlpm.直近で観点が空でないセルの行番号):J305),
_xlpm.テスト内容数_空なら1, IF(_xlpm.テスト内容数=0,1,_xlpm.テスト内容数),
_xlpm.詳細項目数&amp;"-"&amp;_xlpm.観点数&amp;"-"&amp;_xlpm.テスト内容数_空なら1
)</f>
        <v>101-10-1</v>
      </c>
      <c r="B305" s="185"/>
      <c r="C305" s="186"/>
      <c r="D305" s="182"/>
      <c r="E305" s="182"/>
      <c r="F305" s="1" t="s">
        <v>529</v>
      </c>
      <c r="G305" s="99"/>
      <c r="H305" s="93" t="s">
        <v>637</v>
      </c>
      <c r="I305" s="93" t="s">
        <v>640</v>
      </c>
      <c r="J305" s="93" t="s">
        <v>529</v>
      </c>
      <c r="K305" s="93" t="s">
        <v>529</v>
      </c>
      <c r="L305" s="99" t="s">
        <v>635</v>
      </c>
      <c r="M305" s="95">
        <v>1</v>
      </c>
      <c r="N305" s="95"/>
      <c r="O305" s="95"/>
      <c r="P305" s="2"/>
      <c r="Q305" s="99"/>
      <c r="R305" s="99"/>
    </row>
    <row r="306" spans="1:18" s="37" customFormat="1" ht="22">
      <c r="A306" s="74" t="str" cm="1">
        <f t="array" aca="1" ref="A306" ca="1">_xlfn.LET(
_xlpm.詳細項目数, COUNTA($E$11:E306),
_xlpm.直近で詳細項目が空でないセルの行番号, MAX(INDEX((LEN($E$11:E306)&gt;0)*ROW($E$11:E306),0)),
_xlpm.観点数, COUNTA(INDIRECT("F"&amp;_xlpm.直近で詳細項目が空でないセルの行番号):F306),
_xlpm.直近で観点が空でないセルの行番号, MAX(INDEX((LEN($F$11:F306)&gt;0)*ROW($F$11:F306),0)),
_xlpm.テスト内容数, COUNTA(INDIRECT("J"&amp;_xlpm.直近で観点が空でないセルの行番号):J306),
_xlpm.テスト内容数_空なら1, IF(_xlpm.テスト内容数=0,1,_xlpm.テスト内容数),
_xlpm.詳細項目数&amp;"-"&amp;_xlpm.観点数&amp;"-"&amp;_xlpm.テスト内容数_空なら1
)</f>
        <v>101-11-1</v>
      </c>
      <c r="B306" s="185"/>
      <c r="C306" s="186"/>
      <c r="D306" s="182"/>
      <c r="E306" s="182"/>
      <c r="F306" s="1" t="s">
        <v>530</v>
      </c>
      <c r="G306" s="99"/>
      <c r="H306" s="93" t="s">
        <v>637</v>
      </c>
      <c r="I306" s="93" t="s">
        <v>640</v>
      </c>
      <c r="J306" s="93" t="s">
        <v>530</v>
      </c>
      <c r="K306" s="93" t="s">
        <v>530</v>
      </c>
      <c r="L306" s="99" t="s">
        <v>635</v>
      </c>
      <c r="M306" s="95">
        <v>1</v>
      </c>
      <c r="N306" s="95"/>
      <c r="O306" s="95"/>
      <c r="P306" s="2"/>
      <c r="Q306" s="99"/>
      <c r="R306" s="99"/>
    </row>
    <row r="307" spans="1:18" s="37" customFormat="1" ht="22">
      <c r="A307" s="74" t="str" cm="1">
        <f t="array" aca="1" ref="A307" ca="1">_xlfn.LET(
_xlpm.詳細項目数, COUNTA($E$11:E307),
_xlpm.直近で詳細項目が空でないセルの行番号, MAX(INDEX((LEN($E$11:E307)&gt;0)*ROW($E$11:E307),0)),
_xlpm.観点数, COUNTA(INDIRECT("F"&amp;_xlpm.直近で詳細項目が空でないセルの行番号):F307),
_xlpm.直近で観点が空でないセルの行番号, MAX(INDEX((LEN($F$11:F307)&gt;0)*ROW($F$11:F307),0)),
_xlpm.テスト内容数, COUNTA(INDIRECT("J"&amp;_xlpm.直近で観点が空でないセルの行番号):J307),
_xlpm.テスト内容数_空なら1, IF(_xlpm.テスト内容数=0,1,_xlpm.テスト内容数),
_xlpm.詳細項目数&amp;"-"&amp;_xlpm.観点数&amp;"-"&amp;_xlpm.テスト内容数_空なら1
)</f>
        <v>101-12-1</v>
      </c>
      <c r="B307" s="185"/>
      <c r="C307" s="186"/>
      <c r="D307" s="182"/>
      <c r="E307" s="182"/>
      <c r="F307" s="1" t="s">
        <v>531</v>
      </c>
      <c r="G307" s="99"/>
      <c r="H307" s="93" t="s">
        <v>637</v>
      </c>
      <c r="I307" s="93" t="s">
        <v>641</v>
      </c>
      <c r="J307" s="93" t="s">
        <v>531</v>
      </c>
      <c r="K307" s="93" t="s">
        <v>531</v>
      </c>
      <c r="L307" s="99" t="s">
        <v>635</v>
      </c>
      <c r="M307" s="95">
        <v>1</v>
      </c>
      <c r="N307" s="95"/>
      <c r="O307" s="95"/>
      <c r="P307" s="2"/>
      <c r="Q307" s="99"/>
      <c r="R307" s="99"/>
    </row>
    <row r="308" spans="1:18" s="37" customFormat="1" ht="22">
      <c r="A308" s="74" t="str" cm="1">
        <f t="array" aca="1" ref="A308" ca="1">_xlfn.LET(
_xlpm.詳細項目数, COUNTA($E$11:E308),
_xlpm.直近で詳細項目が空でないセルの行番号, MAX(INDEX((LEN($E$11:E308)&gt;0)*ROW($E$11:E308),0)),
_xlpm.観点数, COUNTA(INDIRECT("F"&amp;_xlpm.直近で詳細項目が空でないセルの行番号):F308),
_xlpm.直近で観点が空でないセルの行番号, MAX(INDEX((LEN($F$11:F308)&gt;0)*ROW($F$11:F308),0)),
_xlpm.テスト内容数, COUNTA(INDIRECT("J"&amp;_xlpm.直近で観点が空でないセルの行番号):J308),
_xlpm.テスト内容数_空なら1, IF(_xlpm.テスト内容数=0,1,_xlpm.テスト内容数),
_xlpm.詳細項目数&amp;"-"&amp;_xlpm.観点数&amp;"-"&amp;_xlpm.テスト内容数_空なら1
)</f>
        <v>101-13-1</v>
      </c>
      <c r="B308" s="185"/>
      <c r="C308" s="186"/>
      <c r="D308" s="182"/>
      <c r="E308" s="182"/>
      <c r="F308" s="1" t="s">
        <v>532</v>
      </c>
      <c r="G308" s="99"/>
      <c r="H308" s="93" t="s">
        <v>637</v>
      </c>
      <c r="I308" s="93" t="s">
        <v>641</v>
      </c>
      <c r="J308" s="93" t="s">
        <v>532</v>
      </c>
      <c r="K308" s="93" t="s">
        <v>532</v>
      </c>
      <c r="L308" s="99" t="s">
        <v>635</v>
      </c>
      <c r="M308" s="95">
        <v>1</v>
      </c>
      <c r="N308" s="95"/>
      <c r="O308" s="95"/>
      <c r="P308" s="2"/>
      <c r="Q308" s="99"/>
      <c r="R308" s="99"/>
    </row>
    <row r="309" spans="1:18" s="37" customFormat="1" ht="22">
      <c r="A309" s="74" t="str" cm="1">
        <f t="array" aca="1" ref="A309" ca="1">_xlfn.LET(
_xlpm.詳細項目数, COUNTA($E$11:E309),
_xlpm.直近で詳細項目が空でないセルの行番号, MAX(INDEX((LEN($E$11:E309)&gt;0)*ROW($E$11:E309),0)),
_xlpm.観点数, COUNTA(INDIRECT("F"&amp;_xlpm.直近で詳細項目が空でないセルの行番号):F309),
_xlpm.直近で観点が空でないセルの行番号, MAX(INDEX((LEN($F$11:F309)&gt;0)*ROW($F$11:F309),0)),
_xlpm.テスト内容数, COUNTA(INDIRECT("J"&amp;_xlpm.直近で観点が空でないセルの行番号):J309),
_xlpm.テスト内容数_空なら1, IF(_xlpm.テスト内容数=0,1,_xlpm.テスト内容数),
_xlpm.詳細項目数&amp;"-"&amp;_xlpm.観点数&amp;"-"&amp;_xlpm.テスト内容数_空なら1
)</f>
        <v>101-14-1</v>
      </c>
      <c r="B309" s="185"/>
      <c r="C309" s="186"/>
      <c r="D309" s="182"/>
      <c r="E309" s="182"/>
      <c r="F309" s="127" t="s">
        <v>533</v>
      </c>
      <c r="G309" s="194"/>
      <c r="H309" s="62" t="s">
        <v>23</v>
      </c>
      <c r="I309" s="62" t="s">
        <v>685</v>
      </c>
      <c r="J309" s="99" t="s">
        <v>642</v>
      </c>
      <c r="K309" s="99" t="s">
        <v>642</v>
      </c>
      <c r="L309" s="99" t="s">
        <v>635</v>
      </c>
      <c r="M309" s="95">
        <v>1</v>
      </c>
      <c r="N309" s="95"/>
      <c r="O309" s="95"/>
      <c r="P309" s="2"/>
      <c r="Q309" s="99"/>
      <c r="R309" s="99"/>
    </row>
    <row r="310" spans="1:18" s="37" customFormat="1" ht="22">
      <c r="A310" s="74" t="str" cm="1">
        <f t="array" aca="1" ref="A310" ca="1">_xlfn.LET(
_xlpm.詳細項目数, COUNTA($E$11:E310),
_xlpm.直近で詳細項目が空でないセルの行番号, MAX(INDEX((LEN($E$11:E310)&gt;0)*ROW($E$11:E310),0)),
_xlpm.観点数, COUNTA(INDIRECT("F"&amp;_xlpm.直近で詳細項目が空でないセルの行番号):F310),
_xlpm.直近で観点が空でないセルの行番号, MAX(INDEX((LEN($F$11:F310)&gt;0)*ROW($F$11:F310),0)),
_xlpm.テスト内容数, COUNTA(INDIRECT("J"&amp;_xlpm.直近で観点が空でないセルの行番号):J310),
_xlpm.テスト内容数_空なら1, IF(_xlpm.テスト内容数=0,1,_xlpm.テスト内容数),
_xlpm.詳細項目数&amp;"-"&amp;_xlpm.観点数&amp;"-"&amp;_xlpm.テスト内容数_空なら1
)</f>
        <v>101-14-2</v>
      </c>
      <c r="B310" s="185"/>
      <c r="C310" s="186"/>
      <c r="D310" s="182"/>
      <c r="E310" s="182"/>
      <c r="F310" s="156"/>
      <c r="G310" s="195"/>
      <c r="H310" s="93" t="s">
        <v>513</v>
      </c>
      <c r="I310" s="62" t="s">
        <v>685</v>
      </c>
      <c r="J310" s="99" t="s">
        <v>643</v>
      </c>
      <c r="K310" s="99" t="s">
        <v>643</v>
      </c>
      <c r="L310" s="99" t="s">
        <v>635</v>
      </c>
      <c r="M310" s="95">
        <v>1</v>
      </c>
      <c r="N310" s="95"/>
      <c r="O310" s="95"/>
      <c r="P310" s="2"/>
      <c r="Q310" s="99"/>
      <c r="R310" s="99"/>
    </row>
    <row r="311" spans="1:18" s="37" customFormat="1" ht="22">
      <c r="A311" s="74" t="str" cm="1">
        <f t="array" aca="1" ref="A311" ca="1">_xlfn.LET(
_xlpm.詳細項目数, COUNTA($E$11:E311),
_xlpm.直近で詳細項目が空でないセルの行番号, MAX(INDEX((LEN($E$11:E311)&gt;0)*ROW($E$11:E311),0)),
_xlpm.観点数, COUNTA(INDIRECT("F"&amp;_xlpm.直近で詳細項目が空でないセルの行番号):F311),
_xlpm.直近で観点が空でないセルの行番号, MAX(INDEX((LEN($F$11:F311)&gt;0)*ROW($F$11:F311),0)),
_xlpm.テスト内容数, COUNTA(INDIRECT("J"&amp;_xlpm.直近で観点が空でないセルの行番号):J311),
_xlpm.テスト内容数_空なら1, IF(_xlpm.テスト内容数=0,1,_xlpm.テスト内容数),
_xlpm.詳細項目数&amp;"-"&amp;_xlpm.観点数&amp;"-"&amp;_xlpm.テスト内容数_空なら1
)</f>
        <v>101-14-3</v>
      </c>
      <c r="B311" s="185"/>
      <c r="C311" s="186"/>
      <c r="D311" s="182"/>
      <c r="E311" s="182"/>
      <c r="F311" s="156"/>
      <c r="G311" s="195"/>
      <c r="H311" s="93" t="s">
        <v>513</v>
      </c>
      <c r="I311" s="62" t="s">
        <v>685</v>
      </c>
      <c r="J311" s="99" t="s">
        <v>644</v>
      </c>
      <c r="K311" s="99" t="s">
        <v>644</v>
      </c>
      <c r="L311" s="99" t="s">
        <v>635</v>
      </c>
      <c r="M311" s="95">
        <v>1</v>
      </c>
      <c r="N311" s="95"/>
      <c r="O311" s="95"/>
      <c r="P311" s="2"/>
      <c r="Q311" s="99"/>
      <c r="R311" s="99"/>
    </row>
    <row r="312" spans="1:18" s="37" customFormat="1" ht="22">
      <c r="A312" s="74" t="str" cm="1">
        <f t="array" aca="1" ref="A312" ca="1">_xlfn.LET(
_xlpm.詳細項目数, COUNTA($E$11:E312),
_xlpm.直近で詳細項目が空でないセルの行番号, MAX(INDEX((LEN($E$11:E312)&gt;0)*ROW($E$11:E312),0)),
_xlpm.観点数, COUNTA(INDIRECT("F"&amp;_xlpm.直近で詳細項目が空でないセルの行番号):F312),
_xlpm.直近で観点が空でないセルの行番号, MAX(INDEX((LEN($F$11:F312)&gt;0)*ROW($F$11:F312),0)),
_xlpm.テスト内容数, COUNTA(INDIRECT("J"&amp;_xlpm.直近で観点が空でないセルの行番号):J312),
_xlpm.テスト内容数_空なら1, IF(_xlpm.テスト内容数=0,1,_xlpm.テスト内容数),
_xlpm.詳細項目数&amp;"-"&amp;_xlpm.観点数&amp;"-"&amp;_xlpm.テスト内容数_空なら1
)</f>
        <v>101-14-4</v>
      </c>
      <c r="B312" s="185"/>
      <c r="C312" s="186"/>
      <c r="D312" s="182"/>
      <c r="E312" s="182"/>
      <c r="F312" s="156"/>
      <c r="G312" s="195"/>
      <c r="H312" s="93" t="s">
        <v>513</v>
      </c>
      <c r="I312" s="62" t="s">
        <v>685</v>
      </c>
      <c r="J312" s="99" t="s">
        <v>645</v>
      </c>
      <c r="K312" s="99" t="s">
        <v>645</v>
      </c>
      <c r="L312" s="99" t="s">
        <v>635</v>
      </c>
      <c r="M312" s="95">
        <v>1</v>
      </c>
      <c r="N312" s="95"/>
      <c r="O312" s="95"/>
      <c r="P312" s="2"/>
      <c r="Q312" s="99"/>
      <c r="R312" s="99"/>
    </row>
    <row r="313" spans="1:18" s="37" customFormat="1" ht="22">
      <c r="A313" s="74" t="str" cm="1">
        <f t="array" aca="1" ref="A313" ca="1">_xlfn.LET(
_xlpm.詳細項目数, COUNTA($E$11:E313),
_xlpm.直近で詳細項目が空でないセルの行番号, MAX(INDEX((LEN($E$11:E313)&gt;0)*ROW($E$11:E313),0)),
_xlpm.観点数, COUNTA(INDIRECT("F"&amp;_xlpm.直近で詳細項目が空でないセルの行番号):F313),
_xlpm.直近で観点が空でないセルの行番号, MAX(INDEX((LEN($F$11:F313)&gt;0)*ROW($F$11:F313),0)),
_xlpm.テスト内容数, COUNTA(INDIRECT("J"&amp;_xlpm.直近で観点が空でないセルの行番号):J313),
_xlpm.テスト内容数_空なら1, IF(_xlpm.テスト内容数=0,1,_xlpm.テスト内容数),
_xlpm.詳細項目数&amp;"-"&amp;_xlpm.観点数&amp;"-"&amp;_xlpm.テスト内容数_空なら1
)</f>
        <v>101-14-5</v>
      </c>
      <c r="B313" s="185"/>
      <c r="C313" s="186"/>
      <c r="D313" s="182"/>
      <c r="E313" s="182"/>
      <c r="F313" s="156"/>
      <c r="G313" s="195"/>
      <c r="H313" s="93" t="s">
        <v>513</v>
      </c>
      <c r="I313" s="62" t="s">
        <v>685</v>
      </c>
      <c r="J313" s="99" t="s">
        <v>646</v>
      </c>
      <c r="K313" s="99" t="s">
        <v>646</v>
      </c>
      <c r="L313" s="99" t="s">
        <v>635</v>
      </c>
      <c r="M313" s="95">
        <v>1</v>
      </c>
      <c r="N313" s="95"/>
      <c r="O313" s="95"/>
      <c r="P313" s="2"/>
      <c r="Q313" s="99"/>
      <c r="R313" s="99"/>
    </row>
    <row r="314" spans="1:18" s="37" customFormat="1" ht="22">
      <c r="A314" s="74" t="str" cm="1">
        <f t="array" aca="1" ref="A314" ca="1">_xlfn.LET(
_xlpm.詳細項目数, COUNTA($E$11:E314),
_xlpm.直近で詳細項目が空でないセルの行番号, MAX(INDEX((LEN($E$11:E314)&gt;0)*ROW($E$11:E314),0)),
_xlpm.観点数, COUNTA(INDIRECT("F"&amp;_xlpm.直近で詳細項目が空でないセルの行番号):F314),
_xlpm.直近で観点が空でないセルの行番号, MAX(INDEX((LEN($F$11:F314)&gt;0)*ROW($F$11:F314),0)),
_xlpm.テスト内容数, COUNTA(INDIRECT("J"&amp;_xlpm.直近で観点が空でないセルの行番号):J314),
_xlpm.テスト内容数_空なら1, IF(_xlpm.テスト内容数=0,1,_xlpm.テスト内容数),
_xlpm.詳細項目数&amp;"-"&amp;_xlpm.観点数&amp;"-"&amp;_xlpm.テスト内容数_空なら1
)</f>
        <v>101-14-6</v>
      </c>
      <c r="B314" s="185"/>
      <c r="C314" s="186"/>
      <c r="D314" s="182"/>
      <c r="E314" s="182"/>
      <c r="F314" s="156"/>
      <c r="G314" s="195"/>
      <c r="H314" s="93" t="s">
        <v>513</v>
      </c>
      <c r="I314" s="62" t="s">
        <v>685</v>
      </c>
      <c r="J314" s="99" t="s">
        <v>647</v>
      </c>
      <c r="K314" s="99" t="s">
        <v>647</v>
      </c>
      <c r="L314" s="99" t="s">
        <v>635</v>
      </c>
      <c r="M314" s="95">
        <v>1</v>
      </c>
      <c r="N314" s="95"/>
      <c r="O314" s="95"/>
      <c r="P314" s="2"/>
      <c r="Q314" s="99"/>
      <c r="R314" s="99"/>
    </row>
    <row r="315" spans="1:18" s="37" customFormat="1" ht="22">
      <c r="A315" s="74" t="str" cm="1">
        <f t="array" aca="1" ref="A315" ca="1">_xlfn.LET(
_xlpm.詳細項目数, COUNTA($E$11:E315),
_xlpm.直近で詳細項目が空でないセルの行番号, MAX(INDEX((LEN($E$11:E315)&gt;0)*ROW($E$11:E315),0)),
_xlpm.観点数, COUNTA(INDIRECT("F"&amp;_xlpm.直近で詳細項目が空でないセルの行番号):F315),
_xlpm.直近で観点が空でないセルの行番号, MAX(INDEX((LEN($F$11:F315)&gt;0)*ROW($F$11:F315),0)),
_xlpm.テスト内容数, COUNTA(INDIRECT("J"&amp;_xlpm.直近で観点が空でないセルの行番号):J315),
_xlpm.テスト内容数_空なら1, IF(_xlpm.テスト内容数=0,1,_xlpm.テスト内容数),
_xlpm.詳細項目数&amp;"-"&amp;_xlpm.観点数&amp;"-"&amp;_xlpm.テスト内容数_空なら1
)</f>
        <v>101-14-7</v>
      </c>
      <c r="B315" s="185"/>
      <c r="C315" s="186"/>
      <c r="D315" s="182"/>
      <c r="E315" s="182"/>
      <c r="F315" s="156"/>
      <c r="G315" s="195"/>
      <c r="H315" s="93" t="s">
        <v>513</v>
      </c>
      <c r="I315" s="62" t="s">
        <v>685</v>
      </c>
      <c r="J315" s="99" t="s">
        <v>648</v>
      </c>
      <c r="K315" s="99" t="s">
        <v>648</v>
      </c>
      <c r="L315" s="99" t="s">
        <v>635</v>
      </c>
      <c r="M315" s="95">
        <v>1</v>
      </c>
      <c r="N315" s="95"/>
      <c r="O315" s="95"/>
      <c r="P315" s="2"/>
      <c r="Q315" s="99"/>
      <c r="R315" s="99"/>
    </row>
    <row r="316" spans="1:18" s="37" customFormat="1" ht="22">
      <c r="A316" s="74" t="str" cm="1">
        <f t="array" aca="1" ref="A316" ca="1">_xlfn.LET(
_xlpm.詳細項目数, COUNTA($E$11:E316),
_xlpm.直近で詳細項目が空でないセルの行番号, MAX(INDEX((LEN($E$11:E316)&gt;0)*ROW($E$11:E316),0)),
_xlpm.観点数, COUNTA(INDIRECT("F"&amp;_xlpm.直近で詳細項目が空でないセルの行番号):F316),
_xlpm.直近で観点が空でないセルの行番号, MAX(INDEX((LEN($F$11:F316)&gt;0)*ROW($F$11:F316),0)),
_xlpm.テスト内容数, COUNTA(INDIRECT("J"&amp;_xlpm.直近で観点が空でないセルの行番号):J316),
_xlpm.テスト内容数_空なら1, IF(_xlpm.テスト内容数=0,1,_xlpm.テスト内容数),
_xlpm.詳細項目数&amp;"-"&amp;_xlpm.観点数&amp;"-"&amp;_xlpm.テスト内容数_空なら1
)</f>
        <v>101-14-8</v>
      </c>
      <c r="B316" s="185"/>
      <c r="C316" s="186"/>
      <c r="D316" s="182"/>
      <c r="E316" s="182"/>
      <c r="F316" s="156"/>
      <c r="G316" s="195"/>
      <c r="H316" s="93" t="s">
        <v>513</v>
      </c>
      <c r="I316" s="62" t="s">
        <v>685</v>
      </c>
      <c r="J316" s="99" t="s">
        <v>649</v>
      </c>
      <c r="K316" s="99" t="s">
        <v>649</v>
      </c>
      <c r="L316" s="99" t="s">
        <v>635</v>
      </c>
      <c r="M316" s="95">
        <v>1</v>
      </c>
      <c r="N316" s="95"/>
      <c r="O316" s="95"/>
      <c r="P316" s="2"/>
      <c r="Q316" s="99"/>
      <c r="R316" s="99"/>
    </row>
    <row r="317" spans="1:18" s="37" customFormat="1" ht="22">
      <c r="A317" s="74" t="str" cm="1">
        <f t="array" aca="1" ref="A317" ca="1">_xlfn.LET(
_xlpm.詳細項目数, COUNTA($E$11:E317),
_xlpm.直近で詳細項目が空でないセルの行番号, MAX(INDEX((LEN($E$11:E317)&gt;0)*ROW($E$11:E317),0)),
_xlpm.観点数, COUNTA(INDIRECT("F"&amp;_xlpm.直近で詳細項目が空でないセルの行番号):F317),
_xlpm.直近で観点が空でないセルの行番号, MAX(INDEX((LEN($F$11:F317)&gt;0)*ROW($F$11:F317),0)),
_xlpm.テスト内容数, COUNTA(INDIRECT("J"&amp;_xlpm.直近で観点が空でないセルの行番号):J317),
_xlpm.テスト内容数_空なら1, IF(_xlpm.テスト内容数=0,1,_xlpm.テスト内容数),
_xlpm.詳細項目数&amp;"-"&amp;_xlpm.観点数&amp;"-"&amp;_xlpm.テスト内容数_空なら1
)</f>
        <v>101-14-9</v>
      </c>
      <c r="B317" s="185"/>
      <c r="C317" s="186"/>
      <c r="D317" s="182"/>
      <c r="E317" s="182"/>
      <c r="F317" s="156"/>
      <c r="G317" s="195"/>
      <c r="H317" s="93" t="s">
        <v>513</v>
      </c>
      <c r="I317" s="62" t="s">
        <v>685</v>
      </c>
      <c r="J317" s="99" t="s">
        <v>650</v>
      </c>
      <c r="K317" s="99" t="s">
        <v>650</v>
      </c>
      <c r="L317" s="99" t="s">
        <v>635</v>
      </c>
      <c r="M317" s="95">
        <v>1</v>
      </c>
      <c r="N317" s="95"/>
      <c r="O317" s="95"/>
      <c r="P317" s="2"/>
      <c r="Q317" s="99"/>
      <c r="R317" s="99"/>
    </row>
    <row r="318" spans="1:18" s="37" customFormat="1" ht="22">
      <c r="A318" s="74" t="str" cm="1">
        <f t="array" aca="1" ref="A318" ca="1">_xlfn.LET(
_xlpm.詳細項目数, COUNTA($E$11:E318),
_xlpm.直近で詳細項目が空でないセルの行番号, MAX(INDEX((LEN($E$11:E318)&gt;0)*ROW($E$11:E318),0)),
_xlpm.観点数, COUNTA(INDIRECT("F"&amp;_xlpm.直近で詳細項目が空でないセルの行番号):F318),
_xlpm.直近で観点が空でないセルの行番号, MAX(INDEX((LEN($F$11:F318)&gt;0)*ROW($F$11:F318),0)),
_xlpm.テスト内容数, COUNTA(INDIRECT("J"&amp;_xlpm.直近で観点が空でないセルの行番号):J318),
_xlpm.テスト内容数_空なら1, IF(_xlpm.テスト内容数=0,1,_xlpm.テスト内容数),
_xlpm.詳細項目数&amp;"-"&amp;_xlpm.観点数&amp;"-"&amp;_xlpm.テスト内容数_空なら1
)</f>
        <v>101-14-10</v>
      </c>
      <c r="B318" s="185"/>
      <c r="C318" s="186"/>
      <c r="D318" s="182"/>
      <c r="E318" s="182"/>
      <c r="F318" s="156"/>
      <c r="G318" s="195"/>
      <c r="H318" s="93" t="s">
        <v>513</v>
      </c>
      <c r="I318" s="62" t="s">
        <v>685</v>
      </c>
      <c r="J318" s="99" t="s">
        <v>651</v>
      </c>
      <c r="K318" s="99" t="s">
        <v>651</v>
      </c>
      <c r="L318" s="99" t="s">
        <v>635</v>
      </c>
      <c r="M318" s="95">
        <v>1</v>
      </c>
      <c r="N318" s="95"/>
      <c r="O318" s="95"/>
      <c r="P318" s="2"/>
      <c r="Q318" s="99"/>
      <c r="R318" s="99"/>
    </row>
    <row r="319" spans="1:18" s="37" customFormat="1" ht="22">
      <c r="A319" s="74" t="str" cm="1">
        <f t="array" aca="1" ref="A319" ca="1">_xlfn.LET(
_xlpm.詳細項目数, COUNTA($E$11:E319),
_xlpm.直近で詳細項目が空でないセルの行番号, MAX(INDEX((LEN($E$11:E319)&gt;0)*ROW($E$11:E319),0)),
_xlpm.観点数, COUNTA(INDIRECT("F"&amp;_xlpm.直近で詳細項目が空でないセルの行番号):F319),
_xlpm.直近で観点が空でないセルの行番号, MAX(INDEX((LEN($F$11:F319)&gt;0)*ROW($F$11:F319),0)),
_xlpm.テスト内容数, COUNTA(INDIRECT("J"&amp;_xlpm.直近で観点が空でないセルの行番号):J319),
_xlpm.テスト内容数_空なら1, IF(_xlpm.テスト内容数=0,1,_xlpm.テスト内容数),
_xlpm.詳細項目数&amp;"-"&amp;_xlpm.観点数&amp;"-"&amp;_xlpm.テスト内容数_空なら1
)</f>
        <v>101-15-1</v>
      </c>
      <c r="B319" s="185"/>
      <c r="C319" s="186"/>
      <c r="D319" s="182"/>
      <c r="E319" s="182"/>
      <c r="F319" s="1" t="s">
        <v>534</v>
      </c>
      <c r="G319" s="99"/>
      <c r="H319" s="62" t="s">
        <v>23</v>
      </c>
      <c r="I319" s="62" t="s">
        <v>24</v>
      </c>
      <c r="J319" s="93" t="s">
        <v>534</v>
      </c>
      <c r="K319" s="93" t="s">
        <v>534</v>
      </c>
      <c r="L319" s="99" t="s">
        <v>635</v>
      </c>
      <c r="M319" s="95">
        <v>1</v>
      </c>
      <c r="N319" s="95"/>
      <c r="O319" s="95"/>
      <c r="P319" s="2"/>
      <c r="Q319" s="99"/>
      <c r="R319" s="99"/>
    </row>
    <row r="320" spans="1:18" s="37" customFormat="1" ht="22">
      <c r="A320" s="74" t="str" cm="1">
        <f t="array" aca="1" ref="A320" ca="1">_xlfn.LET(
_xlpm.詳細項目数, COUNTA($E$11:E320),
_xlpm.直近で詳細項目が空でないセルの行番号, MAX(INDEX((LEN($E$11:E320)&gt;0)*ROW($E$11:E320),0)),
_xlpm.観点数, COUNTA(INDIRECT("F"&amp;_xlpm.直近で詳細項目が空でないセルの行番号):F320),
_xlpm.直近で観点が空でないセルの行番号, MAX(INDEX((LEN($F$11:F320)&gt;0)*ROW($F$11:F320),0)),
_xlpm.テスト内容数, COUNTA(INDIRECT("J"&amp;_xlpm.直近で観点が空でないセルの行番号):J320),
_xlpm.テスト内容数_空なら1, IF(_xlpm.テスト内容数=0,1,_xlpm.テスト内容数),
_xlpm.詳細項目数&amp;"-"&amp;_xlpm.観点数&amp;"-"&amp;_xlpm.テスト内容数_空なら1
)</f>
        <v>101-16-1</v>
      </c>
      <c r="B320" s="227"/>
      <c r="C320" s="228"/>
      <c r="D320" s="229"/>
      <c r="E320" s="229"/>
      <c r="F320" s="124" t="s">
        <v>535</v>
      </c>
      <c r="G320" s="128" t="s">
        <v>502</v>
      </c>
      <c r="H320" s="214"/>
      <c r="I320" s="214"/>
      <c r="J320" s="84"/>
      <c r="K320" s="128"/>
      <c r="L320" s="128"/>
      <c r="M320" s="112">
        <v>1</v>
      </c>
      <c r="N320" s="112"/>
      <c r="O320" s="112"/>
      <c r="P320" s="123"/>
      <c r="Q320" s="128"/>
      <c r="R320" s="128"/>
    </row>
    <row r="321" spans="1:18" s="37" customFormat="1" ht="22">
      <c r="A321" s="74" t="str" cm="1">
        <f t="array" aca="1" ref="A321" ca="1">_xlfn.LET(
_xlpm.詳細項目数, COUNTA($E$11:E321),
_xlpm.直近で詳細項目が空でないセルの行番号, MAX(INDEX((LEN($E$11:E321)&gt;0)*ROW($E$11:E321),0)),
_xlpm.観点数, COUNTA(INDIRECT("F"&amp;_xlpm.直近で詳細項目が空でないセルの行番号):F321),
_xlpm.直近で観点が空でないセルの行番号, MAX(INDEX((LEN($F$11:F321)&gt;0)*ROW($F$11:F321),0)),
_xlpm.テスト内容数, COUNTA(INDIRECT("J"&amp;_xlpm.直近で観点が空でないセルの行番号):J321),
_xlpm.テスト内容数_空なら1, IF(_xlpm.テスト内容数=0,1,_xlpm.テスト内容数),
_xlpm.詳細項目数&amp;"-"&amp;_xlpm.観点数&amp;"-"&amp;_xlpm.テスト内容数_空なら1
)</f>
        <v>101-17-1</v>
      </c>
      <c r="B321" s="185"/>
      <c r="C321" s="186"/>
      <c r="D321" s="182"/>
      <c r="E321" s="182"/>
      <c r="F321" s="127" t="s">
        <v>536</v>
      </c>
      <c r="G321" s="194"/>
      <c r="H321" s="62" t="s">
        <v>23</v>
      </c>
      <c r="I321" s="62" t="s">
        <v>24</v>
      </c>
      <c r="J321" s="93" t="s">
        <v>652</v>
      </c>
      <c r="K321" s="93" t="s">
        <v>652</v>
      </c>
      <c r="L321" s="99" t="s">
        <v>635</v>
      </c>
      <c r="M321" s="95">
        <v>1</v>
      </c>
      <c r="N321" s="95"/>
      <c r="O321" s="95"/>
      <c r="P321" s="2"/>
      <c r="Q321" s="99"/>
      <c r="R321" s="99"/>
    </row>
    <row r="322" spans="1:18" s="37" customFormat="1" ht="22">
      <c r="A322" s="74" t="str" cm="1">
        <f t="array" aca="1" ref="A322" ca="1">_xlfn.LET(
_xlpm.詳細項目数, COUNTA($E$11:E322),
_xlpm.直近で詳細項目が空でないセルの行番号, MAX(INDEX((LEN($E$11:E322)&gt;0)*ROW($E$11:E322),0)),
_xlpm.観点数, COUNTA(INDIRECT("F"&amp;_xlpm.直近で詳細項目が空でないセルの行番号):F322),
_xlpm.直近で観点が空でないセルの行番号, MAX(INDEX((LEN($F$11:F322)&gt;0)*ROW($F$11:F322),0)),
_xlpm.テスト内容数, COUNTA(INDIRECT("J"&amp;_xlpm.直近で観点が空でないセルの行番号):J322),
_xlpm.テスト内容数_空なら1, IF(_xlpm.テスト内容数=0,1,_xlpm.テスト内容数),
_xlpm.詳細項目数&amp;"-"&amp;_xlpm.観点数&amp;"-"&amp;_xlpm.テスト内容数_空なら1
)</f>
        <v>101-17-2</v>
      </c>
      <c r="B322" s="185"/>
      <c r="C322" s="186"/>
      <c r="D322" s="182"/>
      <c r="E322" s="182"/>
      <c r="F322" s="156"/>
      <c r="G322" s="195"/>
      <c r="H322" s="93" t="s">
        <v>513</v>
      </c>
      <c r="I322" s="62" t="s">
        <v>24</v>
      </c>
      <c r="J322" s="99" t="s">
        <v>653</v>
      </c>
      <c r="K322" s="99" t="s">
        <v>653</v>
      </c>
      <c r="L322" s="99" t="s">
        <v>635</v>
      </c>
      <c r="M322" s="95">
        <v>1</v>
      </c>
      <c r="N322" s="95"/>
      <c r="O322" s="95"/>
      <c r="P322" s="2"/>
      <c r="Q322" s="99"/>
      <c r="R322" s="99"/>
    </row>
    <row r="323" spans="1:18" s="37" customFormat="1" ht="22">
      <c r="A323" s="74" t="str" cm="1">
        <f t="array" aca="1" ref="A323" ca="1">_xlfn.LET(
_xlpm.詳細項目数, COUNTA($E$11:E323),
_xlpm.直近で詳細項目が空でないセルの行番号, MAX(INDEX((LEN($E$11:E323)&gt;0)*ROW($E$11:E323),0)),
_xlpm.観点数, COUNTA(INDIRECT("F"&amp;_xlpm.直近で詳細項目が空でないセルの行番号):F323),
_xlpm.直近で観点が空でないセルの行番号, MAX(INDEX((LEN($F$11:F323)&gt;0)*ROW($F$11:F323),0)),
_xlpm.テスト内容数, COUNTA(INDIRECT("J"&amp;_xlpm.直近で観点が空でないセルの行番号):J323),
_xlpm.テスト内容数_空なら1, IF(_xlpm.テスト内容数=0,1,_xlpm.テスト内容数),
_xlpm.詳細項目数&amp;"-"&amp;_xlpm.観点数&amp;"-"&amp;_xlpm.テスト内容数_空なら1
)</f>
        <v>101-17-3</v>
      </c>
      <c r="B323" s="185"/>
      <c r="C323" s="186"/>
      <c r="D323" s="182"/>
      <c r="E323" s="182"/>
      <c r="F323" s="156"/>
      <c r="G323" s="195"/>
      <c r="H323" s="93" t="s">
        <v>513</v>
      </c>
      <c r="I323" s="62" t="s">
        <v>24</v>
      </c>
      <c r="J323" s="99" t="s">
        <v>654</v>
      </c>
      <c r="K323" s="99" t="s">
        <v>654</v>
      </c>
      <c r="L323" s="99" t="s">
        <v>635</v>
      </c>
      <c r="M323" s="95">
        <v>1</v>
      </c>
      <c r="N323" s="95"/>
      <c r="O323" s="95"/>
      <c r="P323" s="2"/>
      <c r="Q323" s="99"/>
      <c r="R323" s="99"/>
    </row>
    <row r="324" spans="1:18" s="37" customFormat="1" ht="22">
      <c r="A324" s="74" t="str" cm="1">
        <f t="array" aca="1" ref="A324" ca="1">_xlfn.LET(
_xlpm.詳細項目数, COUNTA($E$11:E324),
_xlpm.直近で詳細項目が空でないセルの行番号, MAX(INDEX((LEN($E$11:E324)&gt;0)*ROW($E$11:E324),0)),
_xlpm.観点数, COUNTA(INDIRECT("F"&amp;_xlpm.直近で詳細項目が空でないセルの行番号):F324),
_xlpm.直近で観点が空でないセルの行番号, MAX(INDEX((LEN($F$11:F324)&gt;0)*ROW($F$11:F324),0)),
_xlpm.テスト内容数, COUNTA(INDIRECT("J"&amp;_xlpm.直近で観点が空でないセルの行番号):J324),
_xlpm.テスト内容数_空なら1, IF(_xlpm.テスト内容数=0,1,_xlpm.テスト内容数),
_xlpm.詳細項目数&amp;"-"&amp;_xlpm.観点数&amp;"-"&amp;_xlpm.テスト内容数_空なら1
)</f>
        <v>101-17-4</v>
      </c>
      <c r="B324" s="185"/>
      <c r="C324" s="186"/>
      <c r="D324" s="182"/>
      <c r="E324" s="182"/>
      <c r="F324" s="156"/>
      <c r="G324" s="195"/>
      <c r="H324" s="93" t="s">
        <v>513</v>
      </c>
      <c r="I324" s="62" t="s">
        <v>24</v>
      </c>
      <c r="J324" s="99" t="s">
        <v>655</v>
      </c>
      <c r="K324" s="99" t="s">
        <v>655</v>
      </c>
      <c r="L324" s="99" t="s">
        <v>635</v>
      </c>
      <c r="M324" s="95">
        <v>1</v>
      </c>
      <c r="N324" s="95"/>
      <c r="O324" s="95"/>
      <c r="P324" s="2"/>
      <c r="Q324" s="99"/>
      <c r="R324" s="99"/>
    </row>
    <row r="325" spans="1:18" s="37" customFormat="1" ht="22">
      <c r="A325" s="74" t="str" cm="1">
        <f t="array" aca="1" ref="A325" ca="1">_xlfn.LET(
_xlpm.詳細項目数, COUNTA($E$11:E325),
_xlpm.直近で詳細項目が空でないセルの行番号, MAX(INDEX((LEN($E$11:E325)&gt;0)*ROW($E$11:E325),0)),
_xlpm.観点数, COUNTA(INDIRECT("F"&amp;_xlpm.直近で詳細項目が空でないセルの行番号):F325),
_xlpm.直近で観点が空でないセルの行番号, MAX(INDEX((LEN($F$11:F325)&gt;0)*ROW($F$11:F325),0)),
_xlpm.テスト内容数, COUNTA(INDIRECT("J"&amp;_xlpm.直近で観点が空でないセルの行番号):J325),
_xlpm.テスト内容数_空なら1, IF(_xlpm.テスト内容数=0,1,_xlpm.テスト内容数),
_xlpm.詳細項目数&amp;"-"&amp;_xlpm.観点数&amp;"-"&amp;_xlpm.テスト内容数_空なら1
)</f>
        <v>101-17-5</v>
      </c>
      <c r="B325" s="185"/>
      <c r="C325" s="186"/>
      <c r="D325" s="182"/>
      <c r="E325" s="182"/>
      <c r="F325" s="156"/>
      <c r="G325" s="195"/>
      <c r="H325" s="93" t="s">
        <v>513</v>
      </c>
      <c r="I325" s="62" t="s">
        <v>24</v>
      </c>
      <c r="J325" s="99" t="s">
        <v>656</v>
      </c>
      <c r="K325" s="99" t="s">
        <v>656</v>
      </c>
      <c r="L325" s="99" t="s">
        <v>635</v>
      </c>
      <c r="M325" s="95">
        <v>1</v>
      </c>
      <c r="N325" s="95"/>
      <c r="O325" s="95"/>
      <c r="P325" s="2"/>
      <c r="Q325" s="99"/>
      <c r="R325" s="99"/>
    </row>
    <row r="326" spans="1:18" s="37" customFormat="1" ht="22">
      <c r="A326" s="74" t="str" cm="1">
        <f t="array" aca="1" ref="A326" ca="1">_xlfn.LET(
_xlpm.詳細項目数, COUNTA($E$11:E326),
_xlpm.直近で詳細項目が空でないセルの行番号, MAX(INDEX((LEN($E$11:E326)&gt;0)*ROW($E$11:E326),0)),
_xlpm.観点数, COUNTA(INDIRECT("F"&amp;_xlpm.直近で詳細項目が空でないセルの行番号):F326),
_xlpm.直近で観点が空でないセルの行番号, MAX(INDEX((LEN($F$11:F326)&gt;0)*ROW($F$11:F326),0)),
_xlpm.テスト内容数, COUNTA(INDIRECT("J"&amp;_xlpm.直近で観点が空でないセルの行番号):J326),
_xlpm.テスト内容数_空なら1, IF(_xlpm.テスト内容数=0,1,_xlpm.テスト内容数),
_xlpm.詳細項目数&amp;"-"&amp;_xlpm.観点数&amp;"-"&amp;_xlpm.テスト内容数_空なら1
)</f>
        <v>101-17-6</v>
      </c>
      <c r="B326" s="185"/>
      <c r="C326" s="186"/>
      <c r="D326" s="182"/>
      <c r="E326" s="182"/>
      <c r="F326" s="156"/>
      <c r="G326" s="195"/>
      <c r="H326" s="93" t="s">
        <v>513</v>
      </c>
      <c r="I326" s="62" t="s">
        <v>24</v>
      </c>
      <c r="J326" s="99" t="s">
        <v>657</v>
      </c>
      <c r="K326" s="99" t="s">
        <v>657</v>
      </c>
      <c r="L326" s="99" t="s">
        <v>635</v>
      </c>
      <c r="M326" s="95">
        <v>1</v>
      </c>
      <c r="N326" s="95"/>
      <c r="O326" s="95"/>
      <c r="P326" s="2"/>
      <c r="Q326" s="99"/>
      <c r="R326" s="99"/>
    </row>
    <row r="327" spans="1:18" s="37" customFormat="1" ht="22">
      <c r="A327" s="74" t="str" cm="1">
        <f t="array" aca="1" ref="A327" ca="1">_xlfn.LET(
_xlpm.詳細項目数, COUNTA($E$11:E327),
_xlpm.直近で詳細項目が空でないセルの行番号, MAX(INDEX((LEN($E$11:E327)&gt;0)*ROW($E$11:E327),0)),
_xlpm.観点数, COUNTA(INDIRECT("F"&amp;_xlpm.直近で詳細項目が空でないセルの行番号):F327),
_xlpm.直近で観点が空でないセルの行番号, MAX(INDEX((LEN($F$11:F327)&gt;0)*ROW($F$11:F327),0)),
_xlpm.テスト内容数, COUNTA(INDIRECT("J"&amp;_xlpm.直近で観点が空でないセルの行番号):J327),
_xlpm.テスト内容数_空なら1, IF(_xlpm.テスト内容数=0,1,_xlpm.テスト内容数),
_xlpm.詳細項目数&amp;"-"&amp;_xlpm.観点数&amp;"-"&amp;_xlpm.テスト内容数_空なら1
)</f>
        <v>101-17-7</v>
      </c>
      <c r="B327" s="185"/>
      <c r="C327" s="186"/>
      <c r="D327" s="182"/>
      <c r="E327" s="182"/>
      <c r="F327" s="156"/>
      <c r="G327" s="195"/>
      <c r="H327" s="93" t="s">
        <v>513</v>
      </c>
      <c r="I327" s="62" t="s">
        <v>24</v>
      </c>
      <c r="J327" s="99" t="s">
        <v>658</v>
      </c>
      <c r="K327" s="99" t="s">
        <v>658</v>
      </c>
      <c r="L327" s="99" t="s">
        <v>635</v>
      </c>
      <c r="M327" s="95">
        <v>1</v>
      </c>
      <c r="N327" s="95"/>
      <c r="O327" s="95"/>
      <c r="P327" s="2"/>
      <c r="Q327" s="99"/>
      <c r="R327" s="99"/>
    </row>
    <row r="328" spans="1:18" s="37" customFormat="1" ht="22">
      <c r="A328" s="74" t="str" cm="1">
        <f t="array" aca="1" ref="A328" ca="1">_xlfn.LET(
_xlpm.詳細項目数, COUNTA($E$11:E328),
_xlpm.直近で詳細項目が空でないセルの行番号, MAX(INDEX((LEN($E$11:E328)&gt;0)*ROW($E$11:E328),0)),
_xlpm.観点数, COUNTA(INDIRECT("F"&amp;_xlpm.直近で詳細項目が空でないセルの行番号):F328),
_xlpm.直近で観点が空でないセルの行番号, MAX(INDEX((LEN($F$11:F328)&gt;0)*ROW($F$11:F328),0)),
_xlpm.テスト内容数, COUNTA(INDIRECT("J"&amp;_xlpm.直近で観点が空でないセルの行番号):J328),
_xlpm.テスト内容数_空なら1, IF(_xlpm.テスト内容数=0,1,_xlpm.テスト内容数),
_xlpm.詳細項目数&amp;"-"&amp;_xlpm.観点数&amp;"-"&amp;_xlpm.テスト内容数_空なら1
)</f>
        <v>101-17-8</v>
      </c>
      <c r="B328" s="185"/>
      <c r="C328" s="186"/>
      <c r="D328" s="182"/>
      <c r="E328" s="182"/>
      <c r="F328" s="156"/>
      <c r="G328" s="195"/>
      <c r="H328" s="93" t="s">
        <v>513</v>
      </c>
      <c r="I328" s="62" t="s">
        <v>24</v>
      </c>
      <c r="J328" s="99" t="s">
        <v>659</v>
      </c>
      <c r="K328" s="99" t="s">
        <v>659</v>
      </c>
      <c r="L328" s="99" t="s">
        <v>635</v>
      </c>
      <c r="M328" s="95">
        <v>1</v>
      </c>
      <c r="N328" s="95"/>
      <c r="O328" s="95"/>
      <c r="P328" s="2"/>
      <c r="Q328" s="99"/>
      <c r="R328" s="99"/>
    </row>
    <row r="329" spans="1:18" s="37" customFormat="1" ht="22">
      <c r="A329" s="74" t="str" cm="1">
        <f t="array" aca="1" ref="A329" ca="1">_xlfn.LET(
_xlpm.詳細項目数, COUNTA($E$11:E329),
_xlpm.直近で詳細項目が空でないセルの行番号, MAX(INDEX((LEN($E$11:E329)&gt;0)*ROW($E$11:E329),0)),
_xlpm.観点数, COUNTA(INDIRECT("F"&amp;_xlpm.直近で詳細項目が空でないセルの行番号):F329),
_xlpm.直近で観点が空でないセルの行番号, MAX(INDEX((LEN($F$11:F329)&gt;0)*ROW($F$11:F329),0)),
_xlpm.テスト内容数, COUNTA(INDIRECT("J"&amp;_xlpm.直近で観点が空でないセルの行番号):J329),
_xlpm.テスト内容数_空なら1, IF(_xlpm.テスト内容数=0,1,_xlpm.テスト内容数),
_xlpm.詳細項目数&amp;"-"&amp;_xlpm.観点数&amp;"-"&amp;_xlpm.テスト内容数_空なら1
)</f>
        <v>101-17-9</v>
      </c>
      <c r="B329" s="185"/>
      <c r="C329" s="186"/>
      <c r="D329" s="182"/>
      <c r="E329" s="182"/>
      <c r="F329" s="156"/>
      <c r="G329" s="195"/>
      <c r="H329" s="93" t="s">
        <v>513</v>
      </c>
      <c r="I329" s="62" t="s">
        <v>24</v>
      </c>
      <c r="J329" s="99" t="s">
        <v>660</v>
      </c>
      <c r="K329" s="99" t="s">
        <v>660</v>
      </c>
      <c r="L329" s="99" t="s">
        <v>635</v>
      </c>
      <c r="M329" s="95">
        <v>1</v>
      </c>
      <c r="N329" s="95"/>
      <c r="O329" s="95"/>
      <c r="P329" s="2"/>
      <c r="Q329" s="99"/>
      <c r="R329" s="99"/>
    </row>
    <row r="330" spans="1:18" s="37" customFormat="1" ht="22">
      <c r="A330" s="74" t="str" cm="1">
        <f t="array" aca="1" ref="A330" ca="1">_xlfn.LET(
_xlpm.詳細項目数, COUNTA($E$11:E330),
_xlpm.直近で詳細項目が空でないセルの行番号, MAX(INDEX((LEN($E$11:E330)&gt;0)*ROW($E$11:E330),0)),
_xlpm.観点数, COUNTA(INDIRECT("F"&amp;_xlpm.直近で詳細項目が空でないセルの行番号):F330),
_xlpm.直近で観点が空でないセルの行番号, MAX(INDEX((LEN($F$11:F330)&gt;0)*ROW($F$11:F330),0)),
_xlpm.テスト内容数, COUNTA(INDIRECT("J"&amp;_xlpm.直近で観点が空でないセルの行番号):J330),
_xlpm.テスト内容数_空なら1, IF(_xlpm.テスト内容数=0,1,_xlpm.テスト内容数),
_xlpm.詳細項目数&amp;"-"&amp;_xlpm.観点数&amp;"-"&amp;_xlpm.テスト内容数_空なら1
)</f>
        <v>101-17-10</v>
      </c>
      <c r="B330" s="185"/>
      <c r="C330" s="186"/>
      <c r="D330" s="182"/>
      <c r="E330" s="182"/>
      <c r="F330" s="156"/>
      <c r="G330" s="195"/>
      <c r="H330" s="93" t="s">
        <v>513</v>
      </c>
      <c r="I330" s="62" t="s">
        <v>24</v>
      </c>
      <c r="J330" s="99" t="s">
        <v>661</v>
      </c>
      <c r="K330" s="99" t="s">
        <v>661</v>
      </c>
      <c r="L330" s="99" t="s">
        <v>635</v>
      </c>
      <c r="M330" s="95">
        <v>1</v>
      </c>
      <c r="N330" s="95"/>
      <c r="O330" s="95"/>
      <c r="P330" s="2"/>
      <c r="Q330" s="99"/>
      <c r="R330" s="99"/>
    </row>
    <row r="331" spans="1:18" s="37" customFormat="1" ht="33">
      <c r="A331" s="74" t="str" cm="1">
        <f t="array" aca="1" ref="A331" ca="1">_xlfn.LET(
_xlpm.詳細項目数, COUNTA($E$11:E331),
_xlpm.直近で詳細項目が空でないセルの行番号, MAX(INDEX((LEN($E$11:E331)&gt;0)*ROW($E$11:E331),0)),
_xlpm.観点数, COUNTA(INDIRECT("F"&amp;_xlpm.直近で詳細項目が空でないセルの行番号):F331),
_xlpm.直近で観点が空でないセルの行番号, MAX(INDEX((LEN($F$11:F331)&gt;0)*ROW($F$11:F331),0)),
_xlpm.テスト内容数, COUNTA(INDIRECT("J"&amp;_xlpm.直近で観点が空でないセルの行番号):J331),
_xlpm.テスト内容数_空なら1, IF(_xlpm.テスト内容数=0,1,_xlpm.テスト内容数),
_xlpm.詳細項目数&amp;"-"&amp;_xlpm.観点数&amp;"-"&amp;_xlpm.テスト内容数_空なら1
)</f>
        <v>101-18-1</v>
      </c>
      <c r="B331" s="185"/>
      <c r="C331" s="186"/>
      <c r="D331" s="182"/>
      <c r="E331" s="182"/>
      <c r="F331" s="127" t="s">
        <v>537</v>
      </c>
      <c r="G331" s="194"/>
      <c r="H331" s="62" t="s">
        <v>23</v>
      </c>
      <c r="I331" s="62" t="s">
        <v>24</v>
      </c>
      <c r="J331" s="93" t="s">
        <v>662</v>
      </c>
      <c r="K331" s="93" t="s">
        <v>662</v>
      </c>
      <c r="L331" s="99" t="s">
        <v>635</v>
      </c>
      <c r="M331" s="95">
        <v>1</v>
      </c>
      <c r="N331" s="95"/>
      <c r="O331" s="95"/>
      <c r="P331" s="2"/>
      <c r="Q331" s="99"/>
      <c r="R331" s="99"/>
    </row>
    <row r="332" spans="1:18" s="37" customFormat="1" ht="33">
      <c r="A332" s="74" t="str" cm="1">
        <f t="array" aca="1" ref="A332" ca="1">_xlfn.LET(
_xlpm.詳細項目数, COUNTA($E$11:E332),
_xlpm.直近で詳細項目が空でないセルの行番号, MAX(INDEX((LEN($E$11:E332)&gt;0)*ROW($E$11:E332),0)),
_xlpm.観点数, COUNTA(INDIRECT("F"&amp;_xlpm.直近で詳細項目が空でないセルの行番号):F332),
_xlpm.直近で観点が空でないセルの行番号, MAX(INDEX((LEN($F$11:F332)&gt;0)*ROW($F$11:F332),0)),
_xlpm.テスト内容数, COUNTA(INDIRECT("J"&amp;_xlpm.直近で観点が空でないセルの行番号):J332),
_xlpm.テスト内容数_空なら1, IF(_xlpm.テスト内容数=0,1,_xlpm.テスト内容数),
_xlpm.詳細項目数&amp;"-"&amp;_xlpm.観点数&amp;"-"&amp;_xlpm.テスト内容数_空なら1
)</f>
        <v>101-18-2</v>
      </c>
      <c r="B332" s="185"/>
      <c r="C332" s="186"/>
      <c r="D332" s="182"/>
      <c r="E332" s="182"/>
      <c r="F332" s="156"/>
      <c r="G332" s="195"/>
      <c r="H332" s="93" t="s">
        <v>513</v>
      </c>
      <c r="I332" s="62" t="s">
        <v>24</v>
      </c>
      <c r="J332" s="99" t="s">
        <v>663</v>
      </c>
      <c r="K332" s="99" t="s">
        <v>663</v>
      </c>
      <c r="L332" s="99" t="s">
        <v>635</v>
      </c>
      <c r="M332" s="95">
        <v>1</v>
      </c>
      <c r="N332" s="95"/>
      <c r="O332" s="95"/>
      <c r="P332" s="2"/>
      <c r="Q332" s="99"/>
      <c r="R332" s="99"/>
    </row>
    <row r="333" spans="1:18" s="37" customFormat="1" ht="33">
      <c r="A333" s="74" t="str" cm="1">
        <f t="array" aca="1" ref="A333" ca="1">_xlfn.LET(
_xlpm.詳細項目数, COUNTA($E$11:E333),
_xlpm.直近で詳細項目が空でないセルの行番号, MAX(INDEX((LEN($E$11:E333)&gt;0)*ROW($E$11:E333),0)),
_xlpm.観点数, COUNTA(INDIRECT("F"&amp;_xlpm.直近で詳細項目が空でないセルの行番号):F333),
_xlpm.直近で観点が空でないセルの行番号, MAX(INDEX((LEN($F$11:F333)&gt;0)*ROW($F$11:F333),0)),
_xlpm.テスト内容数, COUNTA(INDIRECT("J"&amp;_xlpm.直近で観点が空でないセルの行番号):J333),
_xlpm.テスト内容数_空なら1, IF(_xlpm.テスト内容数=0,1,_xlpm.テスト内容数),
_xlpm.詳細項目数&amp;"-"&amp;_xlpm.観点数&amp;"-"&amp;_xlpm.テスト内容数_空なら1
)</f>
        <v>101-18-3</v>
      </c>
      <c r="B333" s="185"/>
      <c r="C333" s="186"/>
      <c r="D333" s="182"/>
      <c r="E333" s="182"/>
      <c r="F333" s="156"/>
      <c r="G333" s="195"/>
      <c r="H333" s="93" t="s">
        <v>513</v>
      </c>
      <c r="I333" s="62" t="s">
        <v>24</v>
      </c>
      <c r="J333" s="99" t="s">
        <v>664</v>
      </c>
      <c r="K333" s="99" t="s">
        <v>664</v>
      </c>
      <c r="L333" s="99" t="s">
        <v>635</v>
      </c>
      <c r="M333" s="95">
        <v>1</v>
      </c>
      <c r="N333" s="95"/>
      <c r="O333" s="95"/>
      <c r="P333" s="2"/>
      <c r="Q333" s="99"/>
      <c r="R333" s="99"/>
    </row>
    <row r="334" spans="1:18" s="37" customFormat="1" ht="33">
      <c r="A334" s="74" t="str" cm="1">
        <f t="array" aca="1" ref="A334" ca="1">_xlfn.LET(
_xlpm.詳細項目数, COUNTA($E$11:E334),
_xlpm.直近で詳細項目が空でないセルの行番号, MAX(INDEX((LEN($E$11:E334)&gt;0)*ROW($E$11:E334),0)),
_xlpm.観点数, COUNTA(INDIRECT("F"&amp;_xlpm.直近で詳細項目が空でないセルの行番号):F334),
_xlpm.直近で観点が空でないセルの行番号, MAX(INDEX((LEN($F$11:F334)&gt;0)*ROW($F$11:F334),0)),
_xlpm.テスト内容数, COUNTA(INDIRECT("J"&amp;_xlpm.直近で観点が空でないセルの行番号):J334),
_xlpm.テスト内容数_空なら1, IF(_xlpm.テスト内容数=0,1,_xlpm.テスト内容数),
_xlpm.詳細項目数&amp;"-"&amp;_xlpm.観点数&amp;"-"&amp;_xlpm.テスト内容数_空なら1
)</f>
        <v>101-18-4</v>
      </c>
      <c r="B334" s="185"/>
      <c r="C334" s="186"/>
      <c r="D334" s="182"/>
      <c r="E334" s="182"/>
      <c r="F334" s="156"/>
      <c r="G334" s="195"/>
      <c r="H334" s="93" t="s">
        <v>513</v>
      </c>
      <c r="I334" s="62" t="s">
        <v>24</v>
      </c>
      <c r="J334" s="99" t="s">
        <v>665</v>
      </c>
      <c r="K334" s="99" t="s">
        <v>665</v>
      </c>
      <c r="L334" s="99" t="s">
        <v>635</v>
      </c>
      <c r="M334" s="95">
        <v>1</v>
      </c>
      <c r="N334" s="95"/>
      <c r="O334" s="95"/>
      <c r="P334" s="2"/>
      <c r="Q334" s="99"/>
      <c r="R334" s="99"/>
    </row>
    <row r="335" spans="1:18" s="37" customFormat="1" ht="33">
      <c r="A335" s="74" t="str" cm="1">
        <f t="array" aca="1" ref="A335" ca="1">_xlfn.LET(
_xlpm.詳細項目数, COUNTA($E$11:E335),
_xlpm.直近で詳細項目が空でないセルの行番号, MAX(INDEX((LEN($E$11:E335)&gt;0)*ROW($E$11:E335),0)),
_xlpm.観点数, COUNTA(INDIRECT("F"&amp;_xlpm.直近で詳細項目が空でないセルの行番号):F335),
_xlpm.直近で観点が空でないセルの行番号, MAX(INDEX((LEN($F$11:F335)&gt;0)*ROW($F$11:F335),0)),
_xlpm.テスト内容数, COUNTA(INDIRECT("J"&amp;_xlpm.直近で観点が空でないセルの行番号):J335),
_xlpm.テスト内容数_空なら1, IF(_xlpm.テスト内容数=0,1,_xlpm.テスト内容数),
_xlpm.詳細項目数&amp;"-"&amp;_xlpm.観点数&amp;"-"&amp;_xlpm.テスト内容数_空なら1
)</f>
        <v>101-18-5</v>
      </c>
      <c r="B335" s="185"/>
      <c r="C335" s="186"/>
      <c r="D335" s="182"/>
      <c r="E335" s="182"/>
      <c r="F335" s="156"/>
      <c r="G335" s="195"/>
      <c r="H335" s="93" t="s">
        <v>513</v>
      </c>
      <c r="I335" s="62" t="s">
        <v>24</v>
      </c>
      <c r="J335" s="99" t="s">
        <v>666</v>
      </c>
      <c r="K335" s="99" t="s">
        <v>666</v>
      </c>
      <c r="L335" s="99" t="s">
        <v>635</v>
      </c>
      <c r="M335" s="95">
        <v>1</v>
      </c>
      <c r="N335" s="95"/>
      <c r="O335" s="95"/>
      <c r="P335" s="2"/>
      <c r="Q335" s="99"/>
      <c r="R335" s="99"/>
    </row>
    <row r="336" spans="1:18" s="37" customFormat="1" ht="33">
      <c r="A336" s="74" t="str" cm="1">
        <f t="array" aca="1" ref="A336" ca="1">_xlfn.LET(
_xlpm.詳細項目数, COUNTA($E$11:E336),
_xlpm.直近で詳細項目が空でないセルの行番号, MAX(INDEX((LEN($E$11:E336)&gt;0)*ROW($E$11:E336),0)),
_xlpm.観点数, COUNTA(INDIRECT("F"&amp;_xlpm.直近で詳細項目が空でないセルの行番号):F336),
_xlpm.直近で観点が空でないセルの行番号, MAX(INDEX((LEN($F$11:F336)&gt;0)*ROW($F$11:F336),0)),
_xlpm.テスト内容数, COUNTA(INDIRECT("J"&amp;_xlpm.直近で観点が空でないセルの行番号):J336),
_xlpm.テスト内容数_空なら1, IF(_xlpm.テスト内容数=0,1,_xlpm.テスト内容数),
_xlpm.詳細項目数&amp;"-"&amp;_xlpm.観点数&amp;"-"&amp;_xlpm.テスト内容数_空なら1
)</f>
        <v>101-18-6</v>
      </c>
      <c r="B336" s="185"/>
      <c r="C336" s="186"/>
      <c r="D336" s="182"/>
      <c r="E336" s="182"/>
      <c r="F336" s="156"/>
      <c r="G336" s="195"/>
      <c r="H336" s="93" t="s">
        <v>513</v>
      </c>
      <c r="I336" s="62" t="s">
        <v>24</v>
      </c>
      <c r="J336" s="99" t="s">
        <v>667</v>
      </c>
      <c r="K336" s="99" t="s">
        <v>667</v>
      </c>
      <c r="L336" s="99" t="s">
        <v>635</v>
      </c>
      <c r="M336" s="95">
        <v>1</v>
      </c>
      <c r="N336" s="95"/>
      <c r="O336" s="95"/>
      <c r="P336" s="2"/>
      <c r="Q336" s="99"/>
      <c r="R336" s="99"/>
    </row>
    <row r="337" spans="1:18" s="37" customFormat="1" ht="33">
      <c r="A337" s="74" t="str" cm="1">
        <f t="array" aca="1" ref="A337" ca="1">_xlfn.LET(
_xlpm.詳細項目数, COUNTA($E$11:E337),
_xlpm.直近で詳細項目が空でないセルの行番号, MAX(INDEX((LEN($E$11:E337)&gt;0)*ROW($E$11:E337),0)),
_xlpm.観点数, COUNTA(INDIRECT("F"&amp;_xlpm.直近で詳細項目が空でないセルの行番号):F337),
_xlpm.直近で観点が空でないセルの行番号, MAX(INDEX((LEN($F$11:F337)&gt;0)*ROW($F$11:F337),0)),
_xlpm.テスト内容数, COUNTA(INDIRECT("J"&amp;_xlpm.直近で観点が空でないセルの行番号):J337),
_xlpm.テスト内容数_空なら1, IF(_xlpm.テスト内容数=0,1,_xlpm.テスト内容数),
_xlpm.詳細項目数&amp;"-"&amp;_xlpm.観点数&amp;"-"&amp;_xlpm.テスト内容数_空なら1
)</f>
        <v>101-18-7</v>
      </c>
      <c r="B337" s="185"/>
      <c r="C337" s="186"/>
      <c r="D337" s="182"/>
      <c r="E337" s="182"/>
      <c r="F337" s="156"/>
      <c r="G337" s="195"/>
      <c r="H337" s="93" t="s">
        <v>513</v>
      </c>
      <c r="I337" s="62" t="s">
        <v>24</v>
      </c>
      <c r="J337" s="99" t="s">
        <v>668</v>
      </c>
      <c r="K337" s="99" t="s">
        <v>668</v>
      </c>
      <c r="L337" s="99" t="s">
        <v>635</v>
      </c>
      <c r="M337" s="95">
        <v>1</v>
      </c>
      <c r="N337" s="95"/>
      <c r="O337" s="95"/>
      <c r="P337" s="2"/>
      <c r="Q337" s="99"/>
      <c r="R337" s="99"/>
    </row>
    <row r="338" spans="1:18" s="37" customFormat="1" ht="33">
      <c r="A338" s="74" t="str" cm="1">
        <f t="array" aca="1" ref="A338" ca="1">_xlfn.LET(
_xlpm.詳細項目数, COUNTA($E$11:E338),
_xlpm.直近で詳細項目が空でないセルの行番号, MAX(INDEX((LEN($E$11:E338)&gt;0)*ROW($E$11:E338),0)),
_xlpm.観点数, COUNTA(INDIRECT("F"&amp;_xlpm.直近で詳細項目が空でないセルの行番号):F338),
_xlpm.直近で観点が空でないセルの行番号, MAX(INDEX((LEN($F$11:F338)&gt;0)*ROW($F$11:F338),0)),
_xlpm.テスト内容数, COUNTA(INDIRECT("J"&amp;_xlpm.直近で観点が空でないセルの行番号):J338),
_xlpm.テスト内容数_空なら1, IF(_xlpm.テスト内容数=0,1,_xlpm.テスト内容数),
_xlpm.詳細項目数&amp;"-"&amp;_xlpm.観点数&amp;"-"&amp;_xlpm.テスト内容数_空なら1
)</f>
        <v>101-18-8</v>
      </c>
      <c r="B338" s="185"/>
      <c r="C338" s="186"/>
      <c r="D338" s="182"/>
      <c r="E338" s="182"/>
      <c r="F338" s="156"/>
      <c r="G338" s="195"/>
      <c r="H338" s="93" t="s">
        <v>513</v>
      </c>
      <c r="I338" s="62" t="s">
        <v>24</v>
      </c>
      <c r="J338" s="99" t="s">
        <v>669</v>
      </c>
      <c r="K338" s="99" t="s">
        <v>669</v>
      </c>
      <c r="L338" s="99" t="s">
        <v>635</v>
      </c>
      <c r="M338" s="95">
        <v>1</v>
      </c>
      <c r="N338" s="95"/>
      <c r="O338" s="95"/>
      <c r="P338" s="2"/>
      <c r="Q338" s="99"/>
      <c r="R338" s="99"/>
    </row>
    <row r="339" spans="1:18" s="37" customFormat="1" ht="33">
      <c r="A339" s="74" t="str" cm="1">
        <f t="array" aca="1" ref="A339" ca="1">_xlfn.LET(
_xlpm.詳細項目数, COUNTA($E$11:E339),
_xlpm.直近で詳細項目が空でないセルの行番号, MAX(INDEX((LEN($E$11:E339)&gt;0)*ROW($E$11:E339),0)),
_xlpm.観点数, COUNTA(INDIRECT("F"&amp;_xlpm.直近で詳細項目が空でないセルの行番号):F339),
_xlpm.直近で観点が空でないセルの行番号, MAX(INDEX((LEN($F$11:F339)&gt;0)*ROW($F$11:F339),0)),
_xlpm.テスト内容数, COUNTA(INDIRECT("J"&amp;_xlpm.直近で観点が空でないセルの行番号):J339),
_xlpm.テスト内容数_空なら1, IF(_xlpm.テスト内容数=0,1,_xlpm.テスト内容数),
_xlpm.詳細項目数&amp;"-"&amp;_xlpm.観点数&amp;"-"&amp;_xlpm.テスト内容数_空なら1
)</f>
        <v>101-18-9</v>
      </c>
      <c r="B339" s="185"/>
      <c r="C339" s="186"/>
      <c r="D339" s="182"/>
      <c r="E339" s="182"/>
      <c r="F339" s="156"/>
      <c r="G339" s="195"/>
      <c r="H339" s="93" t="s">
        <v>513</v>
      </c>
      <c r="I339" s="62" t="s">
        <v>24</v>
      </c>
      <c r="J339" s="99" t="s">
        <v>670</v>
      </c>
      <c r="K339" s="99" t="s">
        <v>670</v>
      </c>
      <c r="L339" s="99" t="s">
        <v>635</v>
      </c>
      <c r="M339" s="95">
        <v>1</v>
      </c>
      <c r="N339" s="95"/>
      <c r="O339" s="95"/>
      <c r="P339" s="2"/>
      <c r="Q339" s="99"/>
      <c r="R339" s="99"/>
    </row>
    <row r="340" spans="1:18" s="37" customFormat="1" ht="33">
      <c r="A340" s="74" t="str" cm="1">
        <f t="array" aca="1" ref="A340" ca="1">_xlfn.LET(
_xlpm.詳細項目数, COUNTA($E$11:E340),
_xlpm.直近で詳細項目が空でないセルの行番号, MAX(INDEX((LEN($E$11:E340)&gt;0)*ROW($E$11:E340),0)),
_xlpm.観点数, COUNTA(INDIRECT("F"&amp;_xlpm.直近で詳細項目が空でないセルの行番号):F340),
_xlpm.直近で観点が空でないセルの行番号, MAX(INDEX((LEN($F$11:F340)&gt;0)*ROW($F$11:F340),0)),
_xlpm.テスト内容数, COUNTA(INDIRECT("J"&amp;_xlpm.直近で観点が空でないセルの行番号):J340),
_xlpm.テスト内容数_空なら1, IF(_xlpm.テスト内容数=0,1,_xlpm.テスト内容数),
_xlpm.詳細項目数&amp;"-"&amp;_xlpm.観点数&amp;"-"&amp;_xlpm.テスト内容数_空なら1
)</f>
        <v>101-18-10</v>
      </c>
      <c r="B340" s="185"/>
      <c r="C340" s="186"/>
      <c r="D340" s="182"/>
      <c r="E340" s="182"/>
      <c r="F340" s="156"/>
      <c r="G340" s="195"/>
      <c r="H340" s="93" t="s">
        <v>513</v>
      </c>
      <c r="I340" s="62" t="s">
        <v>24</v>
      </c>
      <c r="J340" s="99" t="s">
        <v>671</v>
      </c>
      <c r="K340" s="99" t="s">
        <v>671</v>
      </c>
      <c r="L340" s="99" t="s">
        <v>635</v>
      </c>
      <c r="M340" s="95">
        <v>1</v>
      </c>
      <c r="N340" s="95"/>
      <c r="O340" s="95"/>
      <c r="P340" s="2"/>
      <c r="Q340" s="99"/>
      <c r="R340" s="99"/>
    </row>
    <row r="341" spans="1:18" s="37" customFormat="1" ht="33">
      <c r="A341" s="74" t="str" cm="1">
        <f t="array" aca="1" ref="A341" ca="1">_xlfn.LET(
_xlpm.詳細項目数, COUNTA($E$11:E341),
_xlpm.直近で詳細項目が空でないセルの行番号, MAX(INDEX((LEN($E$11:E341)&gt;0)*ROW($E$11:E341),0)),
_xlpm.観点数, COUNTA(INDIRECT("F"&amp;_xlpm.直近で詳細項目が空でないセルの行番号):F341),
_xlpm.直近で観点が空でないセルの行番号, MAX(INDEX((LEN($F$11:F341)&gt;0)*ROW($F$11:F341),0)),
_xlpm.テスト内容数, COUNTA(INDIRECT("J"&amp;_xlpm.直近で観点が空でないセルの行番号):J341),
_xlpm.テスト内容数_空なら1, IF(_xlpm.テスト内容数=0,1,_xlpm.テスト内容数),
_xlpm.詳細項目数&amp;"-"&amp;_xlpm.観点数&amp;"-"&amp;_xlpm.テスト内容数_空なら1
)</f>
        <v>101-19-1</v>
      </c>
      <c r="B341" s="185"/>
      <c r="C341" s="186"/>
      <c r="D341" s="182"/>
      <c r="E341" s="182"/>
      <c r="F341" s="127" t="s">
        <v>538</v>
      </c>
      <c r="G341" s="194"/>
      <c r="H341" s="62" t="s">
        <v>23</v>
      </c>
      <c r="I341" s="62" t="s">
        <v>685</v>
      </c>
      <c r="J341" s="93" t="s">
        <v>672</v>
      </c>
      <c r="K341" s="93" t="s">
        <v>672</v>
      </c>
      <c r="L341" s="99" t="s">
        <v>635</v>
      </c>
      <c r="M341" s="95">
        <v>1</v>
      </c>
      <c r="N341" s="95"/>
      <c r="O341" s="95"/>
      <c r="P341" s="2"/>
      <c r="Q341" s="99"/>
      <c r="R341" s="99"/>
    </row>
    <row r="342" spans="1:18" s="37" customFormat="1" ht="22">
      <c r="A342" s="74" t="str" cm="1">
        <f t="array" aca="1" ref="A342" ca="1">_xlfn.LET(
_xlpm.詳細項目数, COUNTA($E$11:E342),
_xlpm.直近で詳細項目が空でないセルの行番号, MAX(INDEX((LEN($E$11:E342)&gt;0)*ROW($E$11:E342),0)),
_xlpm.観点数, COUNTA(INDIRECT("F"&amp;_xlpm.直近で詳細項目が空でないセルの行番号):F342),
_xlpm.直近で観点が空でないセルの行番号, MAX(INDEX((LEN($F$11:F342)&gt;0)*ROW($F$11:F342),0)),
_xlpm.テスト内容数, COUNTA(INDIRECT("J"&amp;_xlpm.直近で観点が空でないセルの行番号):J342),
_xlpm.テスト内容数_空なら1, IF(_xlpm.テスト内容数=0,1,_xlpm.テスト内容数),
_xlpm.詳細項目数&amp;"-"&amp;_xlpm.観点数&amp;"-"&amp;_xlpm.テスト内容数_空なら1
)</f>
        <v>101-19-2</v>
      </c>
      <c r="B342" s="185"/>
      <c r="C342" s="186"/>
      <c r="D342" s="182"/>
      <c r="E342" s="182"/>
      <c r="F342" s="156"/>
      <c r="G342" s="195"/>
      <c r="H342" s="93" t="s">
        <v>513</v>
      </c>
      <c r="I342" s="62" t="s">
        <v>685</v>
      </c>
      <c r="J342" s="99" t="s">
        <v>673</v>
      </c>
      <c r="K342" s="99" t="s">
        <v>673</v>
      </c>
      <c r="L342" s="99" t="s">
        <v>635</v>
      </c>
      <c r="M342" s="95">
        <v>1</v>
      </c>
      <c r="N342" s="95"/>
      <c r="O342" s="95"/>
      <c r="P342" s="2"/>
      <c r="Q342" s="99"/>
      <c r="R342" s="99"/>
    </row>
    <row r="343" spans="1:18" s="37" customFormat="1" ht="22">
      <c r="A343" s="74" t="str" cm="1">
        <f t="array" aca="1" ref="A343" ca="1">_xlfn.LET(
_xlpm.詳細項目数, COUNTA($E$11:E343),
_xlpm.直近で詳細項目が空でないセルの行番号, MAX(INDEX((LEN($E$11:E343)&gt;0)*ROW($E$11:E343),0)),
_xlpm.観点数, COUNTA(INDIRECT("F"&amp;_xlpm.直近で詳細項目が空でないセルの行番号):F343),
_xlpm.直近で観点が空でないセルの行番号, MAX(INDEX((LEN($F$11:F343)&gt;0)*ROW($F$11:F343),0)),
_xlpm.テスト内容数, COUNTA(INDIRECT("J"&amp;_xlpm.直近で観点が空でないセルの行番号):J343),
_xlpm.テスト内容数_空なら1, IF(_xlpm.テスト内容数=0,1,_xlpm.テスト内容数),
_xlpm.詳細項目数&amp;"-"&amp;_xlpm.観点数&amp;"-"&amp;_xlpm.テスト内容数_空なら1
)</f>
        <v>101-19-3</v>
      </c>
      <c r="B343" s="185"/>
      <c r="C343" s="186"/>
      <c r="D343" s="182"/>
      <c r="E343" s="182"/>
      <c r="F343" s="156"/>
      <c r="G343" s="195"/>
      <c r="H343" s="93" t="s">
        <v>513</v>
      </c>
      <c r="I343" s="62" t="s">
        <v>685</v>
      </c>
      <c r="J343" s="99" t="s">
        <v>674</v>
      </c>
      <c r="K343" s="99" t="s">
        <v>674</v>
      </c>
      <c r="L343" s="99" t="s">
        <v>635</v>
      </c>
      <c r="M343" s="95">
        <v>1</v>
      </c>
      <c r="N343" s="95"/>
      <c r="O343" s="95"/>
      <c r="P343" s="2"/>
      <c r="Q343" s="99"/>
      <c r="R343" s="99"/>
    </row>
    <row r="344" spans="1:18" s="37" customFormat="1" ht="22">
      <c r="A344" s="74" t="str" cm="1">
        <f t="array" aca="1" ref="A344" ca="1">_xlfn.LET(
_xlpm.詳細項目数, COUNTA($E$11:E344),
_xlpm.直近で詳細項目が空でないセルの行番号, MAX(INDEX((LEN($E$11:E344)&gt;0)*ROW($E$11:E344),0)),
_xlpm.観点数, COUNTA(INDIRECT("F"&amp;_xlpm.直近で詳細項目が空でないセルの行番号):F344),
_xlpm.直近で観点が空でないセルの行番号, MAX(INDEX((LEN($F$11:F344)&gt;0)*ROW($F$11:F344),0)),
_xlpm.テスト内容数, COUNTA(INDIRECT("J"&amp;_xlpm.直近で観点が空でないセルの行番号):J344),
_xlpm.テスト内容数_空なら1, IF(_xlpm.テスト内容数=0,1,_xlpm.テスト内容数),
_xlpm.詳細項目数&amp;"-"&amp;_xlpm.観点数&amp;"-"&amp;_xlpm.テスト内容数_空なら1
)</f>
        <v>101-19-4</v>
      </c>
      <c r="B344" s="185"/>
      <c r="C344" s="186"/>
      <c r="D344" s="182"/>
      <c r="E344" s="182"/>
      <c r="F344" s="156"/>
      <c r="G344" s="195"/>
      <c r="H344" s="93" t="s">
        <v>513</v>
      </c>
      <c r="I344" s="62" t="s">
        <v>685</v>
      </c>
      <c r="J344" s="99" t="s">
        <v>675</v>
      </c>
      <c r="K344" s="99" t="s">
        <v>675</v>
      </c>
      <c r="L344" s="99" t="s">
        <v>635</v>
      </c>
      <c r="M344" s="95">
        <v>1</v>
      </c>
      <c r="N344" s="95"/>
      <c r="O344" s="95"/>
      <c r="P344" s="2"/>
      <c r="Q344" s="99"/>
      <c r="R344" s="99"/>
    </row>
    <row r="345" spans="1:18" s="37" customFormat="1" ht="22">
      <c r="A345" s="74" t="str" cm="1">
        <f t="array" aca="1" ref="A345" ca="1">_xlfn.LET(
_xlpm.詳細項目数, COUNTA($E$11:E345),
_xlpm.直近で詳細項目が空でないセルの行番号, MAX(INDEX((LEN($E$11:E345)&gt;0)*ROW($E$11:E345),0)),
_xlpm.観点数, COUNTA(INDIRECT("F"&amp;_xlpm.直近で詳細項目が空でないセルの行番号):F345),
_xlpm.直近で観点が空でないセルの行番号, MAX(INDEX((LEN($F$11:F345)&gt;0)*ROW($F$11:F345),0)),
_xlpm.テスト内容数, COUNTA(INDIRECT("J"&amp;_xlpm.直近で観点が空でないセルの行番号):J345),
_xlpm.テスト内容数_空なら1, IF(_xlpm.テスト内容数=0,1,_xlpm.テスト内容数),
_xlpm.詳細項目数&amp;"-"&amp;_xlpm.観点数&amp;"-"&amp;_xlpm.テスト内容数_空なら1
)</f>
        <v>101-19-5</v>
      </c>
      <c r="B345" s="185"/>
      <c r="C345" s="186"/>
      <c r="D345" s="182"/>
      <c r="E345" s="182"/>
      <c r="F345" s="156"/>
      <c r="G345" s="195"/>
      <c r="H345" s="93" t="s">
        <v>513</v>
      </c>
      <c r="I345" s="62" t="s">
        <v>685</v>
      </c>
      <c r="J345" s="99" t="s">
        <v>676</v>
      </c>
      <c r="K345" s="99" t="s">
        <v>676</v>
      </c>
      <c r="L345" s="99" t="s">
        <v>635</v>
      </c>
      <c r="M345" s="95">
        <v>1</v>
      </c>
      <c r="N345" s="95"/>
      <c r="O345" s="95"/>
      <c r="P345" s="2"/>
      <c r="Q345" s="99"/>
      <c r="R345" s="99"/>
    </row>
    <row r="346" spans="1:18" s="37" customFormat="1" ht="22">
      <c r="A346" s="74" t="str" cm="1">
        <f t="array" aca="1" ref="A346" ca="1">_xlfn.LET(
_xlpm.詳細項目数, COUNTA($E$11:E346),
_xlpm.直近で詳細項目が空でないセルの行番号, MAX(INDEX((LEN($E$11:E346)&gt;0)*ROW($E$11:E346),0)),
_xlpm.観点数, COUNTA(INDIRECT("F"&amp;_xlpm.直近で詳細項目が空でないセルの行番号):F346),
_xlpm.直近で観点が空でないセルの行番号, MAX(INDEX((LEN($F$11:F346)&gt;0)*ROW($F$11:F346),0)),
_xlpm.テスト内容数, COUNTA(INDIRECT("J"&amp;_xlpm.直近で観点が空でないセルの行番号):J346),
_xlpm.テスト内容数_空なら1, IF(_xlpm.テスト内容数=0,1,_xlpm.テスト内容数),
_xlpm.詳細項目数&amp;"-"&amp;_xlpm.観点数&amp;"-"&amp;_xlpm.テスト内容数_空なら1
)</f>
        <v>101-19-6</v>
      </c>
      <c r="B346" s="185"/>
      <c r="C346" s="186"/>
      <c r="D346" s="182"/>
      <c r="E346" s="182"/>
      <c r="F346" s="156"/>
      <c r="G346" s="195"/>
      <c r="H346" s="93" t="s">
        <v>513</v>
      </c>
      <c r="I346" s="62" t="s">
        <v>685</v>
      </c>
      <c r="J346" s="99" t="s">
        <v>677</v>
      </c>
      <c r="K346" s="99" t="s">
        <v>677</v>
      </c>
      <c r="L346" s="99" t="s">
        <v>635</v>
      </c>
      <c r="M346" s="95">
        <v>1</v>
      </c>
      <c r="N346" s="95"/>
      <c r="O346" s="95"/>
      <c r="P346" s="2"/>
      <c r="Q346" s="99"/>
      <c r="R346" s="99"/>
    </row>
    <row r="347" spans="1:18" s="37" customFormat="1" ht="22">
      <c r="A347" s="74" t="str" cm="1">
        <f t="array" aca="1" ref="A347" ca="1">_xlfn.LET(
_xlpm.詳細項目数, COUNTA($E$11:E347),
_xlpm.直近で詳細項目が空でないセルの行番号, MAX(INDEX((LEN($E$11:E347)&gt;0)*ROW($E$11:E347),0)),
_xlpm.観点数, COUNTA(INDIRECT("F"&amp;_xlpm.直近で詳細項目が空でないセルの行番号):F347),
_xlpm.直近で観点が空でないセルの行番号, MAX(INDEX((LEN($F$11:F347)&gt;0)*ROW($F$11:F347),0)),
_xlpm.テスト内容数, COUNTA(INDIRECT("J"&amp;_xlpm.直近で観点が空でないセルの行番号):J347),
_xlpm.テスト内容数_空なら1, IF(_xlpm.テスト内容数=0,1,_xlpm.テスト内容数),
_xlpm.詳細項目数&amp;"-"&amp;_xlpm.観点数&amp;"-"&amp;_xlpm.テスト内容数_空なら1
)</f>
        <v>101-19-7</v>
      </c>
      <c r="B347" s="185"/>
      <c r="C347" s="186"/>
      <c r="D347" s="182"/>
      <c r="E347" s="182"/>
      <c r="F347" s="156"/>
      <c r="G347" s="195"/>
      <c r="H347" s="93" t="s">
        <v>513</v>
      </c>
      <c r="I347" s="62" t="s">
        <v>685</v>
      </c>
      <c r="J347" s="99" t="s">
        <v>678</v>
      </c>
      <c r="K347" s="99" t="s">
        <v>678</v>
      </c>
      <c r="L347" s="99" t="s">
        <v>635</v>
      </c>
      <c r="M347" s="95">
        <v>1</v>
      </c>
      <c r="N347" s="95"/>
      <c r="O347" s="95"/>
      <c r="P347" s="2"/>
      <c r="Q347" s="99"/>
      <c r="R347" s="99"/>
    </row>
    <row r="348" spans="1:18" s="37" customFormat="1" ht="22">
      <c r="A348" s="74" t="str" cm="1">
        <f t="array" aca="1" ref="A348" ca="1">_xlfn.LET(
_xlpm.詳細項目数, COUNTA($E$11:E348),
_xlpm.直近で詳細項目が空でないセルの行番号, MAX(INDEX((LEN($E$11:E348)&gt;0)*ROW($E$11:E348),0)),
_xlpm.観点数, COUNTA(INDIRECT("F"&amp;_xlpm.直近で詳細項目が空でないセルの行番号):F348),
_xlpm.直近で観点が空でないセルの行番号, MAX(INDEX((LEN($F$11:F348)&gt;0)*ROW($F$11:F348),0)),
_xlpm.テスト内容数, COUNTA(INDIRECT("J"&amp;_xlpm.直近で観点が空でないセルの行番号):J348),
_xlpm.テスト内容数_空なら1, IF(_xlpm.テスト内容数=0,1,_xlpm.テスト内容数),
_xlpm.詳細項目数&amp;"-"&amp;_xlpm.観点数&amp;"-"&amp;_xlpm.テスト内容数_空なら1
)</f>
        <v>101-19-8</v>
      </c>
      <c r="B348" s="185"/>
      <c r="C348" s="186"/>
      <c r="D348" s="182"/>
      <c r="E348" s="182"/>
      <c r="F348" s="156"/>
      <c r="G348" s="195"/>
      <c r="H348" s="93" t="s">
        <v>513</v>
      </c>
      <c r="I348" s="62" t="s">
        <v>685</v>
      </c>
      <c r="J348" s="99" t="s">
        <v>679</v>
      </c>
      <c r="K348" s="99" t="s">
        <v>679</v>
      </c>
      <c r="L348" s="99" t="s">
        <v>635</v>
      </c>
      <c r="M348" s="95">
        <v>1</v>
      </c>
      <c r="N348" s="95"/>
      <c r="O348" s="95"/>
      <c r="P348" s="2"/>
      <c r="Q348" s="99"/>
      <c r="R348" s="99"/>
    </row>
    <row r="349" spans="1:18" s="37" customFormat="1" ht="22">
      <c r="A349" s="74" t="str" cm="1">
        <f t="array" aca="1" ref="A349" ca="1">_xlfn.LET(
_xlpm.詳細項目数, COUNTA($E$11:E349),
_xlpm.直近で詳細項目が空でないセルの行番号, MAX(INDEX((LEN($E$11:E349)&gt;0)*ROW($E$11:E349),0)),
_xlpm.観点数, COUNTA(INDIRECT("F"&amp;_xlpm.直近で詳細項目が空でないセルの行番号):F349),
_xlpm.直近で観点が空でないセルの行番号, MAX(INDEX((LEN($F$11:F349)&gt;0)*ROW($F$11:F349),0)),
_xlpm.テスト内容数, COUNTA(INDIRECT("J"&amp;_xlpm.直近で観点が空でないセルの行番号):J349),
_xlpm.テスト内容数_空なら1, IF(_xlpm.テスト内容数=0,1,_xlpm.テスト内容数),
_xlpm.詳細項目数&amp;"-"&amp;_xlpm.観点数&amp;"-"&amp;_xlpm.テスト内容数_空なら1
)</f>
        <v>101-19-9</v>
      </c>
      <c r="B349" s="185"/>
      <c r="C349" s="186"/>
      <c r="D349" s="182"/>
      <c r="E349" s="182"/>
      <c r="F349" s="156"/>
      <c r="G349" s="195"/>
      <c r="H349" s="93" t="s">
        <v>513</v>
      </c>
      <c r="I349" s="62" t="s">
        <v>685</v>
      </c>
      <c r="J349" s="99" t="s">
        <v>680</v>
      </c>
      <c r="K349" s="99" t="s">
        <v>680</v>
      </c>
      <c r="L349" s="99" t="s">
        <v>635</v>
      </c>
      <c r="M349" s="95">
        <v>1</v>
      </c>
      <c r="N349" s="95"/>
      <c r="O349" s="95"/>
      <c r="P349" s="2"/>
      <c r="Q349" s="99"/>
      <c r="R349" s="99"/>
    </row>
    <row r="350" spans="1:18" s="37" customFormat="1" ht="22">
      <c r="A350" s="74" t="str" cm="1">
        <f t="array" aca="1" ref="A350" ca="1">_xlfn.LET(
_xlpm.詳細項目数, COUNTA($E$11:E350),
_xlpm.直近で詳細項目が空でないセルの行番号, MAX(INDEX((LEN($E$11:E350)&gt;0)*ROW($E$11:E350),0)),
_xlpm.観点数, COUNTA(INDIRECT("F"&amp;_xlpm.直近で詳細項目が空でないセルの行番号):F350),
_xlpm.直近で観点が空でないセルの行番号, MAX(INDEX((LEN($F$11:F350)&gt;0)*ROW($F$11:F350),0)),
_xlpm.テスト内容数, COUNTA(INDIRECT("J"&amp;_xlpm.直近で観点が空でないセルの行番号):J350),
_xlpm.テスト内容数_空なら1, IF(_xlpm.テスト内容数=0,1,_xlpm.テスト内容数),
_xlpm.詳細項目数&amp;"-"&amp;_xlpm.観点数&amp;"-"&amp;_xlpm.テスト内容数_空なら1
)</f>
        <v>101-19-10</v>
      </c>
      <c r="B350" s="185"/>
      <c r="C350" s="186"/>
      <c r="D350" s="182"/>
      <c r="E350" s="182"/>
      <c r="F350" s="156"/>
      <c r="G350" s="195"/>
      <c r="H350" s="93" t="s">
        <v>513</v>
      </c>
      <c r="I350" s="62" t="s">
        <v>685</v>
      </c>
      <c r="J350" s="99" t="s">
        <v>681</v>
      </c>
      <c r="K350" s="99" t="s">
        <v>681</v>
      </c>
      <c r="L350" s="99" t="s">
        <v>635</v>
      </c>
      <c r="M350" s="95">
        <v>1</v>
      </c>
      <c r="N350" s="95"/>
      <c r="O350" s="95"/>
      <c r="P350" s="2"/>
      <c r="Q350" s="99"/>
      <c r="R350" s="99"/>
    </row>
    <row r="351" spans="1:18" s="37" customFormat="1" ht="22">
      <c r="A351" s="74" t="str" cm="1">
        <f t="array" aca="1" ref="A351" ca="1">_xlfn.LET(
_xlpm.詳細項目数, COUNTA($E$11:E351),
_xlpm.直近で詳細項目が空でないセルの行番号, MAX(INDEX((LEN($E$11:E351)&gt;0)*ROW($E$11:E351),0)),
_xlpm.観点数, COUNTA(INDIRECT("F"&amp;_xlpm.直近で詳細項目が空でないセルの行番号):F351),
_xlpm.直近で観点が空でないセルの行番号, MAX(INDEX((LEN($F$11:F351)&gt;0)*ROW($F$11:F351),0)),
_xlpm.テスト内容数, COUNTA(INDIRECT("J"&amp;_xlpm.直近で観点が空でないセルの行番号):J351),
_xlpm.テスト内容数_空なら1, IF(_xlpm.テスト内容数=0,1,_xlpm.テスト内容数),
_xlpm.詳細項目数&amp;"-"&amp;_xlpm.観点数&amp;"-"&amp;_xlpm.テスト内容数_空なら1
)</f>
        <v>101-20-1</v>
      </c>
      <c r="B351" s="227"/>
      <c r="C351" s="228"/>
      <c r="D351" s="229"/>
      <c r="E351" s="229"/>
      <c r="F351" s="124" t="s">
        <v>539</v>
      </c>
      <c r="G351" s="128" t="s">
        <v>502</v>
      </c>
      <c r="H351" s="214"/>
      <c r="I351" s="214"/>
      <c r="J351" s="128"/>
      <c r="K351" s="184"/>
      <c r="L351" s="184"/>
      <c r="M351" s="112"/>
      <c r="N351" s="112"/>
      <c r="O351" s="112"/>
      <c r="P351" s="123"/>
      <c r="Q351" s="128"/>
      <c r="R351" s="128"/>
    </row>
    <row r="352" spans="1:18" s="37" customFormat="1" ht="22">
      <c r="A352" s="74" t="str" cm="1">
        <f t="array" aca="1" ref="A352" ca="1">_xlfn.LET(
_xlpm.詳細項目数, COUNTA($E$11:E352),
_xlpm.直近で詳細項目が空でないセルの行番号, MAX(INDEX((LEN($E$11:E352)&gt;0)*ROW($E$11:E352),0)),
_xlpm.観点数, COUNTA(INDIRECT("F"&amp;_xlpm.直近で詳細項目が空でないセルの行番号):F352),
_xlpm.直近で観点が空でないセルの行番号, MAX(INDEX((LEN($F$11:F352)&gt;0)*ROW($F$11:F352),0)),
_xlpm.テスト内容数, COUNTA(INDIRECT("J"&amp;_xlpm.直近で観点が空でないセルの行番号):J352),
_xlpm.テスト内容数_空なら1, IF(_xlpm.テスト内容数=0,1,_xlpm.テスト内容数),
_xlpm.詳細項目数&amp;"-"&amp;_xlpm.観点数&amp;"-"&amp;_xlpm.テスト内容数_空なら1
)</f>
        <v>101-21-1</v>
      </c>
      <c r="B352" s="227"/>
      <c r="C352" s="228"/>
      <c r="D352" s="229"/>
      <c r="E352" s="229"/>
      <c r="F352" s="124" t="s">
        <v>540</v>
      </c>
      <c r="G352" s="128" t="s">
        <v>502</v>
      </c>
      <c r="H352" s="84"/>
      <c r="I352" s="128"/>
      <c r="J352" s="128"/>
      <c r="K352" s="184"/>
      <c r="L352" s="184"/>
      <c r="M352" s="112"/>
      <c r="N352" s="112"/>
      <c r="O352" s="112"/>
      <c r="P352" s="123"/>
      <c r="Q352" s="128"/>
      <c r="R352" s="128"/>
    </row>
    <row r="353" spans="1:18" s="37" customFormat="1" ht="22">
      <c r="A353" s="74" t="str" cm="1">
        <f t="array" aca="1" ref="A353" ca="1">_xlfn.LET(
_xlpm.詳細項目数, COUNTA($E$11:E353),
_xlpm.直近で詳細項目が空でないセルの行番号, MAX(INDEX((LEN($E$11:E353)&gt;0)*ROW($E$11:E353),0)),
_xlpm.観点数, COUNTA(INDIRECT("F"&amp;_xlpm.直近で詳細項目が空でないセルの行番号):F353),
_xlpm.直近で観点が空でないセルの行番号, MAX(INDEX((LEN($F$11:F353)&gt;0)*ROW($F$11:F353),0)),
_xlpm.テスト内容数, COUNTA(INDIRECT("J"&amp;_xlpm.直近で観点が空でないセルの行番号):J353),
_xlpm.テスト内容数_空なら1, IF(_xlpm.テスト内容数=0,1,_xlpm.テスト内容数),
_xlpm.詳細項目数&amp;"-"&amp;_xlpm.観点数&amp;"-"&amp;_xlpm.テスト内容数_空なら1
)</f>
        <v>102-1-1</v>
      </c>
      <c r="B353" s="227"/>
      <c r="C353" s="229"/>
      <c r="D353" s="229"/>
      <c r="E353" s="215" t="s">
        <v>541</v>
      </c>
      <c r="F353" s="124" t="s">
        <v>542</v>
      </c>
      <c r="G353" s="128" t="s">
        <v>502</v>
      </c>
      <c r="H353" s="84"/>
      <c r="I353" s="128"/>
      <c r="J353" s="128"/>
      <c r="K353" s="184"/>
      <c r="L353" s="184"/>
      <c r="M353" s="112"/>
      <c r="N353" s="112"/>
      <c r="O353" s="112"/>
      <c r="P353" s="123"/>
      <c r="Q353" s="128"/>
      <c r="R353" s="128"/>
    </row>
    <row r="354" spans="1:18" s="37" customFormat="1" ht="22">
      <c r="A354" s="74" t="str" cm="1">
        <f t="array" aca="1" ref="A354" ca="1">_xlfn.LET(
_xlpm.詳細項目数, COUNTA($E$11:E354),
_xlpm.直近で詳細項目が空でないセルの行番号, MAX(INDEX((LEN($E$11:E354)&gt;0)*ROW($E$11:E354),0)),
_xlpm.観点数, COUNTA(INDIRECT("F"&amp;_xlpm.直近で詳細項目が空でないセルの行番号):F354),
_xlpm.直近で観点が空でないセルの行番号, MAX(INDEX((LEN($F$11:F354)&gt;0)*ROW($F$11:F354),0)),
_xlpm.テスト内容数, COUNTA(INDIRECT("J"&amp;_xlpm.直近で観点が空でないセルの行番号):J354),
_xlpm.テスト内容数_空なら1, IF(_xlpm.テスト内容数=0,1,_xlpm.テスト内容数),
_xlpm.詳細項目数&amp;"-"&amp;_xlpm.観点数&amp;"-"&amp;_xlpm.テスト内容数_空なら1
)</f>
        <v>102-2-1</v>
      </c>
      <c r="B354" s="227"/>
      <c r="C354" s="228"/>
      <c r="D354" s="229"/>
      <c r="E354" s="216"/>
      <c r="F354" s="124" t="s">
        <v>543</v>
      </c>
      <c r="G354" s="128" t="s">
        <v>502</v>
      </c>
      <c r="H354" s="84"/>
      <c r="I354" s="128"/>
      <c r="J354" s="128"/>
      <c r="K354" s="184"/>
      <c r="L354" s="184"/>
      <c r="M354" s="112"/>
      <c r="N354" s="112"/>
      <c r="O354" s="112"/>
      <c r="P354" s="123"/>
      <c r="Q354" s="128"/>
      <c r="R354" s="128"/>
    </row>
    <row r="355" spans="1:18" ht="22">
      <c r="A355" s="74" t="str" cm="1">
        <f t="array" aca="1" ref="A355" ca="1">_xlfn.LET(
_xlpm.詳細項目数, COUNTA($E$11:E355),
_xlpm.直近で詳細項目が空でないセルの行番号, MAX(INDEX((LEN($E$11:E355)&gt;0)*ROW($E$11:E355),0)),
_xlpm.観点数, COUNTA(INDIRECT("F"&amp;_xlpm.直近で詳細項目が空でないセルの行番号):F355),
_xlpm.直近で観点が空でないセルの行番号, MAX(INDEX((LEN($F$11:F355)&gt;0)*ROW($F$11:F355),0)),
_xlpm.テスト内容数, COUNTA(INDIRECT("J"&amp;_xlpm.直近で観点が空でないセルの行番号):J355),
_xlpm.テスト内容数_空なら1, IF(_xlpm.テスト内容数=0,1,_xlpm.テスト内容数),
_xlpm.詳細項目数&amp;"-"&amp;_xlpm.観点数&amp;"-"&amp;_xlpm.テスト内容数_空なら1
)</f>
        <v>103-1-1</v>
      </c>
      <c r="B355" s="227"/>
      <c r="C355" s="228"/>
      <c r="D355" s="229"/>
      <c r="E355" s="213" t="s">
        <v>544</v>
      </c>
      <c r="F355" s="124" t="s">
        <v>545</v>
      </c>
      <c r="G355" s="128" t="s">
        <v>502</v>
      </c>
      <c r="H355" s="84"/>
      <c r="I355" s="84"/>
      <c r="J355" s="112"/>
      <c r="K355" s="217"/>
      <c r="L355" s="217"/>
      <c r="M355" s="84"/>
      <c r="N355" s="112"/>
      <c r="O355" s="125"/>
      <c r="P355" s="123"/>
      <c r="Q355" s="123"/>
      <c r="R355" s="123"/>
    </row>
    <row r="356" spans="1:18" ht="22">
      <c r="A356" s="74" t="str" cm="1">
        <f t="array" aca="1" ref="A356" ca="1">_xlfn.LET(
_xlpm.詳細項目数, COUNTA($E$11:E356),
_xlpm.直近で詳細項目が空でないセルの行番号, MAX(INDEX((LEN($E$11:E356)&gt;0)*ROW($E$11:E356),0)),
_xlpm.観点数, COUNTA(INDIRECT("F"&amp;_xlpm.直近で詳細項目が空でないセルの行番号):F356),
_xlpm.直近で観点が空でないセルの行番号, MAX(INDEX((LEN($F$11:F356)&gt;0)*ROW($F$11:F356),0)),
_xlpm.テスト内容数, COUNTA(INDIRECT("J"&amp;_xlpm.直近で観点が空でないセルの行番号):J356),
_xlpm.テスト内容数_空なら1, IF(_xlpm.テスト内容数=0,1,_xlpm.テスト内容数),
_xlpm.詳細項目数&amp;"-"&amp;_xlpm.観点数&amp;"-"&amp;_xlpm.テスト内容数_空なら1
)</f>
        <v>103-2-1</v>
      </c>
      <c r="B356" s="227"/>
      <c r="C356" s="228"/>
      <c r="D356" s="229"/>
      <c r="E356" s="213"/>
      <c r="F356" s="124" t="s">
        <v>546</v>
      </c>
      <c r="G356" s="128" t="s">
        <v>502</v>
      </c>
      <c r="H356" s="84"/>
      <c r="I356" s="84"/>
      <c r="J356" s="112"/>
      <c r="K356" s="217"/>
      <c r="L356" s="217"/>
      <c r="M356" s="84"/>
      <c r="N356" s="112"/>
      <c r="O356" s="125"/>
      <c r="P356" s="123"/>
      <c r="Q356" s="123"/>
      <c r="R356" s="123"/>
    </row>
    <row r="357" spans="1:18" s="37" customFormat="1" ht="22">
      <c r="A357" s="74" t="str" cm="1">
        <f t="array" aca="1" ref="A357" ca="1">_xlfn.LET(
_xlpm.詳細項目数, COUNTA($E$11:E357),
_xlpm.直近で詳細項目が空でないセルの行番号, MAX(INDEX((LEN($E$11:E357)&gt;0)*ROW($E$11:E357),0)),
_xlpm.観点数, COUNTA(INDIRECT("F"&amp;_xlpm.直近で詳細項目が空でないセルの行番号):F357),
_xlpm.直近で観点が空でないセルの行番号, MAX(INDEX((LEN($F$11:F357)&gt;0)*ROW($F$11:F357),0)),
_xlpm.テスト内容数, COUNTA(INDIRECT("J"&amp;_xlpm.直近で観点が空でないセルの行番号):J357),
_xlpm.テスト内容数_空なら1, IF(_xlpm.テスト内容数=0,1,_xlpm.テスト内容数),
_xlpm.詳細項目数&amp;"-"&amp;_xlpm.観点数&amp;"-"&amp;_xlpm.テスト内容数_空なら1
)</f>
        <v>104-1-1</v>
      </c>
      <c r="B357" s="227"/>
      <c r="C357" s="228"/>
      <c r="D357" s="229"/>
      <c r="E357" s="123" t="s">
        <v>547</v>
      </c>
      <c r="F357" s="124" t="s">
        <v>548</v>
      </c>
      <c r="G357" s="128" t="s">
        <v>502</v>
      </c>
      <c r="H357" s="84"/>
      <c r="I357" s="128"/>
      <c r="J357" s="112"/>
      <c r="K357" s="184"/>
      <c r="L357" s="184"/>
      <c r="M357" s="112"/>
      <c r="N357" s="112"/>
      <c r="O357" s="112"/>
      <c r="P357" s="123"/>
      <c r="Q357" s="128"/>
      <c r="R357" s="128"/>
    </row>
    <row r="358" spans="1:18" s="37" customFormat="1" ht="66">
      <c r="A358" s="74" t="str" cm="1">
        <f t="array" aca="1" ref="A358" ca="1">_xlfn.LET(
_xlpm.詳細項目数, COUNTA($E$11:E358),
_xlpm.直近で詳細項目が空でないセルの行番号, MAX(INDEX((LEN($E$11:E358)&gt;0)*ROW($E$11:E358),0)),
_xlpm.観点数, COUNTA(INDIRECT("F"&amp;_xlpm.直近で詳細項目が空でないセルの行番号):F358),
_xlpm.直近で観点が空でないセルの行番号, MAX(INDEX((LEN($F$11:F358)&gt;0)*ROW($F$11:F358),0)),
_xlpm.テスト内容数, COUNTA(INDIRECT("J"&amp;_xlpm.直近で観点が空でないセルの行番号):J358),
_xlpm.テスト内容数_空なら1, IF(_xlpm.テスト内容数=0,1,_xlpm.テスト内容数),
_xlpm.詳細項目数&amp;"-"&amp;_xlpm.観点数&amp;"-"&amp;_xlpm.テスト内容数_空なら1
)</f>
        <v>105-1-1</v>
      </c>
      <c r="B358" s="227"/>
      <c r="C358" s="228"/>
      <c r="D358" s="229"/>
      <c r="E358" s="229" t="s">
        <v>476</v>
      </c>
      <c r="F358" s="234" t="s">
        <v>549</v>
      </c>
      <c r="G358" s="235" t="s">
        <v>502</v>
      </c>
      <c r="H358" s="93" t="s">
        <v>683</v>
      </c>
      <c r="I358" s="93" t="s">
        <v>684</v>
      </c>
      <c r="J358" s="93" t="s">
        <v>790</v>
      </c>
      <c r="K358" s="99" t="s">
        <v>793</v>
      </c>
      <c r="L358" s="164" t="s">
        <v>636</v>
      </c>
      <c r="M358" s="166">
        <v>1</v>
      </c>
      <c r="N358" s="166"/>
      <c r="O358" s="166"/>
      <c r="P358" s="67"/>
      <c r="Q358" s="164"/>
      <c r="R358" s="164"/>
    </row>
    <row r="359" spans="1:18" s="37" customFormat="1" ht="66">
      <c r="A359" s="74" t="str" cm="1">
        <f t="array" aca="1" ref="A359" ca="1">_xlfn.LET(
_xlpm.詳細項目数, COUNTA($E$11:E359),
_xlpm.直近で詳細項目が空でないセルの行番号, MAX(INDEX((LEN($E$11:E359)&gt;0)*ROW($E$11:E359),0)),
_xlpm.観点数, COUNTA(INDIRECT("F"&amp;_xlpm.直近で詳細項目が空でないセルの行番号):F359),
_xlpm.直近で観点が空でないセルの行番号, MAX(INDEX((LEN($F$11:F359)&gt;0)*ROW($F$11:F359),0)),
_xlpm.テスト内容数, COUNTA(INDIRECT("J"&amp;_xlpm.直近で観点が空でないセルの行番号):J359),
_xlpm.テスト内容数_空なら1, IF(_xlpm.テスト内容数=0,1,_xlpm.テスト内容数),
_xlpm.詳細項目数&amp;"-"&amp;_xlpm.観点数&amp;"-"&amp;_xlpm.テスト内容数_空なら1
)</f>
        <v>105-1-2</v>
      </c>
      <c r="B359" s="227"/>
      <c r="C359" s="228"/>
      <c r="D359" s="229"/>
      <c r="E359" s="229"/>
      <c r="F359" s="236"/>
      <c r="G359" s="237"/>
      <c r="H359" s="93" t="s">
        <v>683</v>
      </c>
      <c r="I359" s="93" t="s">
        <v>684</v>
      </c>
      <c r="J359" s="93" t="s">
        <v>791</v>
      </c>
      <c r="K359" s="99" t="s">
        <v>794</v>
      </c>
      <c r="L359" s="164" t="s">
        <v>636</v>
      </c>
      <c r="M359" s="166">
        <v>2</v>
      </c>
      <c r="N359" s="166"/>
      <c r="O359" s="166"/>
      <c r="P359" s="67"/>
      <c r="Q359" s="164"/>
      <c r="R359" s="164"/>
    </row>
    <row r="360" spans="1:18" ht="22">
      <c r="A360" s="74" t="str" cm="1">
        <f t="array" aca="1" ref="A360" ca="1">_xlfn.LET(
_xlpm.詳細項目数, COUNTA($E$11:E360),
_xlpm.直近で詳細項目が空でないセルの行番号, MAX(INDEX((LEN($E$11:E360)&gt;0)*ROW($E$11:E360),0)),
_xlpm.観点数, COUNTA(INDIRECT("F"&amp;_xlpm.直近で詳細項目が空でないセルの行番号):F360),
_xlpm.直近で観点が空でないセルの行番号, MAX(INDEX((LEN($F$11:F360)&gt;0)*ROW($F$11:F360),0)),
_xlpm.テスト内容数, COUNTA(INDIRECT("J"&amp;_xlpm.直近で観点が空でないセルの行番号):J360),
_xlpm.テスト内容数_空なら1, IF(_xlpm.テスト内容数=0,1,_xlpm.テスト内容数),
_xlpm.詳細項目数&amp;"-"&amp;_xlpm.観点数&amp;"-"&amp;_xlpm.テスト内容数_空なら1
)</f>
        <v>105-2-1</v>
      </c>
      <c r="B360" s="227"/>
      <c r="C360" s="228"/>
      <c r="D360" s="229"/>
      <c r="E360" s="229"/>
      <c r="F360" s="124" t="s">
        <v>550</v>
      </c>
      <c r="G360" s="128" t="s">
        <v>682</v>
      </c>
      <c r="H360" s="112"/>
      <c r="I360" s="112"/>
      <c r="J360" s="233"/>
      <c r="K360" s="233"/>
      <c r="L360" s="128"/>
      <c r="M360" s="112"/>
      <c r="N360" s="112"/>
      <c r="O360" s="112"/>
      <c r="P360" s="123"/>
      <c r="Q360" s="125"/>
      <c r="R360" s="125"/>
    </row>
    <row r="361" spans="1:18" ht="66">
      <c r="A361" s="74" t="str" cm="1">
        <f t="array" aca="1" ref="A361" ca="1">_xlfn.LET(
_xlpm.詳細項目数, COUNTA($E$11:E361),
_xlpm.直近で詳細項目が空でないセルの行番号, MAX(INDEX((LEN($E$11:E361)&gt;0)*ROW($E$11:E361),0)),
_xlpm.観点数, COUNTA(INDIRECT("F"&amp;_xlpm.直近で詳細項目が空でないセルの行番号):F361),
_xlpm.直近で観点が空でないセルの行番号, MAX(INDEX((LEN($F$11:F361)&gt;0)*ROW($F$11:F361),0)),
_xlpm.テスト内容数, COUNTA(INDIRECT("J"&amp;_xlpm.直近で観点が空でないセルの行番号):J361),
_xlpm.テスト内容数_空なら1, IF(_xlpm.テスト内容数=0,1,_xlpm.テスト内容数),
_xlpm.詳細項目数&amp;"-"&amp;_xlpm.観点数&amp;"-"&amp;_xlpm.テスト内容数_空なら1
)</f>
        <v>105-3-1</v>
      </c>
      <c r="B361" s="227"/>
      <c r="C361" s="228"/>
      <c r="D361" s="229"/>
      <c r="E361" s="229"/>
      <c r="F361" s="1" t="s">
        <v>551</v>
      </c>
      <c r="G361" s="191"/>
      <c r="H361" s="93" t="s">
        <v>683</v>
      </c>
      <c r="I361" s="93" t="s">
        <v>684</v>
      </c>
      <c r="J361" s="93" t="s">
        <v>792</v>
      </c>
      <c r="K361" s="94" t="s">
        <v>795</v>
      </c>
      <c r="L361" s="94" t="s">
        <v>636</v>
      </c>
      <c r="M361" s="95">
        <v>3</v>
      </c>
      <c r="N361" s="95"/>
      <c r="O361" s="95"/>
      <c r="P361" s="2"/>
      <c r="Q361" s="94"/>
      <c r="R361" s="94"/>
    </row>
    <row r="362" spans="1:18" ht="44">
      <c r="A362" s="74" t="str" cm="1">
        <f t="array" aca="1" ref="A362" ca="1">_xlfn.LET(
_xlpm.詳細項目数, COUNTA($E$11:E362),
_xlpm.直近で詳細項目が空でないセルの行番号, MAX(INDEX((LEN($E$11:E362)&gt;0)*ROW($E$11:E362),0)),
_xlpm.観点数, COUNTA(INDIRECT("F"&amp;_xlpm.直近で詳細項目が空でないセルの行番号):F362),
_xlpm.直近で観点が空でないセルの行番号, MAX(INDEX((LEN($F$11:F362)&gt;0)*ROW($F$11:F362),0)),
_xlpm.テスト内容数, COUNTA(INDIRECT("J"&amp;_xlpm.直近で観点が空でないセルの行番号):J362),
_xlpm.テスト内容数_空なら1, IF(_xlpm.テスト内容数=0,1,_xlpm.テスト内容数),
_xlpm.詳細項目数&amp;"-"&amp;_xlpm.観点数&amp;"-"&amp;_xlpm.テスト内容数_空なら1
)</f>
        <v>105-4-1</v>
      </c>
      <c r="B362" s="227"/>
      <c r="C362" s="228"/>
      <c r="D362" s="229"/>
      <c r="E362" s="229"/>
      <c r="F362" s="124" t="s">
        <v>552</v>
      </c>
      <c r="G362" s="128" t="s">
        <v>502</v>
      </c>
      <c r="H362" s="112"/>
      <c r="I362" s="112"/>
      <c r="J362" s="125"/>
      <c r="K362" s="125"/>
      <c r="L362" s="125"/>
      <c r="M362" s="112"/>
      <c r="N362" s="112"/>
      <c r="O362" s="112"/>
      <c r="P362" s="123"/>
      <c r="Q362" s="125"/>
      <c r="R362" s="125"/>
    </row>
    <row r="363" spans="1:18" ht="33">
      <c r="A363" s="74" t="str" cm="1">
        <f t="array" aca="1" ref="A363" ca="1">_xlfn.LET(
_xlpm.詳細項目数, COUNTA($E$11:E363),
_xlpm.直近で詳細項目が空でないセルの行番号, MAX(INDEX((LEN($E$11:E363)&gt;0)*ROW($E$11:E363),0)),
_xlpm.観点数, COUNTA(INDIRECT("F"&amp;_xlpm.直近で詳細項目が空でないセルの行番号):F363),
_xlpm.直近で観点が空でないセルの行番号, MAX(INDEX((LEN($F$11:F363)&gt;0)*ROW($F$11:F363),0)),
_xlpm.テスト内容数, COUNTA(INDIRECT("J"&amp;_xlpm.直近で観点が空でないセルの行番号):J363),
_xlpm.テスト内容数_空なら1, IF(_xlpm.テスト内容数=0,1,_xlpm.テスト内容数),
_xlpm.詳細項目数&amp;"-"&amp;_xlpm.観点数&amp;"-"&amp;_xlpm.テスト内容数_空なら1
)</f>
        <v>105-5-1</v>
      </c>
      <c r="B363" s="227"/>
      <c r="C363" s="228"/>
      <c r="D363" s="229"/>
      <c r="E363" s="229"/>
      <c r="F363" s="124" t="s">
        <v>553</v>
      </c>
      <c r="G363" s="128" t="s">
        <v>502</v>
      </c>
      <c r="H363" s="112"/>
      <c r="I363" s="112"/>
      <c r="J363" s="125"/>
      <c r="K363" s="125"/>
      <c r="L363" s="125"/>
      <c r="M363" s="112"/>
      <c r="N363" s="112"/>
      <c r="O363" s="112"/>
      <c r="P363" s="123"/>
      <c r="Q363" s="125"/>
      <c r="R363" s="125"/>
    </row>
    <row r="364" spans="1:18" ht="44">
      <c r="A364" s="74" t="str" cm="1">
        <f t="array" aca="1" ref="A364" ca="1">_xlfn.LET(
_xlpm.詳細項目数, COUNTA($E$11:E364),
_xlpm.直近で詳細項目が空でないセルの行番号, MAX(INDEX((LEN($E$11:E364)&gt;0)*ROW($E$11:E364),0)),
_xlpm.観点数, COUNTA(INDIRECT("F"&amp;_xlpm.直近で詳細項目が空でないセルの行番号):F364),
_xlpm.直近で観点が空でないセルの行番号, MAX(INDEX((LEN($F$11:F364)&gt;0)*ROW($F$11:F364),0)),
_xlpm.テスト内容数, COUNTA(INDIRECT("J"&amp;_xlpm.直近で観点が空でないセルの行番号):J364),
_xlpm.テスト内容数_空なら1, IF(_xlpm.テスト内容数=0,1,_xlpm.テスト内容数),
_xlpm.詳細項目数&amp;"-"&amp;_xlpm.観点数&amp;"-"&amp;_xlpm.テスト内容数_空なら1
)</f>
        <v>105-6-1</v>
      </c>
      <c r="B364" s="227"/>
      <c r="C364" s="228"/>
      <c r="D364" s="229"/>
      <c r="E364" s="229"/>
      <c r="F364" s="124" t="s">
        <v>554</v>
      </c>
      <c r="G364" s="128" t="s">
        <v>502</v>
      </c>
      <c r="H364" s="112"/>
      <c r="I364" s="112"/>
      <c r="J364" s="125"/>
      <c r="K364" s="125"/>
      <c r="L364" s="125"/>
      <c r="M364" s="112"/>
      <c r="N364" s="112"/>
      <c r="O364" s="112"/>
      <c r="P364" s="123"/>
      <c r="Q364" s="125"/>
      <c r="R364" s="125"/>
    </row>
    <row r="365" spans="1:18" ht="33">
      <c r="A365" s="74" t="str" cm="1">
        <f t="array" aca="1" ref="A365" ca="1">_xlfn.LET(
_xlpm.詳細項目数, COUNTA($E$11:E365),
_xlpm.直近で詳細項目が空でないセルの行番号, MAX(INDEX((LEN($E$11:E365)&gt;0)*ROW($E$11:E365),0)),
_xlpm.観点数, COUNTA(INDIRECT("F"&amp;_xlpm.直近で詳細項目が空でないセルの行番号):F365),
_xlpm.直近で観点が空でないセルの行番号, MAX(INDEX((LEN($F$11:F365)&gt;0)*ROW($F$11:F365),0)),
_xlpm.テスト内容数, COUNTA(INDIRECT("J"&amp;_xlpm.直近で観点が空でないセルの行番号):J365),
_xlpm.テスト内容数_空なら1, IF(_xlpm.テスト内容数=0,1,_xlpm.テスト内容数),
_xlpm.詳細項目数&amp;"-"&amp;_xlpm.観点数&amp;"-"&amp;_xlpm.テスト内容数_空なら1
)</f>
        <v>105-7-1</v>
      </c>
      <c r="B365" s="227"/>
      <c r="C365" s="228"/>
      <c r="D365" s="229"/>
      <c r="E365" s="229"/>
      <c r="F365" s="124" t="s">
        <v>555</v>
      </c>
      <c r="G365" s="128" t="s">
        <v>502</v>
      </c>
      <c r="H365" s="112"/>
      <c r="I365" s="112"/>
      <c r="J365" s="125"/>
      <c r="K365" s="125"/>
      <c r="L365" s="125"/>
      <c r="M365" s="112"/>
      <c r="N365" s="112"/>
      <c r="O365" s="112"/>
      <c r="P365" s="123"/>
      <c r="Q365" s="125"/>
      <c r="R365" s="125"/>
    </row>
    <row r="366" spans="1:18" ht="44">
      <c r="A366" s="74" t="str" cm="1">
        <f t="array" aca="1" ref="A366" ca="1">_xlfn.LET(
_xlpm.詳細項目数, COUNTA($E$11:E366),
_xlpm.直近で詳細項目が空でないセルの行番号, MAX(INDEX((LEN($E$11:E366)&gt;0)*ROW($E$11:E366),0)),
_xlpm.観点数, COUNTA(INDIRECT("F"&amp;_xlpm.直近で詳細項目が空でないセルの行番号):F366),
_xlpm.直近で観点が空でないセルの行番号, MAX(INDEX((LEN($F$11:F366)&gt;0)*ROW($F$11:F366),0)),
_xlpm.テスト内容数, COUNTA(INDIRECT("J"&amp;_xlpm.直近で観点が空でないセルの行番号):J366),
_xlpm.テスト内容数_空なら1, IF(_xlpm.テスト内容数=0,1,_xlpm.テスト内容数),
_xlpm.詳細項目数&amp;"-"&amp;_xlpm.観点数&amp;"-"&amp;_xlpm.テスト内容数_空なら1
)</f>
        <v>105-8-1</v>
      </c>
      <c r="B366" s="227"/>
      <c r="C366" s="228"/>
      <c r="D366" s="229"/>
      <c r="E366" s="229"/>
      <c r="F366" s="124" t="s">
        <v>556</v>
      </c>
      <c r="G366" s="128" t="s">
        <v>502</v>
      </c>
      <c r="H366" s="112"/>
      <c r="I366" s="112"/>
      <c r="J366" s="125"/>
      <c r="K366" s="125"/>
      <c r="L366" s="125"/>
      <c r="M366" s="112"/>
      <c r="N366" s="112"/>
      <c r="O366" s="112"/>
      <c r="P366" s="123"/>
      <c r="Q366" s="125"/>
      <c r="R366" s="125"/>
    </row>
    <row r="367" spans="1:18" ht="44">
      <c r="A367" s="74" t="str" cm="1">
        <f t="array" aca="1" ref="A367" ca="1">_xlfn.LET(
_xlpm.詳細項目数, COUNTA($E$11:E367),
_xlpm.直近で詳細項目が空でないセルの行番号, MAX(INDEX((LEN($E$11:E367)&gt;0)*ROW($E$11:E367),0)),
_xlpm.観点数, COUNTA(INDIRECT("F"&amp;_xlpm.直近で詳細項目が空でないセルの行番号):F367),
_xlpm.直近で観点が空でないセルの行番号, MAX(INDEX((LEN($F$11:F367)&gt;0)*ROW($F$11:F367),0)),
_xlpm.テスト内容数, COUNTA(INDIRECT("J"&amp;_xlpm.直近で観点が空でないセルの行番号):J367),
_xlpm.テスト内容数_空なら1, IF(_xlpm.テスト内容数=0,1,_xlpm.テスト内容数),
_xlpm.詳細項目数&amp;"-"&amp;_xlpm.観点数&amp;"-"&amp;_xlpm.テスト内容数_空なら1
)</f>
        <v>105-9-1</v>
      </c>
      <c r="B367" s="227"/>
      <c r="C367" s="228"/>
      <c r="D367" s="229"/>
      <c r="E367" s="229"/>
      <c r="F367" s="230" t="s">
        <v>557</v>
      </c>
      <c r="G367" s="164"/>
      <c r="H367" s="95" t="s">
        <v>637</v>
      </c>
      <c r="I367" s="95" t="s">
        <v>686</v>
      </c>
      <c r="J367" s="240" t="s">
        <v>796</v>
      </c>
      <c r="K367" s="94" t="s">
        <v>687</v>
      </c>
      <c r="L367" s="209" t="s">
        <v>816</v>
      </c>
      <c r="M367" s="166"/>
      <c r="N367" s="166"/>
      <c r="O367" s="166"/>
      <c r="P367" s="67"/>
      <c r="Q367" s="165"/>
      <c r="R367" s="165"/>
    </row>
    <row r="368" spans="1:18" ht="22">
      <c r="A368" s="74" t="str" cm="1">
        <f t="array" aca="1" ref="A368" ca="1">_xlfn.LET(
_xlpm.詳細項目数, COUNTA($E$11:E368),
_xlpm.直近で詳細項目が空でないセルの行番号, MAX(INDEX((LEN($E$11:E368)&gt;0)*ROW($E$11:E368),0)),
_xlpm.観点数, COUNTA(INDIRECT("F"&amp;_xlpm.直近で詳細項目が空でないセルの行番号):F368),
_xlpm.直近で観点が空でないセルの行番号, MAX(INDEX((LEN($F$11:F368)&gt;0)*ROW($F$11:F368),0)),
_xlpm.テスト内容数, COUNTA(INDIRECT("J"&amp;_xlpm.直近で観点が空でないセルの行番号):J368),
_xlpm.テスト内容数_空なら1, IF(_xlpm.テスト内容数=0,1,_xlpm.テスト内容数),
_xlpm.詳細項目数&amp;"-"&amp;_xlpm.観点数&amp;"-"&amp;_xlpm.テスト内容数_空なら1
)</f>
        <v>106-1-1</v>
      </c>
      <c r="B368" s="238"/>
      <c r="C368" s="228"/>
      <c r="D368" s="229"/>
      <c r="E368" s="123" t="s">
        <v>558</v>
      </c>
      <c r="F368" s="124" t="s">
        <v>559</v>
      </c>
      <c r="G368" s="128" t="s">
        <v>502</v>
      </c>
      <c r="H368" s="84"/>
      <c r="I368" s="84"/>
      <c r="J368" s="84"/>
      <c r="K368" s="128"/>
      <c r="L368" s="128"/>
      <c r="M368" s="112"/>
      <c r="N368" s="112"/>
      <c r="O368" s="112"/>
      <c r="P368" s="123"/>
      <c r="Q368" s="125"/>
      <c r="R368" s="125"/>
    </row>
    <row r="369" spans="1:18" ht="22">
      <c r="A369" s="74" t="str" cm="1">
        <f t="array" aca="1" ref="A369" ca="1">_xlfn.LET(
_xlpm.詳細項目数, COUNTA($E$11:E369),
_xlpm.直近で詳細項目が空でないセルの行番号, MAX(INDEX((LEN($E$11:E369)&gt;0)*ROW($E$11:E369),0)),
_xlpm.観点数, COUNTA(INDIRECT("F"&amp;_xlpm.直近で詳細項目が空でないセルの行番号):F369),
_xlpm.直近で観点が空でないセルの行番号, MAX(INDEX((LEN($F$11:F369)&gt;0)*ROW($F$11:F369),0)),
_xlpm.テスト内容数, COUNTA(INDIRECT("J"&amp;_xlpm.直近で観点が空でないセルの行番号):J369),
_xlpm.テスト内容数_空なら1, IF(_xlpm.テスト内容数=0,1,_xlpm.テスト内容数),
_xlpm.詳細項目数&amp;"-"&amp;_xlpm.観点数&amp;"-"&amp;_xlpm.テスト内容数_空なら1
)</f>
        <v>107-1-1</v>
      </c>
      <c r="B369" s="238"/>
      <c r="C369" s="228"/>
      <c r="D369" s="239"/>
      <c r="E369" s="67" t="s">
        <v>560</v>
      </c>
      <c r="F369" s="230" t="s">
        <v>561</v>
      </c>
      <c r="G369" s="164"/>
      <c r="H369" s="93" t="s">
        <v>637</v>
      </c>
      <c r="I369" s="93" t="s">
        <v>688</v>
      </c>
      <c r="J369" s="93" t="s">
        <v>797</v>
      </c>
      <c r="K369" s="95" t="s">
        <v>689</v>
      </c>
      <c r="L369" s="209" t="s">
        <v>816</v>
      </c>
      <c r="M369" s="95"/>
      <c r="N369" s="166"/>
      <c r="O369" s="166"/>
      <c r="P369" s="67"/>
      <c r="Q369" s="165"/>
      <c r="R369" s="165"/>
    </row>
    <row r="370" spans="1:18" ht="22">
      <c r="A370" s="74" t="str" cm="1">
        <f t="array" aca="1" ref="A370" ca="1">_xlfn.LET(
_xlpm.詳細項目数, COUNTA($E$11:E370),
_xlpm.直近で詳細項目が空でないセルの行番号, MAX(INDEX((LEN($E$11:E370)&gt;0)*ROW($E$11:E370),0)),
_xlpm.観点数, COUNTA(INDIRECT("F"&amp;_xlpm.直近で詳細項目が空でないセルの行番号):F370),
_xlpm.直近で観点が空でないセルの行番号, MAX(INDEX((LEN($F$11:F370)&gt;0)*ROW($F$11:F370),0)),
_xlpm.テスト内容数, COUNTA(INDIRECT("J"&amp;_xlpm.直近で観点が空でないセルの行番号):J370),
_xlpm.テスト内容数_空なら1, IF(_xlpm.テスト内容数=0,1,_xlpm.テスト内容数),
_xlpm.詳細項目数&amp;"-"&amp;_xlpm.観点数&amp;"-"&amp;_xlpm.テスト内容数_空なら1
)</f>
        <v>108-1-1</v>
      </c>
      <c r="B370" s="238"/>
      <c r="C370" s="229"/>
      <c r="D370" s="229" t="s">
        <v>562</v>
      </c>
      <c r="E370" s="241" t="s">
        <v>467</v>
      </c>
      <c r="F370" s="234" t="s">
        <v>563</v>
      </c>
      <c r="G370" s="235"/>
      <c r="H370" s="93" t="s">
        <v>690</v>
      </c>
      <c r="I370" s="93" t="s">
        <v>691</v>
      </c>
      <c r="J370" s="99" t="s">
        <v>692</v>
      </c>
      <c r="K370" s="99" t="s">
        <v>692</v>
      </c>
      <c r="L370" s="99" t="s">
        <v>635</v>
      </c>
      <c r="M370" s="95">
        <v>1</v>
      </c>
      <c r="N370" s="166"/>
      <c r="O370" s="166"/>
      <c r="P370" s="67"/>
      <c r="Q370" s="165"/>
      <c r="R370" s="165"/>
    </row>
    <row r="371" spans="1:18" s="37" customFormat="1" ht="22">
      <c r="A371" s="74" t="str" cm="1">
        <f t="array" aca="1" ref="A371" ca="1">_xlfn.LET(
_xlpm.詳細項目数, COUNTA($E$11:E371),
_xlpm.直近で詳細項目が空でないセルの行番号, MAX(INDEX((LEN($E$11:E371)&gt;0)*ROW($E$11:E371),0)),
_xlpm.観点数, COUNTA(INDIRECT("F"&amp;_xlpm.直近で詳細項目が空でないセルの行番号):F371),
_xlpm.直近で観点が空でないセルの行番号, MAX(INDEX((LEN($F$11:F371)&gt;0)*ROW($F$11:F371),0)),
_xlpm.テスト内容数, COUNTA(INDIRECT("J"&amp;_xlpm.直近で観点が空でないセルの行番号):J371),
_xlpm.テスト内容数_空なら1, IF(_xlpm.テスト内容数=0,1,_xlpm.テスト内容数),
_xlpm.詳細項目数&amp;"-"&amp;_xlpm.観点数&amp;"-"&amp;_xlpm.テスト内容数_空なら1
)</f>
        <v>108-1-2</v>
      </c>
      <c r="B371" s="185"/>
      <c r="C371" s="186"/>
      <c r="D371" s="182"/>
      <c r="E371" s="182"/>
      <c r="F371" s="156"/>
      <c r="G371" s="195"/>
      <c r="H371" s="93" t="s">
        <v>690</v>
      </c>
      <c r="I371" s="93" t="s">
        <v>691</v>
      </c>
      <c r="J371" s="99" t="s">
        <v>692</v>
      </c>
      <c r="K371" s="99" t="s">
        <v>692</v>
      </c>
      <c r="L371" s="99" t="s">
        <v>635</v>
      </c>
      <c r="M371" s="95">
        <v>1</v>
      </c>
      <c r="N371" s="95"/>
      <c r="O371" s="95"/>
      <c r="P371" s="2"/>
      <c r="Q371" s="99"/>
      <c r="R371" s="99"/>
    </row>
    <row r="372" spans="1:18" s="37" customFormat="1" ht="22">
      <c r="A372" s="74" t="str" cm="1">
        <f t="array" aca="1" ref="A372" ca="1">_xlfn.LET(
_xlpm.詳細項目数, COUNTA($E$11:E372),
_xlpm.直近で詳細項目が空でないセルの行番号, MAX(INDEX((LEN($E$11:E372)&gt;0)*ROW($E$11:E372),0)),
_xlpm.観点数, COUNTA(INDIRECT("F"&amp;_xlpm.直近で詳細項目が空でないセルの行番号):F372),
_xlpm.直近で観点が空でないセルの行番号, MAX(INDEX((LEN($F$11:F372)&gt;0)*ROW($F$11:F372),0)),
_xlpm.テスト内容数, COUNTA(INDIRECT("J"&amp;_xlpm.直近で観点が空でないセルの行番号):J372),
_xlpm.テスト内容数_空なら1, IF(_xlpm.テスト内容数=0,1,_xlpm.テスト内容数),
_xlpm.詳細項目数&amp;"-"&amp;_xlpm.観点数&amp;"-"&amp;_xlpm.テスト内容数_空なら1
)</f>
        <v>108-1-3</v>
      </c>
      <c r="B372" s="185"/>
      <c r="C372" s="186"/>
      <c r="D372" s="182"/>
      <c r="E372" s="182"/>
      <c r="F372" s="156"/>
      <c r="G372" s="195"/>
      <c r="H372" s="93" t="s">
        <v>690</v>
      </c>
      <c r="I372" s="93" t="s">
        <v>691</v>
      </c>
      <c r="J372" s="99" t="s">
        <v>693</v>
      </c>
      <c r="K372" s="99" t="s">
        <v>693</v>
      </c>
      <c r="L372" s="99" t="s">
        <v>635</v>
      </c>
      <c r="M372" s="95">
        <v>1</v>
      </c>
      <c r="N372" s="95"/>
      <c r="O372" s="95"/>
      <c r="P372" s="2"/>
      <c r="Q372" s="99"/>
      <c r="R372" s="99"/>
    </row>
    <row r="373" spans="1:18" s="37" customFormat="1" ht="22">
      <c r="A373" s="74" t="str" cm="1">
        <f t="array" aca="1" ref="A373" ca="1">_xlfn.LET(
_xlpm.詳細項目数, COUNTA($E$11:E373),
_xlpm.直近で詳細項目が空でないセルの行番号, MAX(INDEX((LEN($E$11:E373)&gt;0)*ROW($E$11:E373),0)),
_xlpm.観点数, COUNTA(INDIRECT("F"&amp;_xlpm.直近で詳細項目が空でないセルの行番号):F373),
_xlpm.直近で観点が空でないセルの行番号, MAX(INDEX((LEN($F$11:F373)&gt;0)*ROW($F$11:F373),0)),
_xlpm.テスト内容数, COUNTA(INDIRECT("J"&amp;_xlpm.直近で観点が空でないセルの行番号):J373),
_xlpm.テスト内容数_空なら1, IF(_xlpm.テスト内容数=0,1,_xlpm.テスト内容数),
_xlpm.詳細項目数&amp;"-"&amp;_xlpm.観点数&amp;"-"&amp;_xlpm.テスト内容数_空なら1
)</f>
        <v>108-1-4</v>
      </c>
      <c r="B373" s="185"/>
      <c r="C373" s="186"/>
      <c r="D373" s="182"/>
      <c r="E373" s="182"/>
      <c r="F373" s="156"/>
      <c r="G373" s="195"/>
      <c r="H373" s="93" t="s">
        <v>690</v>
      </c>
      <c r="I373" s="93" t="s">
        <v>691</v>
      </c>
      <c r="J373" s="99" t="s">
        <v>694</v>
      </c>
      <c r="K373" s="99" t="s">
        <v>694</v>
      </c>
      <c r="L373" s="99" t="s">
        <v>635</v>
      </c>
      <c r="M373" s="95">
        <v>1</v>
      </c>
      <c r="N373" s="95"/>
      <c r="O373" s="95"/>
      <c r="P373" s="2"/>
      <c r="Q373" s="99"/>
      <c r="R373" s="99"/>
    </row>
    <row r="374" spans="1:18" s="37" customFormat="1" ht="22">
      <c r="A374" s="74" t="str" cm="1">
        <f t="array" aca="1" ref="A374" ca="1">_xlfn.LET(
_xlpm.詳細項目数, COUNTA($E$11:E374),
_xlpm.直近で詳細項目が空でないセルの行番号, MAX(INDEX((LEN($E$11:E374)&gt;0)*ROW($E$11:E374),0)),
_xlpm.観点数, COUNTA(INDIRECT("F"&amp;_xlpm.直近で詳細項目が空でないセルの行番号):F374),
_xlpm.直近で観点が空でないセルの行番号, MAX(INDEX((LEN($F$11:F374)&gt;0)*ROW($F$11:F374),0)),
_xlpm.テスト内容数, COUNTA(INDIRECT("J"&amp;_xlpm.直近で観点が空でないセルの行番号):J374),
_xlpm.テスト内容数_空なら1, IF(_xlpm.テスト内容数=0,1,_xlpm.テスト内容数),
_xlpm.詳細項目数&amp;"-"&amp;_xlpm.観点数&amp;"-"&amp;_xlpm.テスト内容数_空なら1
)</f>
        <v>108-1-5</v>
      </c>
      <c r="B374" s="185"/>
      <c r="C374" s="186"/>
      <c r="D374" s="182"/>
      <c r="E374" s="182"/>
      <c r="F374" s="156"/>
      <c r="G374" s="195"/>
      <c r="H374" s="93" t="s">
        <v>690</v>
      </c>
      <c r="I374" s="93" t="s">
        <v>691</v>
      </c>
      <c r="J374" s="99" t="s">
        <v>695</v>
      </c>
      <c r="K374" s="99" t="s">
        <v>695</v>
      </c>
      <c r="L374" s="99" t="s">
        <v>635</v>
      </c>
      <c r="M374" s="95">
        <v>1</v>
      </c>
      <c r="N374" s="95"/>
      <c r="O374" s="95"/>
      <c r="P374" s="2"/>
      <c r="Q374" s="99"/>
      <c r="R374" s="99"/>
    </row>
    <row r="375" spans="1:18" s="37" customFormat="1" ht="22">
      <c r="A375" s="74" t="str" cm="1">
        <f t="array" aca="1" ref="A375" ca="1">_xlfn.LET(
_xlpm.詳細項目数, COUNTA($E$11:E375),
_xlpm.直近で詳細項目が空でないセルの行番号, MAX(INDEX((LEN($E$11:E375)&gt;0)*ROW($E$11:E375),0)),
_xlpm.観点数, COUNTA(INDIRECT("F"&amp;_xlpm.直近で詳細項目が空でないセルの行番号):F375),
_xlpm.直近で観点が空でないセルの行番号, MAX(INDEX((LEN($F$11:F375)&gt;0)*ROW($F$11:F375),0)),
_xlpm.テスト内容数, COUNTA(INDIRECT("J"&amp;_xlpm.直近で観点が空でないセルの行番号):J375),
_xlpm.テスト内容数_空なら1, IF(_xlpm.テスト内容数=0,1,_xlpm.テスト内容数),
_xlpm.詳細項目数&amp;"-"&amp;_xlpm.観点数&amp;"-"&amp;_xlpm.テスト内容数_空なら1
)</f>
        <v>108-1-6</v>
      </c>
      <c r="B375" s="185"/>
      <c r="C375" s="186"/>
      <c r="D375" s="182"/>
      <c r="E375" s="182"/>
      <c r="F375" s="156"/>
      <c r="G375" s="195"/>
      <c r="H375" s="93" t="s">
        <v>690</v>
      </c>
      <c r="I375" s="93" t="s">
        <v>691</v>
      </c>
      <c r="J375" s="99" t="s">
        <v>696</v>
      </c>
      <c r="K375" s="99" t="s">
        <v>696</v>
      </c>
      <c r="L375" s="99" t="s">
        <v>635</v>
      </c>
      <c r="M375" s="95">
        <v>1</v>
      </c>
      <c r="N375" s="95"/>
      <c r="O375" s="95"/>
      <c r="P375" s="2"/>
      <c r="Q375" s="99"/>
      <c r="R375" s="99"/>
    </row>
    <row r="376" spans="1:18" s="37" customFormat="1" ht="22">
      <c r="A376" s="74" t="str" cm="1">
        <f t="array" aca="1" ref="A376" ca="1">_xlfn.LET(
_xlpm.詳細項目数, COUNTA($E$11:E376),
_xlpm.直近で詳細項目が空でないセルの行番号, MAX(INDEX((LEN($E$11:E376)&gt;0)*ROW($E$11:E376),0)),
_xlpm.観点数, COUNTA(INDIRECT("F"&amp;_xlpm.直近で詳細項目が空でないセルの行番号):F376),
_xlpm.直近で観点が空でないセルの行番号, MAX(INDEX((LEN($F$11:F376)&gt;0)*ROW($F$11:F376),0)),
_xlpm.テスト内容数, COUNTA(INDIRECT("J"&amp;_xlpm.直近で観点が空でないセルの行番号):J376),
_xlpm.テスト内容数_空なら1, IF(_xlpm.テスト内容数=0,1,_xlpm.テスト内容数),
_xlpm.詳細項目数&amp;"-"&amp;_xlpm.観点数&amp;"-"&amp;_xlpm.テスト内容数_空なら1
)</f>
        <v>108-1-7</v>
      </c>
      <c r="B376" s="185"/>
      <c r="C376" s="186"/>
      <c r="D376" s="182"/>
      <c r="E376" s="182"/>
      <c r="F376" s="156"/>
      <c r="G376" s="195"/>
      <c r="H376" s="93" t="s">
        <v>690</v>
      </c>
      <c r="I376" s="93" t="s">
        <v>691</v>
      </c>
      <c r="J376" s="99" t="s">
        <v>697</v>
      </c>
      <c r="K376" s="99" t="s">
        <v>697</v>
      </c>
      <c r="L376" s="99" t="s">
        <v>635</v>
      </c>
      <c r="M376" s="95">
        <v>1</v>
      </c>
      <c r="N376" s="95"/>
      <c r="O376" s="95"/>
      <c r="P376" s="2"/>
      <c r="Q376" s="99"/>
      <c r="R376" s="99"/>
    </row>
    <row r="377" spans="1:18" s="37" customFormat="1" ht="22">
      <c r="A377" s="74" t="str" cm="1">
        <f t="array" aca="1" ref="A377" ca="1">_xlfn.LET(
_xlpm.詳細項目数, COUNTA($E$11:E377),
_xlpm.直近で詳細項目が空でないセルの行番号, MAX(INDEX((LEN($E$11:E377)&gt;0)*ROW($E$11:E377),0)),
_xlpm.観点数, COUNTA(INDIRECT("F"&amp;_xlpm.直近で詳細項目が空でないセルの行番号):F377),
_xlpm.直近で観点が空でないセルの行番号, MAX(INDEX((LEN($F$11:F377)&gt;0)*ROW($F$11:F377),0)),
_xlpm.テスト内容数, COUNTA(INDIRECT("J"&amp;_xlpm.直近で観点が空でないセルの行番号):J377),
_xlpm.テスト内容数_空なら1, IF(_xlpm.テスト内容数=0,1,_xlpm.テスト内容数),
_xlpm.詳細項目数&amp;"-"&amp;_xlpm.観点数&amp;"-"&amp;_xlpm.テスト内容数_空なら1
)</f>
        <v>108-1-8</v>
      </c>
      <c r="B377" s="185"/>
      <c r="C377" s="186"/>
      <c r="D377" s="182"/>
      <c r="E377" s="182"/>
      <c r="F377" s="156"/>
      <c r="G377" s="195"/>
      <c r="H377" s="93" t="s">
        <v>690</v>
      </c>
      <c r="I377" s="93" t="s">
        <v>691</v>
      </c>
      <c r="J377" s="99" t="s">
        <v>698</v>
      </c>
      <c r="K377" s="99" t="s">
        <v>698</v>
      </c>
      <c r="L377" s="99" t="s">
        <v>635</v>
      </c>
      <c r="M377" s="95">
        <v>1</v>
      </c>
      <c r="N377" s="95"/>
      <c r="O377" s="95"/>
      <c r="P377" s="2"/>
      <c r="Q377" s="99"/>
      <c r="R377" s="99"/>
    </row>
    <row r="378" spans="1:18" s="37" customFormat="1" ht="22">
      <c r="A378" s="74" t="str" cm="1">
        <f t="array" aca="1" ref="A378" ca="1">_xlfn.LET(
_xlpm.詳細項目数, COUNTA($E$11:E378),
_xlpm.直近で詳細項目が空でないセルの行番号, MAX(INDEX((LEN($E$11:E378)&gt;0)*ROW($E$11:E378),0)),
_xlpm.観点数, COUNTA(INDIRECT("F"&amp;_xlpm.直近で詳細項目が空でないセルの行番号):F378),
_xlpm.直近で観点が空でないセルの行番号, MAX(INDEX((LEN($F$11:F378)&gt;0)*ROW($F$11:F378),0)),
_xlpm.テスト内容数, COUNTA(INDIRECT("J"&amp;_xlpm.直近で観点が空でないセルの行番号):J378),
_xlpm.テスト内容数_空なら1, IF(_xlpm.テスト内容数=0,1,_xlpm.テスト内容数),
_xlpm.詳細項目数&amp;"-"&amp;_xlpm.観点数&amp;"-"&amp;_xlpm.テスト内容数_空なら1
)</f>
        <v>108-1-9</v>
      </c>
      <c r="B378" s="185"/>
      <c r="C378" s="186"/>
      <c r="D378" s="182"/>
      <c r="E378" s="182"/>
      <c r="F378" s="156"/>
      <c r="G378" s="195"/>
      <c r="H378" s="93" t="s">
        <v>690</v>
      </c>
      <c r="I378" s="93" t="s">
        <v>691</v>
      </c>
      <c r="J378" s="99" t="s">
        <v>699</v>
      </c>
      <c r="K378" s="99" t="s">
        <v>699</v>
      </c>
      <c r="L378" s="99" t="s">
        <v>635</v>
      </c>
      <c r="M378" s="95">
        <v>1</v>
      </c>
      <c r="N378" s="95"/>
      <c r="O378" s="95"/>
      <c r="P378" s="2"/>
      <c r="Q378" s="99"/>
      <c r="R378" s="99"/>
    </row>
    <row r="379" spans="1:18" s="37" customFormat="1" ht="22">
      <c r="A379" s="74" t="str" cm="1">
        <f t="array" aca="1" ref="A379" ca="1">_xlfn.LET(
_xlpm.詳細項目数, COUNTA($E$11:E379),
_xlpm.直近で詳細項目が空でないセルの行番号, MAX(INDEX((LEN($E$11:E379)&gt;0)*ROW($E$11:E379),0)),
_xlpm.観点数, COUNTA(INDIRECT("F"&amp;_xlpm.直近で詳細項目が空でないセルの行番号):F379),
_xlpm.直近で観点が空でないセルの行番号, MAX(INDEX((LEN($F$11:F379)&gt;0)*ROW($F$11:F379),0)),
_xlpm.テスト内容数, COUNTA(INDIRECT("J"&amp;_xlpm.直近で観点が空でないセルの行番号):J379),
_xlpm.テスト内容数_空なら1, IF(_xlpm.テスト内容数=0,1,_xlpm.テスト内容数),
_xlpm.詳細項目数&amp;"-"&amp;_xlpm.観点数&amp;"-"&amp;_xlpm.テスト内容数_空なら1
)</f>
        <v>108-1-10</v>
      </c>
      <c r="B379" s="185"/>
      <c r="C379" s="186"/>
      <c r="D379" s="182"/>
      <c r="E379" s="182"/>
      <c r="F379" s="156"/>
      <c r="G379" s="195"/>
      <c r="H379" s="93" t="s">
        <v>690</v>
      </c>
      <c r="I379" s="93" t="s">
        <v>691</v>
      </c>
      <c r="J379" s="99" t="s">
        <v>700</v>
      </c>
      <c r="K379" s="99" t="s">
        <v>700</v>
      </c>
      <c r="L379" s="99" t="s">
        <v>635</v>
      </c>
      <c r="M379" s="95">
        <v>1</v>
      </c>
      <c r="N379" s="95"/>
      <c r="O379" s="95"/>
      <c r="P379" s="2"/>
      <c r="Q379" s="99"/>
      <c r="R379" s="99"/>
    </row>
    <row r="380" spans="1:18" ht="22">
      <c r="A380" s="74" t="str" cm="1">
        <f t="array" aca="1" ref="A380" ca="1">_xlfn.LET(
_xlpm.詳細項目数, COUNTA($E$11:E380),
_xlpm.直近で詳細項目が空でないセルの行番号, MAX(INDEX((LEN($E$11:E380)&gt;0)*ROW($E$11:E380),0)),
_xlpm.観点数, COUNTA(INDIRECT("F"&amp;_xlpm.直近で詳細項目が空でないセルの行番号):F380),
_xlpm.直近で観点が空でないセルの行番号, MAX(INDEX((LEN($F$11:F380)&gt;0)*ROW($F$11:F380),0)),
_xlpm.テスト内容数, COUNTA(INDIRECT("J"&amp;_xlpm.直近で観点が空でないセルの行番号):J380),
_xlpm.テスト内容数_空なら1, IF(_xlpm.テスト内容数=0,1,_xlpm.テスト内容数),
_xlpm.詳細項目数&amp;"-"&amp;_xlpm.観点数&amp;"-"&amp;_xlpm.テスト内容数_空なら1
)</f>
        <v>109-1-1</v>
      </c>
      <c r="B380" s="238"/>
      <c r="C380" s="228"/>
      <c r="D380" s="229"/>
      <c r="E380" s="213" t="s">
        <v>564</v>
      </c>
      <c r="F380" s="124" t="s">
        <v>565</v>
      </c>
      <c r="G380" s="128" t="s">
        <v>502</v>
      </c>
      <c r="H380" s="84"/>
      <c r="I380" s="84"/>
      <c r="J380" s="84"/>
      <c r="K380" s="128"/>
      <c r="L380" s="128"/>
      <c r="M380" s="112"/>
      <c r="N380" s="112"/>
      <c r="O380" s="112"/>
      <c r="P380" s="123"/>
      <c r="Q380" s="125"/>
      <c r="R380" s="125"/>
    </row>
    <row r="381" spans="1:18" ht="33">
      <c r="A381" s="74" t="str" cm="1">
        <f t="array" aca="1" ref="A381" ca="1">_xlfn.LET(
_xlpm.詳細項目数, COUNTA($E$11:E381),
_xlpm.直近で詳細項目が空でないセルの行番号, MAX(INDEX((LEN($E$11:E381)&gt;0)*ROW($E$11:E381),0)),
_xlpm.観点数, COUNTA(INDIRECT("F"&amp;_xlpm.直近で詳細項目が空でないセルの行番号):F381),
_xlpm.直近で観点が空でないセルの行番号, MAX(INDEX((LEN($F$11:F381)&gt;0)*ROW($F$11:F381),0)),
_xlpm.テスト内容数, COUNTA(INDIRECT("J"&amp;_xlpm.直近で観点が空でないセルの行番号):J381),
_xlpm.テスト内容数_空なら1, IF(_xlpm.テスト内容数=0,1,_xlpm.テスト内容数),
_xlpm.詳細項目数&amp;"-"&amp;_xlpm.観点数&amp;"-"&amp;_xlpm.テスト内容数_空なら1
)</f>
        <v>109-2-1</v>
      </c>
      <c r="B381" s="238"/>
      <c r="C381" s="228"/>
      <c r="D381" s="229"/>
      <c r="E381" s="229"/>
      <c r="F381" s="234" t="s">
        <v>566</v>
      </c>
      <c r="G381" s="235"/>
      <c r="H381" s="93" t="s">
        <v>513</v>
      </c>
      <c r="I381" s="93" t="s">
        <v>701</v>
      </c>
      <c r="J381" s="164" t="s">
        <v>702</v>
      </c>
      <c r="K381" s="164" t="s">
        <v>702</v>
      </c>
      <c r="L381" s="99" t="s">
        <v>635</v>
      </c>
      <c r="M381" s="95">
        <v>1</v>
      </c>
      <c r="N381" s="166"/>
      <c r="O381" s="166"/>
      <c r="P381" s="67"/>
      <c r="Q381" s="165"/>
      <c r="R381" s="165"/>
    </row>
    <row r="382" spans="1:18" ht="33">
      <c r="A382" s="74" t="str" cm="1">
        <f t="array" aca="1" ref="A382" ca="1">_xlfn.LET(
_xlpm.詳細項目数, COUNTA($E$11:E382),
_xlpm.直近で詳細項目が空でないセルの行番号, MAX(INDEX((LEN($E$11:E382)&gt;0)*ROW($E$11:E382),0)),
_xlpm.観点数, COUNTA(INDIRECT("F"&amp;_xlpm.直近で詳細項目が空でないセルの行番号):F382),
_xlpm.直近で観点が空でないセルの行番号, MAX(INDEX((LEN($F$11:F382)&gt;0)*ROW($F$11:F382),0)),
_xlpm.テスト内容数, COUNTA(INDIRECT("J"&amp;_xlpm.直近で観点が空でないセルの行番号):J382),
_xlpm.テスト内容数_空なら1, IF(_xlpm.テスト内容数=0,1,_xlpm.テスト内容数),
_xlpm.詳細項目数&amp;"-"&amp;_xlpm.観点数&amp;"-"&amp;_xlpm.テスト内容数_空なら1
)</f>
        <v>109-3-1</v>
      </c>
      <c r="B382" s="238"/>
      <c r="C382" s="228"/>
      <c r="D382" s="229"/>
      <c r="E382" s="229"/>
      <c r="F382" s="230" t="s">
        <v>567</v>
      </c>
      <c r="G382" s="164"/>
      <c r="H382" s="93" t="s">
        <v>513</v>
      </c>
      <c r="I382" s="93" t="s">
        <v>701</v>
      </c>
      <c r="J382" s="164" t="s">
        <v>798</v>
      </c>
      <c r="K382" s="164" t="s">
        <v>798</v>
      </c>
      <c r="L382" s="99" t="s">
        <v>635</v>
      </c>
      <c r="M382" s="95">
        <v>1</v>
      </c>
      <c r="N382" s="166"/>
      <c r="O382" s="166"/>
      <c r="P382" s="67"/>
      <c r="Q382" s="165"/>
      <c r="R382" s="165"/>
    </row>
    <row r="383" spans="1:18" ht="33">
      <c r="A383" s="74" t="str" cm="1">
        <f t="array" aca="1" ref="A383" ca="1">_xlfn.LET(
_xlpm.詳細項目数, COUNTA($E$11:E383),
_xlpm.直近で詳細項目が空でないセルの行番号, MAX(INDEX((LEN($E$11:E383)&gt;0)*ROW($E$11:E383),0)),
_xlpm.観点数, COUNTA(INDIRECT("F"&amp;_xlpm.直近で詳細項目が空でないセルの行番号):F383),
_xlpm.直近で観点が空でないセルの行番号, MAX(INDEX((LEN($F$11:F383)&gt;0)*ROW($F$11:F383),0)),
_xlpm.テスト内容数, COUNTA(INDIRECT("J"&amp;_xlpm.直近で観点が空でないセルの行番号):J383),
_xlpm.テスト内容数_空なら1, IF(_xlpm.テスト内容数=0,1,_xlpm.テスト内容数),
_xlpm.詳細項目数&amp;"-"&amp;_xlpm.観点数&amp;"-"&amp;_xlpm.テスト内容数_空なら1
)</f>
        <v>109-4-1</v>
      </c>
      <c r="B383" s="238"/>
      <c r="C383" s="228"/>
      <c r="D383" s="239"/>
      <c r="E383" s="229"/>
      <c r="F383" s="230" t="s">
        <v>568</v>
      </c>
      <c r="G383" s="164"/>
      <c r="H383" s="93" t="s">
        <v>513</v>
      </c>
      <c r="I383" s="93" t="s">
        <v>701</v>
      </c>
      <c r="J383" s="164" t="s">
        <v>799</v>
      </c>
      <c r="K383" s="164" t="s">
        <v>799</v>
      </c>
      <c r="L383" s="99" t="s">
        <v>635</v>
      </c>
      <c r="M383" s="95">
        <v>1</v>
      </c>
      <c r="N383" s="166"/>
      <c r="O383" s="166"/>
      <c r="P383" s="67"/>
      <c r="Q383" s="165"/>
      <c r="R383" s="165"/>
    </row>
    <row r="384" spans="1:18">
      <c r="A384" s="74" t="str" cm="1">
        <f t="array" aca="1" ref="A384" ca="1">_xlfn.LET(
_xlpm.詳細項目数, COUNTA($E$11:E384),
_xlpm.直近で詳細項目が空でないセルの行番号, MAX(INDEX((LEN($E$11:E384)&gt;0)*ROW($E$11:E384),0)),
_xlpm.観点数, COUNTA(INDIRECT("F"&amp;_xlpm.直近で詳細項目が空でないセルの行番号):F384),
_xlpm.直近で観点が空でないセルの行番号, MAX(INDEX((LEN($F$11:F384)&gt;0)*ROW($F$11:F384),0)),
_xlpm.テスト内容数, COUNTA(INDIRECT("J"&amp;_xlpm.直近で観点が空でないセルの行番号):J384),
_xlpm.テスト内容数_空なら1, IF(_xlpm.テスト内容数=0,1,_xlpm.テスト内容数),
_xlpm.詳細項目数&amp;"-"&amp;_xlpm.観点数&amp;"-"&amp;_xlpm.テスト内容数_空なら1
)</f>
        <v>110-1-1</v>
      </c>
      <c r="B384" s="238"/>
      <c r="C384" s="228"/>
      <c r="D384" s="213" t="s">
        <v>569</v>
      </c>
      <c r="E384" s="215" t="s">
        <v>467</v>
      </c>
      <c r="F384" s="124" t="s">
        <v>570</v>
      </c>
      <c r="G384" s="193" t="s">
        <v>502</v>
      </c>
      <c r="H384" s="112"/>
      <c r="I384" s="112"/>
      <c r="J384" s="125"/>
      <c r="K384" s="125"/>
      <c r="L384" s="125"/>
      <c r="M384" s="112"/>
      <c r="N384" s="112"/>
      <c r="O384" s="112"/>
      <c r="P384" s="123"/>
      <c r="Q384" s="125"/>
      <c r="R384" s="125"/>
    </row>
    <row r="385" spans="1:18" ht="22">
      <c r="A385" s="74" t="str" cm="1">
        <f t="array" aca="1" ref="A385" ca="1">_xlfn.LET(
_xlpm.詳細項目数, COUNTA($E$11:E385),
_xlpm.直近で詳細項目が空でないセルの行番号, MAX(INDEX((LEN($E$11:E385)&gt;0)*ROW($E$11:E385),0)),
_xlpm.観点数, COUNTA(INDIRECT("F"&amp;_xlpm.直近で詳細項目が空でないセルの行番号):F385),
_xlpm.直近で観点が空でないセルの行番号, MAX(INDEX((LEN($F$11:F385)&gt;0)*ROW($F$11:F385),0)),
_xlpm.テスト内容数, COUNTA(INDIRECT("J"&amp;_xlpm.直近で観点が空でないセルの行番号):J385),
_xlpm.テスト内容数_空なら1, IF(_xlpm.テスト内容数=0,1,_xlpm.テスト内容数),
_xlpm.詳細項目数&amp;"-"&amp;_xlpm.観点数&amp;"-"&amp;_xlpm.テスト内容数_空なら1
)</f>
        <v>110-2-1</v>
      </c>
      <c r="B385" s="238"/>
      <c r="C385" s="228"/>
      <c r="D385" s="213"/>
      <c r="E385" s="213"/>
      <c r="F385" s="124" t="s">
        <v>571</v>
      </c>
      <c r="G385" s="193" t="s">
        <v>502</v>
      </c>
      <c r="H385" s="112"/>
      <c r="I385" s="112"/>
      <c r="J385" s="125"/>
      <c r="K385" s="125"/>
      <c r="L385" s="125"/>
      <c r="M385" s="112"/>
      <c r="N385" s="112"/>
      <c r="O385" s="112"/>
      <c r="P385" s="123"/>
      <c r="Q385" s="125"/>
      <c r="R385" s="125"/>
    </row>
    <row r="386" spans="1:18" ht="22">
      <c r="A386" s="74" t="str" cm="1">
        <f t="array" aca="1" ref="A386" ca="1">_xlfn.LET(
_xlpm.詳細項目数, COUNTA($E$11:E386),
_xlpm.直近で詳細項目が空でないセルの行番号, MAX(INDEX((LEN($E$11:E386)&gt;0)*ROW($E$11:E386),0)),
_xlpm.観点数, COUNTA(INDIRECT("F"&amp;_xlpm.直近で詳細項目が空でないセルの行番号):F386),
_xlpm.直近で観点が空でないセルの行番号, MAX(INDEX((LEN($F$11:F386)&gt;0)*ROW($F$11:F386),0)),
_xlpm.テスト内容数, COUNTA(INDIRECT("J"&amp;_xlpm.直近で観点が空でないセルの行番号):J386),
_xlpm.テスト内容数_空なら1, IF(_xlpm.テスト内容数=0,1,_xlpm.テスト内容数),
_xlpm.詳細項目数&amp;"-"&amp;_xlpm.観点数&amp;"-"&amp;_xlpm.テスト内容数_空なら1
)</f>
        <v>110-3-1</v>
      </c>
      <c r="B386" s="229"/>
      <c r="C386" s="229"/>
      <c r="D386" s="216"/>
      <c r="E386" s="216"/>
      <c r="F386" s="124" t="s">
        <v>572</v>
      </c>
      <c r="G386" s="193" t="s">
        <v>502</v>
      </c>
      <c r="H386" s="112"/>
      <c r="I386" s="112"/>
      <c r="J386" s="125"/>
      <c r="K386" s="125"/>
      <c r="L386" s="125"/>
      <c r="M386" s="112"/>
      <c r="N386" s="112"/>
      <c r="O386" s="112"/>
      <c r="P386" s="123"/>
      <c r="Q386" s="125"/>
      <c r="R386" s="125"/>
    </row>
    <row r="387" spans="1:18" ht="28.5" customHeight="1">
      <c r="A387" s="74" t="str" cm="1">
        <f t="array" aca="1" ref="A387" ca="1">_xlfn.LET(
_xlpm.詳細項目数, COUNTA($E$11:E387),
_xlpm.直近で詳細項目が空でないセルの行番号, MAX(INDEX((LEN($E$11:E387)&gt;0)*ROW($E$11:E387),0)),
_xlpm.観点数, COUNTA(INDIRECT("F"&amp;_xlpm.直近で詳細項目が空でないセルの行番号):F387),
_xlpm.直近で観点が空でないセルの行番号, MAX(INDEX((LEN($F$11:F387)&gt;0)*ROW($F$11:F387),0)),
_xlpm.テスト内容数, COUNTA(INDIRECT("J"&amp;_xlpm.直近で観点が空でないセルの行番号):J387),
_xlpm.テスト内容数_空なら1, IF(_xlpm.テスト内容数=0,1,_xlpm.テスト内容数),
_xlpm.詳細項目数&amp;"-"&amp;_xlpm.観点数&amp;"-"&amp;_xlpm.テスト内容数_空なら1
)</f>
        <v>111-1-1</v>
      </c>
      <c r="B387" s="182"/>
      <c r="C387" s="182"/>
      <c r="D387" s="182" t="s">
        <v>573</v>
      </c>
      <c r="E387" s="182" t="s">
        <v>467</v>
      </c>
      <c r="F387" s="127" t="s">
        <v>574</v>
      </c>
      <c r="G387" s="220"/>
      <c r="H387" s="95" t="s">
        <v>25</v>
      </c>
      <c r="I387" s="95" t="s">
        <v>634</v>
      </c>
      <c r="J387" s="99" t="s">
        <v>703</v>
      </c>
      <c r="K387" s="99" t="s">
        <v>703</v>
      </c>
      <c r="L387" s="99" t="s">
        <v>635</v>
      </c>
      <c r="M387" s="95">
        <v>1</v>
      </c>
      <c r="N387" s="95"/>
      <c r="O387" s="95"/>
      <c r="P387" s="2"/>
      <c r="Q387" s="94"/>
      <c r="R387" s="94"/>
    </row>
    <row r="388" spans="1:18" s="37" customFormat="1" ht="22">
      <c r="A388" s="74" t="str" cm="1">
        <f t="array" aca="1" ref="A388" ca="1">_xlfn.LET(
_xlpm.詳細項目数, COUNTA($E$11:E388),
_xlpm.直近で詳細項目が空でないセルの行番号, MAX(INDEX((LEN($E$11:E388)&gt;0)*ROW($E$11:E388),0)),
_xlpm.観点数, COUNTA(INDIRECT("F"&amp;_xlpm.直近で詳細項目が空でないセルの行番号):F388),
_xlpm.直近で観点が空でないセルの行番号, MAX(INDEX((LEN($F$11:F388)&gt;0)*ROW($F$11:F388),0)),
_xlpm.テスト内容数, COUNTA(INDIRECT("J"&amp;_xlpm.直近で観点が空でないセルの行番号):J388),
_xlpm.テスト内容数_空なら1, IF(_xlpm.テスト内容数=0,1,_xlpm.テスト内容数),
_xlpm.詳細項目数&amp;"-"&amp;_xlpm.観点数&amp;"-"&amp;_xlpm.テスト内容数_空なら1
)</f>
        <v>111-1-2</v>
      </c>
      <c r="B388" s="185"/>
      <c r="C388" s="186"/>
      <c r="D388" s="182"/>
      <c r="E388" s="182"/>
      <c r="F388" s="156"/>
      <c r="G388" s="195"/>
      <c r="H388" s="93" t="s">
        <v>513</v>
      </c>
      <c r="I388" s="62" t="s">
        <v>685</v>
      </c>
      <c r="J388" s="99" t="s">
        <v>704</v>
      </c>
      <c r="K388" s="99" t="s">
        <v>704</v>
      </c>
      <c r="L388" s="99" t="s">
        <v>635</v>
      </c>
      <c r="M388" s="95">
        <v>1</v>
      </c>
      <c r="N388" s="95"/>
      <c r="O388" s="95"/>
      <c r="P388" s="2"/>
      <c r="Q388" s="99"/>
      <c r="R388" s="99"/>
    </row>
    <row r="389" spans="1:18" s="37" customFormat="1" ht="22">
      <c r="A389" s="74" t="str" cm="1">
        <f t="array" aca="1" ref="A389" ca="1">_xlfn.LET(
_xlpm.詳細項目数, COUNTA($E$11:E389),
_xlpm.直近で詳細項目が空でないセルの行番号, MAX(INDEX((LEN($E$11:E389)&gt;0)*ROW($E$11:E389),0)),
_xlpm.観点数, COUNTA(INDIRECT("F"&amp;_xlpm.直近で詳細項目が空でないセルの行番号):F389),
_xlpm.直近で観点が空でないセルの行番号, MAX(INDEX((LEN($F$11:F389)&gt;0)*ROW($F$11:F389),0)),
_xlpm.テスト内容数, COUNTA(INDIRECT("J"&amp;_xlpm.直近で観点が空でないセルの行番号):J389),
_xlpm.テスト内容数_空なら1, IF(_xlpm.テスト内容数=0,1,_xlpm.テスト内容数),
_xlpm.詳細項目数&amp;"-"&amp;_xlpm.観点数&amp;"-"&amp;_xlpm.テスト内容数_空なら1
)</f>
        <v>111-1-3</v>
      </c>
      <c r="B389" s="185"/>
      <c r="C389" s="186"/>
      <c r="D389" s="182"/>
      <c r="E389" s="182"/>
      <c r="F389" s="156"/>
      <c r="G389" s="195"/>
      <c r="H389" s="93" t="s">
        <v>513</v>
      </c>
      <c r="I389" s="62" t="s">
        <v>685</v>
      </c>
      <c r="J389" s="99" t="s">
        <v>705</v>
      </c>
      <c r="K389" s="99" t="s">
        <v>705</v>
      </c>
      <c r="L389" s="99" t="s">
        <v>635</v>
      </c>
      <c r="M389" s="95">
        <v>1</v>
      </c>
      <c r="N389" s="95"/>
      <c r="O389" s="95"/>
      <c r="P389" s="2"/>
      <c r="Q389" s="99"/>
      <c r="R389" s="99"/>
    </row>
    <row r="390" spans="1:18" s="37" customFormat="1" ht="22">
      <c r="A390" s="74" t="str" cm="1">
        <f t="array" aca="1" ref="A390" ca="1">_xlfn.LET(
_xlpm.詳細項目数, COUNTA($E$11:E390),
_xlpm.直近で詳細項目が空でないセルの行番号, MAX(INDEX((LEN($E$11:E390)&gt;0)*ROW($E$11:E390),0)),
_xlpm.観点数, COUNTA(INDIRECT("F"&amp;_xlpm.直近で詳細項目が空でないセルの行番号):F390),
_xlpm.直近で観点が空でないセルの行番号, MAX(INDEX((LEN($F$11:F390)&gt;0)*ROW($F$11:F390),0)),
_xlpm.テスト内容数, COUNTA(INDIRECT("J"&amp;_xlpm.直近で観点が空でないセルの行番号):J390),
_xlpm.テスト内容数_空なら1, IF(_xlpm.テスト内容数=0,1,_xlpm.テスト内容数),
_xlpm.詳細項目数&amp;"-"&amp;_xlpm.観点数&amp;"-"&amp;_xlpm.テスト内容数_空なら1
)</f>
        <v>111-1-4</v>
      </c>
      <c r="B390" s="185"/>
      <c r="C390" s="186"/>
      <c r="D390" s="182"/>
      <c r="E390" s="182"/>
      <c r="F390" s="156"/>
      <c r="G390" s="195"/>
      <c r="H390" s="93" t="s">
        <v>513</v>
      </c>
      <c r="I390" s="62" t="s">
        <v>685</v>
      </c>
      <c r="J390" s="99" t="s">
        <v>706</v>
      </c>
      <c r="K390" s="99" t="s">
        <v>706</v>
      </c>
      <c r="L390" s="99" t="s">
        <v>635</v>
      </c>
      <c r="M390" s="95">
        <v>1</v>
      </c>
      <c r="N390" s="95"/>
      <c r="O390" s="95"/>
      <c r="P390" s="2"/>
      <c r="Q390" s="99"/>
      <c r="R390" s="99"/>
    </row>
    <row r="391" spans="1:18" s="37" customFormat="1" ht="22">
      <c r="A391" s="74" t="str" cm="1">
        <f t="array" aca="1" ref="A391" ca="1">_xlfn.LET(
_xlpm.詳細項目数, COUNTA($E$11:E391),
_xlpm.直近で詳細項目が空でないセルの行番号, MAX(INDEX((LEN($E$11:E391)&gt;0)*ROW($E$11:E391),0)),
_xlpm.観点数, COUNTA(INDIRECT("F"&amp;_xlpm.直近で詳細項目が空でないセルの行番号):F391),
_xlpm.直近で観点が空でないセルの行番号, MAX(INDEX((LEN($F$11:F391)&gt;0)*ROW($F$11:F391),0)),
_xlpm.テスト内容数, COUNTA(INDIRECT("J"&amp;_xlpm.直近で観点が空でないセルの行番号):J391),
_xlpm.テスト内容数_空なら1, IF(_xlpm.テスト内容数=0,1,_xlpm.テスト内容数),
_xlpm.詳細項目数&amp;"-"&amp;_xlpm.観点数&amp;"-"&amp;_xlpm.テスト内容数_空なら1
)</f>
        <v>111-1-5</v>
      </c>
      <c r="B391" s="185"/>
      <c r="C391" s="186"/>
      <c r="D391" s="182"/>
      <c r="E391" s="182"/>
      <c r="F391" s="156"/>
      <c r="G391" s="195"/>
      <c r="H391" s="93" t="s">
        <v>513</v>
      </c>
      <c r="I391" s="62" t="s">
        <v>685</v>
      </c>
      <c r="J391" s="99" t="s">
        <v>707</v>
      </c>
      <c r="K391" s="99" t="s">
        <v>707</v>
      </c>
      <c r="L391" s="99" t="s">
        <v>635</v>
      </c>
      <c r="M391" s="95">
        <v>1</v>
      </c>
      <c r="N391" s="95"/>
      <c r="O391" s="95"/>
      <c r="P391" s="2"/>
      <c r="Q391" s="99"/>
      <c r="R391" s="99"/>
    </row>
    <row r="392" spans="1:18" s="37" customFormat="1" ht="22">
      <c r="A392" s="74" t="str" cm="1">
        <f t="array" aca="1" ref="A392" ca="1">_xlfn.LET(
_xlpm.詳細項目数, COUNTA($E$11:E392),
_xlpm.直近で詳細項目が空でないセルの行番号, MAX(INDEX((LEN($E$11:E392)&gt;0)*ROW($E$11:E392),0)),
_xlpm.観点数, COUNTA(INDIRECT("F"&amp;_xlpm.直近で詳細項目が空でないセルの行番号):F392),
_xlpm.直近で観点が空でないセルの行番号, MAX(INDEX((LEN($F$11:F392)&gt;0)*ROW($F$11:F392),0)),
_xlpm.テスト内容数, COUNTA(INDIRECT("J"&amp;_xlpm.直近で観点が空でないセルの行番号):J392),
_xlpm.テスト内容数_空なら1, IF(_xlpm.テスト内容数=0,1,_xlpm.テスト内容数),
_xlpm.詳細項目数&amp;"-"&amp;_xlpm.観点数&amp;"-"&amp;_xlpm.テスト内容数_空なら1
)</f>
        <v>111-1-6</v>
      </c>
      <c r="B392" s="185"/>
      <c r="C392" s="186"/>
      <c r="D392" s="182"/>
      <c r="E392" s="182"/>
      <c r="F392" s="156"/>
      <c r="G392" s="195"/>
      <c r="H392" s="93" t="s">
        <v>513</v>
      </c>
      <c r="I392" s="62" t="s">
        <v>685</v>
      </c>
      <c r="J392" s="99" t="s">
        <v>708</v>
      </c>
      <c r="K392" s="99" t="s">
        <v>708</v>
      </c>
      <c r="L392" s="99" t="s">
        <v>635</v>
      </c>
      <c r="M392" s="95">
        <v>1</v>
      </c>
      <c r="N392" s="95"/>
      <c r="O392" s="95"/>
      <c r="P392" s="2"/>
      <c r="Q392" s="99"/>
      <c r="R392" s="99"/>
    </row>
    <row r="393" spans="1:18" s="37" customFormat="1" ht="22">
      <c r="A393" s="74" t="str" cm="1">
        <f t="array" aca="1" ref="A393" ca="1">_xlfn.LET(
_xlpm.詳細項目数, COUNTA($E$11:E393),
_xlpm.直近で詳細項目が空でないセルの行番号, MAX(INDEX((LEN($E$11:E393)&gt;0)*ROW($E$11:E393),0)),
_xlpm.観点数, COUNTA(INDIRECT("F"&amp;_xlpm.直近で詳細項目が空でないセルの行番号):F393),
_xlpm.直近で観点が空でないセルの行番号, MAX(INDEX((LEN($F$11:F393)&gt;0)*ROW($F$11:F393),0)),
_xlpm.テスト内容数, COUNTA(INDIRECT("J"&amp;_xlpm.直近で観点が空でないセルの行番号):J393),
_xlpm.テスト内容数_空なら1, IF(_xlpm.テスト内容数=0,1,_xlpm.テスト内容数),
_xlpm.詳細項目数&amp;"-"&amp;_xlpm.観点数&amp;"-"&amp;_xlpm.テスト内容数_空なら1
)</f>
        <v>111-1-7</v>
      </c>
      <c r="B393" s="185"/>
      <c r="C393" s="186"/>
      <c r="D393" s="182"/>
      <c r="E393" s="182"/>
      <c r="F393" s="156"/>
      <c r="G393" s="195"/>
      <c r="H393" s="93" t="s">
        <v>513</v>
      </c>
      <c r="I393" s="62" t="s">
        <v>685</v>
      </c>
      <c r="J393" s="99" t="s">
        <v>709</v>
      </c>
      <c r="K393" s="99" t="s">
        <v>709</v>
      </c>
      <c r="L393" s="99" t="s">
        <v>635</v>
      </c>
      <c r="M393" s="95">
        <v>1</v>
      </c>
      <c r="N393" s="95"/>
      <c r="O393" s="95"/>
      <c r="P393" s="2"/>
      <c r="Q393" s="99"/>
      <c r="R393" s="99"/>
    </row>
    <row r="394" spans="1:18" s="37" customFormat="1" ht="22">
      <c r="A394" s="74" t="str" cm="1">
        <f t="array" aca="1" ref="A394" ca="1">_xlfn.LET(
_xlpm.詳細項目数, COUNTA($E$11:E394),
_xlpm.直近で詳細項目が空でないセルの行番号, MAX(INDEX((LEN($E$11:E394)&gt;0)*ROW($E$11:E394),0)),
_xlpm.観点数, COUNTA(INDIRECT("F"&amp;_xlpm.直近で詳細項目が空でないセルの行番号):F394),
_xlpm.直近で観点が空でないセルの行番号, MAX(INDEX((LEN($F$11:F394)&gt;0)*ROW($F$11:F394),0)),
_xlpm.テスト内容数, COUNTA(INDIRECT("J"&amp;_xlpm.直近で観点が空でないセルの行番号):J394),
_xlpm.テスト内容数_空なら1, IF(_xlpm.テスト内容数=0,1,_xlpm.テスト内容数),
_xlpm.詳細項目数&amp;"-"&amp;_xlpm.観点数&amp;"-"&amp;_xlpm.テスト内容数_空なら1
)</f>
        <v>111-1-8</v>
      </c>
      <c r="B394" s="185"/>
      <c r="C394" s="186"/>
      <c r="D394" s="182"/>
      <c r="E394" s="182"/>
      <c r="F394" s="156"/>
      <c r="G394" s="195"/>
      <c r="H394" s="93" t="s">
        <v>513</v>
      </c>
      <c r="I394" s="62" t="s">
        <v>685</v>
      </c>
      <c r="J394" s="99" t="s">
        <v>710</v>
      </c>
      <c r="K394" s="99" t="s">
        <v>710</v>
      </c>
      <c r="L394" s="99" t="s">
        <v>635</v>
      </c>
      <c r="M394" s="95">
        <v>1</v>
      </c>
      <c r="N394" s="95"/>
      <c r="O394" s="95"/>
      <c r="P394" s="2"/>
      <c r="Q394" s="99"/>
      <c r="R394" s="99"/>
    </row>
    <row r="395" spans="1:18" s="37" customFormat="1" ht="22">
      <c r="A395" s="74" t="str" cm="1">
        <f t="array" aca="1" ref="A395" ca="1">_xlfn.LET(
_xlpm.詳細項目数, COUNTA($E$11:E395),
_xlpm.直近で詳細項目が空でないセルの行番号, MAX(INDEX((LEN($E$11:E395)&gt;0)*ROW($E$11:E395),0)),
_xlpm.観点数, COUNTA(INDIRECT("F"&amp;_xlpm.直近で詳細項目が空でないセルの行番号):F395),
_xlpm.直近で観点が空でないセルの行番号, MAX(INDEX((LEN($F$11:F395)&gt;0)*ROW($F$11:F395),0)),
_xlpm.テスト内容数, COUNTA(INDIRECT("J"&amp;_xlpm.直近で観点が空でないセルの行番号):J395),
_xlpm.テスト内容数_空なら1, IF(_xlpm.テスト内容数=0,1,_xlpm.テスト内容数),
_xlpm.詳細項目数&amp;"-"&amp;_xlpm.観点数&amp;"-"&amp;_xlpm.テスト内容数_空なら1
)</f>
        <v>111-1-9</v>
      </c>
      <c r="B395" s="185"/>
      <c r="C395" s="186"/>
      <c r="D395" s="182"/>
      <c r="E395" s="182"/>
      <c r="F395" s="156"/>
      <c r="G395" s="195"/>
      <c r="H395" s="93" t="s">
        <v>513</v>
      </c>
      <c r="I395" s="62" t="s">
        <v>685</v>
      </c>
      <c r="J395" s="99" t="s">
        <v>711</v>
      </c>
      <c r="K395" s="99" t="s">
        <v>711</v>
      </c>
      <c r="L395" s="99" t="s">
        <v>635</v>
      </c>
      <c r="M395" s="95">
        <v>1</v>
      </c>
      <c r="N395" s="95"/>
      <c r="O395" s="95"/>
      <c r="P395" s="2"/>
      <c r="Q395" s="99"/>
      <c r="R395" s="99"/>
    </row>
    <row r="396" spans="1:18" s="37" customFormat="1" ht="22">
      <c r="A396" s="74" t="str" cm="1">
        <f t="array" aca="1" ref="A396" ca="1">_xlfn.LET(
_xlpm.詳細項目数, COUNTA($E$11:E396),
_xlpm.直近で詳細項目が空でないセルの行番号, MAX(INDEX((LEN($E$11:E396)&gt;0)*ROW($E$11:E396),0)),
_xlpm.観点数, COUNTA(INDIRECT("F"&amp;_xlpm.直近で詳細項目が空でないセルの行番号):F396),
_xlpm.直近で観点が空でないセルの行番号, MAX(INDEX((LEN($F$11:F396)&gt;0)*ROW($F$11:F396),0)),
_xlpm.テスト内容数, COUNTA(INDIRECT("J"&amp;_xlpm.直近で観点が空でないセルの行番号):J396),
_xlpm.テスト内容数_空なら1, IF(_xlpm.テスト内容数=0,1,_xlpm.テスト内容数),
_xlpm.詳細項目数&amp;"-"&amp;_xlpm.観点数&amp;"-"&amp;_xlpm.テスト内容数_空なら1
)</f>
        <v>111-1-10</v>
      </c>
      <c r="B396" s="185"/>
      <c r="C396" s="186"/>
      <c r="D396" s="182"/>
      <c r="E396" s="182"/>
      <c r="F396" s="156"/>
      <c r="G396" s="195"/>
      <c r="H396" s="93" t="s">
        <v>513</v>
      </c>
      <c r="I396" s="62" t="s">
        <v>685</v>
      </c>
      <c r="J396" s="99" t="s">
        <v>712</v>
      </c>
      <c r="K396" s="99" t="s">
        <v>712</v>
      </c>
      <c r="L396" s="99" t="s">
        <v>635</v>
      </c>
      <c r="M396" s="95">
        <v>1</v>
      </c>
      <c r="N396" s="95"/>
      <c r="O396" s="95"/>
      <c r="P396" s="2"/>
      <c r="Q396" s="99"/>
      <c r="R396" s="99"/>
    </row>
    <row r="397" spans="1:18" ht="22">
      <c r="A397" s="74" t="str" cm="1">
        <f t="array" aca="1" ref="A397" ca="1">_xlfn.LET(
_xlpm.詳細項目数, COUNTA($E$11:E397),
_xlpm.直近で詳細項目が空でないセルの行番号, MAX(INDEX((LEN($E$11:E397)&gt;0)*ROW($E$11:E397),0)),
_xlpm.観点数, COUNTA(INDIRECT("F"&amp;_xlpm.直近で詳細項目が空でないセルの行番号):F397),
_xlpm.直近で観点が空でないセルの行番号, MAX(INDEX((LEN($F$11:F397)&gt;0)*ROW($F$11:F397),0)),
_xlpm.テスト内容数, COUNTA(INDIRECT("J"&amp;_xlpm.直近で観点が空でないセルの行番号):J397),
_xlpm.テスト内容数_空なら1, IF(_xlpm.テスト内容数=0,1,_xlpm.テスト内容数),
_xlpm.詳細項目数&amp;"-"&amp;_xlpm.観点数&amp;"-"&amp;_xlpm.テスト内容数_空なら1
)</f>
        <v>111-2-1</v>
      </c>
      <c r="B397" s="192"/>
      <c r="C397" s="186"/>
      <c r="D397" s="182"/>
      <c r="E397" s="182"/>
      <c r="F397" s="127" t="s">
        <v>575</v>
      </c>
      <c r="G397" s="220"/>
      <c r="H397" s="95" t="s">
        <v>725</v>
      </c>
      <c r="I397" s="95" t="s">
        <v>726</v>
      </c>
      <c r="J397" s="93" t="s">
        <v>800</v>
      </c>
      <c r="K397" s="94" t="s">
        <v>631</v>
      </c>
      <c r="L397" s="99" t="s">
        <v>635</v>
      </c>
      <c r="M397" s="95">
        <v>2</v>
      </c>
      <c r="N397" s="95"/>
      <c r="O397" s="95"/>
      <c r="P397" s="2"/>
      <c r="Q397" s="94"/>
      <c r="R397" s="94"/>
    </row>
    <row r="398" spans="1:18" s="37" customFormat="1" ht="22">
      <c r="A398" s="74" t="str" cm="1">
        <f t="array" aca="1" ref="A398" ca="1">_xlfn.LET(
_xlpm.詳細項目数, COUNTA($E$11:E398),
_xlpm.直近で詳細項目が空でないセルの行番号, MAX(INDEX((LEN($E$11:E398)&gt;0)*ROW($E$11:E398),0)),
_xlpm.観点数, COUNTA(INDIRECT("F"&amp;_xlpm.直近で詳細項目が空でないセルの行番号):F398),
_xlpm.直近で観点が空でないセルの行番号, MAX(INDEX((LEN($F$11:F398)&gt;0)*ROW($F$11:F398),0)),
_xlpm.テスト内容数, COUNTA(INDIRECT("J"&amp;_xlpm.直近で観点が空でないセルの行番号):J398),
_xlpm.テスト内容数_空なら1, IF(_xlpm.テスト内容数=0,1,_xlpm.テスト内容数),
_xlpm.詳細項目数&amp;"-"&amp;_xlpm.観点数&amp;"-"&amp;_xlpm.テスト内容数_空なら1
)</f>
        <v>111-2-2</v>
      </c>
      <c r="B398" s="185"/>
      <c r="C398" s="186"/>
      <c r="D398" s="182"/>
      <c r="E398" s="182"/>
      <c r="F398" s="156"/>
      <c r="G398" s="195"/>
      <c r="H398" s="95" t="s">
        <v>725</v>
      </c>
      <c r="I398" s="95" t="s">
        <v>726</v>
      </c>
      <c r="J398" s="93" t="s">
        <v>801</v>
      </c>
      <c r="K398" s="94" t="s">
        <v>631</v>
      </c>
      <c r="L398" s="99" t="s">
        <v>635</v>
      </c>
      <c r="M398" s="95">
        <v>2</v>
      </c>
      <c r="N398" s="95"/>
      <c r="O398" s="95"/>
      <c r="P398" s="2"/>
      <c r="Q398" s="99"/>
      <c r="R398" s="99"/>
    </row>
    <row r="399" spans="1:18" s="37" customFormat="1" ht="22">
      <c r="A399" s="74" t="str" cm="1">
        <f t="array" aca="1" ref="A399" ca="1">_xlfn.LET(
_xlpm.詳細項目数, COUNTA($E$11:E399),
_xlpm.直近で詳細項目が空でないセルの行番号, MAX(INDEX((LEN($E$11:E399)&gt;0)*ROW($E$11:E399),0)),
_xlpm.観点数, COUNTA(INDIRECT("F"&amp;_xlpm.直近で詳細項目が空でないセルの行番号):F399),
_xlpm.直近で観点が空でないセルの行番号, MAX(INDEX((LEN($F$11:F399)&gt;0)*ROW($F$11:F399),0)),
_xlpm.テスト内容数, COUNTA(INDIRECT("J"&amp;_xlpm.直近で観点が空でないセルの行番号):J399),
_xlpm.テスト内容数_空なら1, IF(_xlpm.テスト内容数=0,1,_xlpm.テスト内容数),
_xlpm.詳細項目数&amp;"-"&amp;_xlpm.観点数&amp;"-"&amp;_xlpm.テスト内容数_空なら1
)</f>
        <v>111-2-3</v>
      </c>
      <c r="B399" s="185"/>
      <c r="C399" s="186"/>
      <c r="D399" s="182"/>
      <c r="E399" s="182"/>
      <c r="F399" s="156"/>
      <c r="G399" s="195"/>
      <c r="H399" s="95" t="s">
        <v>725</v>
      </c>
      <c r="I399" s="95" t="s">
        <v>726</v>
      </c>
      <c r="J399" s="93" t="s">
        <v>802</v>
      </c>
      <c r="K399" s="94" t="s">
        <v>631</v>
      </c>
      <c r="L399" s="99" t="s">
        <v>635</v>
      </c>
      <c r="M399" s="95">
        <v>2</v>
      </c>
      <c r="N399" s="95"/>
      <c r="O399" s="95"/>
      <c r="P399" s="2"/>
      <c r="Q399" s="99"/>
      <c r="R399" s="99"/>
    </row>
    <row r="400" spans="1:18" s="37" customFormat="1" ht="22">
      <c r="A400" s="74" t="str" cm="1">
        <f t="array" aca="1" ref="A400" ca="1">_xlfn.LET(
_xlpm.詳細項目数, COUNTA($E$11:E400),
_xlpm.直近で詳細項目が空でないセルの行番号, MAX(INDEX((LEN($E$11:E400)&gt;0)*ROW($E$11:E400),0)),
_xlpm.観点数, COUNTA(INDIRECT("F"&amp;_xlpm.直近で詳細項目が空でないセルの行番号):F400),
_xlpm.直近で観点が空でないセルの行番号, MAX(INDEX((LEN($F$11:F400)&gt;0)*ROW($F$11:F400),0)),
_xlpm.テスト内容数, COUNTA(INDIRECT("J"&amp;_xlpm.直近で観点が空でないセルの行番号):J400),
_xlpm.テスト内容数_空なら1, IF(_xlpm.テスト内容数=0,1,_xlpm.テスト内容数),
_xlpm.詳細項目数&amp;"-"&amp;_xlpm.観点数&amp;"-"&amp;_xlpm.テスト内容数_空なら1
)</f>
        <v>111-2-4</v>
      </c>
      <c r="B400" s="185"/>
      <c r="C400" s="186"/>
      <c r="D400" s="182"/>
      <c r="E400" s="182"/>
      <c r="F400" s="156"/>
      <c r="G400" s="195"/>
      <c r="H400" s="95" t="s">
        <v>725</v>
      </c>
      <c r="I400" s="95" t="s">
        <v>726</v>
      </c>
      <c r="J400" s="93" t="s">
        <v>803</v>
      </c>
      <c r="K400" s="94" t="s">
        <v>631</v>
      </c>
      <c r="L400" s="99" t="s">
        <v>635</v>
      </c>
      <c r="M400" s="95">
        <v>2</v>
      </c>
      <c r="N400" s="95"/>
      <c r="O400" s="95"/>
      <c r="P400" s="2"/>
      <c r="Q400" s="99"/>
      <c r="R400" s="99"/>
    </row>
    <row r="401" spans="1:18" s="37" customFormat="1" ht="22">
      <c r="A401" s="74" t="str" cm="1">
        <f t="array" aca="1" ref="A401" ca="1">_xlfn.LET(
_xlpm.詳細項目数, COUNTA($E$11:E401),
_xlpm.直近で詳細項目が空でないセルの行番号, MAX(INDEX((LEN($E$11:E401)&gt;0)*ROW($E$11:E401),0)),
_xlpm.観点数, COUNTA(INDIRECT("F"&amp;_xlpm.直近で詳細項目が空でないセルの行番号):F401),
_xlpm.直近で観点が空でないセルの行番号, MAX(INDEX((LEN($F$11:F401)&gt;0)*ROW($F$11:F401),0)),
_xlpm.テスト内容数, COUNTA(INDIRECT("J"&amp;_xlpm.直近で観点が空でないセルの行番号):J401),
_xlpm.テスト内容数_空なら1, IF(_xlpm.テスト内容数=0,1,_xlpm.テスト内容数),
_xlpm.詳細項目数&amp;"-"&amp;_xlpm.観点数&amp;"-"&amp;_xlpm.テスト内容数_空なら1
)</f>
        <v>111-2-5</v>
      </c>
      <c r="B401" s="185"/>
      <c r="C401" s="186"/>
      <c r="D401" s="182"/>
      <c r="E401" s="182"/>
      <c r="F401" s="156"/>
      <c r="G401" s="195"/>
      <c r="H401" s="95" t="s">
        <v>725</v>
      </c>
      <c r="I401" s="95" t="s">
        <v>726</v>
      </c>
      <c r="J401" s="93" t="s">
        <v>804</v>
      </c>
      <c r="K401" s="94" t="s">
        <v>631</v>
      </c>
      <c r="L401" s="99" t="s">
        <v>635</v>
      </c>
      <c r="M401" s="95">
        <v>2</v>
      </c>
      <c r="N401" s="95"/>
      <c r="O401" s="95"/>
      <c r="P401" s="2"/>
      <c r="Q401" s="99"/>
      <c r="R401" s="99"/>
    </row>
    <row r="402" spans="1:18" s="37" customFormat="1" ht="22">
      <c r="A402" s="74" t="str" cm="1">
        <f t="array" aca="1" ref="A402" ca="1">_xlfn.LET(
_xlpm.詳細項目数, COUNTA($E$11:E402),
_xlpm.直近で詳細項目が空でないセルの行番号, MAX(INDEX((LEN($E$11:E402)&gt;0)*ROW($E$11:E402),0)),
_xlpm.観点数, COUNTA(INDIRECT("F"&amp;_xlpm.直近で詳細項目が空でないセルの行番号):F402),
_xlpm.直近で観点が空でないセルの行番号, MAX(INDEX((LEN($F$11:F402)&gt;0)*ROW($F$11:F402),0)),
_xlpm.テスト内容数, COUNTA(INDIRECT("J"&amp;_xlpm.直近で観点が空でないセルの行番号):J402),
_xlpm.テスト内容数_空なら1, IF(_xlpm.テスト内容数=0,1,_xlpm.テスト内容数),
_xlpm.詳細項目数&amp;"-"&amp;_xlpm.観点数&amp;"-"&amp;_xlpm.テスト内容数_空なら1
)</f>
        <v>111-2-6</v>
      </c>
      <c r="B402" s="185"/>
      <c r="C402" s="186"/>
      <c r="D402" s="182"/>
      <c r="E402" s="182"/>
      <c r="F402" s="156"/>
      <c r="G402" s="195"/>
      <c r="H402" s="95" t="s">
        <v>725</v>
      </c>
      <c r="I402" s="95" t="s">
        <v>726</v>
      </c>
      <c r="J402" s="93" t="s">
        <v>805</v>
      </c>
      <c r="K402" s="94" t="s">
        <v>631</v>
      </c>
      <c r="L402" s="99" t="s">
        <v>635</v>
      </c>
      <c r="M402" s="95">
        <v>2</v>
      </c>
      <c r="N402" s="95"/>
      <c r="O402" s="95"/>
      <c r="P402" s="2"/>
      <c r="Q402" s="99"/>
      <c r="R402" s="99"/>
    </row>
    <row r="403" spans="1:18" s="37" customFormat="1" ht="22">
      <c r="A403" s="74" t="str" cm="1">
        <f t="array" aca="1" ref="A403" ca="1">_xlfn.LET(
_xlpm.詳細項目数, COUNTA($E$11:E403),
_xlpm.直近で詳細項目が空でないセルの行番号, MAX(INDEX((LEN($E$11:E403)&gt;0)*ROW($E$11:E403),0)),
_xlpm.観点数, COUNTA(INDIRECT("F"&amp;_xlpm.直近で詳細項目が空でないセルの行番号):F403),
_xlpm.直近で観点が空でないセルの行番号, MAX(INDEX((LEN($F$11:F403)&gt;0)*ROW($F$11:F403),0)),
_xlpm.テスト内容数, COUNTA(INDIRECT("J"&amp;_xlpm.直近で観点が空でないセルの行番号):J403),
_xlpm.テスト内容数_空なら1, IF(_xlpm.テスト内容数=0,1,_xlpm.テスト内容数),
_xlpm.詳細項目数&amp;"-"&amp;_xlpm.観点数&amp;"-"&amp;_xlpm.テスト内容数_空なら1
)</f>
        <v>111-2-7</v>
      </c>
      <c r="B403" s="185"/>
      <c r="C403" s="186"/>
      <c r="D403" s="182"/>
      <c r="E403" s="182"/>
      <c r="F403" s="156"/>
      <c r="G403" s="195"/>
      <c r="H403" s="95" t="s">
        <v>725</v>
      </c>
      <c r="I403" s="95" t="s">
        <v>726</v>
      </c>
      <c r="J403" s="93" t="s">
        <v>806</v>
      </c>
      <c r="K403" s="94" t="s">
        <v>631</v>
      </c>
      <c r="L403" s="99" t="s">
        <v>635</v>
      </c>
      <c r="M403" s="95">
        <v>2</v>
      </c>
      <c r="N403" s="95"/>
      <c r="O403" s="95"/>
      <c r="P403" s="2"/>
      <c r="Q403" s="99"/>
      <c r="R403" s="99"/>
    </row>
    <row r="404" spans="1:18" ht="33">
      <c r="A404" s="74" t="str" cm="1">
        <f t="array" aca="1" ref="A404" ca="1">_xlfn.LET(
_xlpm.詳細項目数, COUNTA($E$11:E404),
_xlpm.直近で詳細項目が空でないセルの行番号, MAX(INDEX((LEN($E$11:E404)&gt;0)*ROW($E$11:E404),0)),
_xlpm.観点数, COUNTA(INDIRECT("F"&amp;_xlpm.直近で詳細項目が空でないセルの行番号):F404),
_xlpm.直近で観点が空でないセルの行番号, MAX(INDEX((LEN($F$11:F404)&gt;0)*ROW($F$11:F404),0)),
_xlpm.テスト内容数, COUNTA(INDIRECT("J"&amp;_xlpm.直近で観点が空でないセルの行番号):J404),
_xlpm.テスト内容数_空なら1, IF(_xlpm.テスト内容数=0,1,_xlpm.テスト内容数),
_xlpm.詳細項目数&amp;"-"&amp;_xlpm.観点数&amp;"-"&amp;_xlpm.テスト内容数_空なら1
)</f>
        <v>111-3-1</v>
      </c>
      <c r="B404" s="192"/>
      <c r="C404" s="186"/>
      <c r="D404" s="182"/>
      <c r="E404" s="182"/>
      <c r="F404" s="127" t="s">
        <v>576</v>
      </c>
      <c r="G404" s="220"/>
      <c r="H404" s="95" t="s">
        <v>725</v>
      </c>
      <c r="I404" s="95" t="s">
        <v>726</v>
      </c>
      <c r="J404" s="93" t="s">
        <v>807</v>
      </c>
      <c r="K404" s="54" t="s">
        <v>632</v>
      </c>
      <c r="L404" s="99" t="s">
        <v>635</v>
      </c>
      <c r="M404" s="95">
        <v>2</v>
      </c>
      <c r="N404" s="95"/>
      <c r="O404" s="95"/>
      <c r="P404" s="2"/>
      <c r="Q404" s="94"/>
      <c r="R404" s="94"/>
    </row>
    <row r="405" spans="1:18" s="37" customFormat="1" ht="33">
      <c r="A405" s="74" t="str" cm="1">
        <f t="array" aca="1" ref="A405" ca="1">_xlfn.LET(
_xlpm.詳細項目数, COUNTA($E$11:E405),
_xlpm.直近で詳細項目が空でないセルの行番号, MAX(INDEX((LEN($E$11:E405)&gt;0)*ROW($E$11:E405),0)),
_xlpm.観点数, COUNTA(INDIRECT("F"&amp;_xlpm.直近で詳細項目が空でないセルの行番号):F405),
_xlpm.直近で観点が空でないセルの行番号, MAX(INDEX((LEN($F$11:F405)&gt;0)*ROW($F$11:F405),0)),
_xlpm.テスト内容数, COUNTA(INDIRECT("J"&amp;_xlpm.直近で観点が空でないセルの行番号):J405),
_xlpm.テスト内容数_空なら1, IF(_xlpm.テスト内容数=0,1,_xlpm.テスト内容数),
_xlpm.詳細項目数&amp;"-"&amp;_xlpm.観点数&amp;"-"&amp;_xlpm.テスト内容数_空なら1
)</f>
        <v>111-3-2</v>
      </c>
      <c r="B405" s="185"/>
      <c r="C405" s="186"/>
      <c r="D405" s="182"/>
      <c r="E405" s="182"/>
      <c r="F405" s="156"/>
      <c r="G405" s="195"/>
      <c r="H405" s="95" t="s">
        <v>725</v>
      </c>
      <c r="I405" s="95" t="s">
        <v>726</v>
      </c>
      <c r="J405" s="93" t="s">
        <v>808</v>
      </c>
      <c r="K405" s="54" t="s">
        <v>632</v>
      </c>
      <c r="L405" s="99" t="s">
        <v>635</v>
      </c>
      <c r="M405" s="95">
        <v>2</v>
      </c>
      <c r="N405" s="95"/>
      <c r="O405" s="95"/>
      <c r="P405" s="2"/>
      <c r="Q405" s="99"/>
      <c r="R405" s="99"/>
    </row>
    <row r="406" spans="1:18" s="37" customFormat="1" ht="33">
      <c r="A406" s="74" t="str" cm="1">
        <f t="array" aca="1" ref="A406" ca="1">_xlfn.LET(
_xlpm.詳細項目数, COUNTA($E$11:E406),
_xlpm.直近で詳細項目が空でないセルの行番号, MAX(INDEX((LEN($E$11:E406)&gt;0)*ROW($E$11:E406),0)),
_xlpm.観点数, COUNTA(INDIRECT("F"&amp;_xlpm.直近で詳細項目が空でないセルの行番号):F406),
_xlpm.直近で観点が空でないセルの行番号, MAX(INDEX((LEN($F$11:F406)&gt;0)*ROW($F$11:F406),0)),
_xlpm.テスト内容数, COUNTA(INDIRECT("J"&amp;_xlpm.直近で観点が空でないセルの行番号):J406),
_xlpm.テスト内容数_空なら1, IF(_xlpm.テスト内容数=0,1,_xlpm.テスト内容数),
_xlpm.詳細項目数&amp;"-"&amp;_xlpm.観点数&amp;"-"&amp;_xlpm.テスト内容数_空なら1
)</f>
        <v>111-3-3</v>
      </c>
      <c r="B406" s="185"/>
      <c r="C406" s="186"/>
      <c r="D406" s="182"/>
      <c r="E406" s="182"/>
      <c r="F406" s="156"/>
      <c r="G406" s="195"/>
      <c r="H406" s="95" t="s">
        <v>725</v>
      </c>
      <c r="I406" s="95" t="s">
        <v>726</v>
      </c>
      <c r="J406" s="93" t="s">
        <v>809</v>
      </c>
      <c r="K406" s="54" t="s">
        <v>632</v>
      </c>
      <c r="L406" s="99" t="s">
        <v>635</v>
      </c>
      <c r="M406" s="95">
        <v>2</v>
      </c>
      <c r="N406" s="95"/>
      <c r="O406" s="95"/>
      <c r="P406" s="2"/>
      <c r="Q406" s="99"/>
      <c r="R406" s="99"/>
    </row>
    <row r="407" spans="1:18" s="37" customFormat="1" ht="22">
      <c r="A407" s="74" t="str" cm="1">
        <f t="array" aca="1" ref="A407" ca="1">_xlfn.LET(
_xlpm.詳細項目数, COUNTA($E$11:E407),
_xlpm.直近で詳細項目が空でないセルの行番号, MAX(INDEX((LEN($E$11:E407)&gt;0)*ROW($E$11:E407),0)),
_xlpm.観点数, COUNTA(INDIRECT("F"&amp;_xlpm.直近で詳細項目が空でないセルの行番号):F407),
_xlpm.直近で観点が空でないセルの行番号, MAX(INDEX((LEN($F$11:F407)&gt;0)*ROW($F$11:F407),0)),
_xlpm.テスト内容数, COUNTA(INDIRECT("J"&amp;_xlpm.直近で観点が空でないセルの行番号):J407),
_xlpm.テスト内容数_空なら1, IF(_xlpm.テスト内容数=0,1,_xlpm.テスト内容数),
_xlpm.詳細項目数&amp;"-"&amp;_xlpm.観点数&amp;"-"&amp;_xlpm.テスト内容数_空なら1
)</f>
        <v>111-3-4</v>
      </c>
      <c r="B407" s="185"/>
      <c r="C407" s="186"/>
      <c r="D407" s="182"/>
      <c r="E407" s="182"/>
      <c r="F407" s="156"/>
      <c r="G407" s="195"/>
      <c r="H407" s="95" t="s">
        <v>725</v>
      </c>
      <c r="I407" s="95" t="s">
        <v>726</v>
      </c>
      <c r="J407" s="93" t="s">
        <v>810</v>
      </c>
      <c r="K407" s="54" t="s">
        <v>632</v>
      </c>
      <c r="L407" s="99" t="s">
        <v>635</v>
      </c>
      <c r="M407" s="95">
        <v>2</v>
      </c>
      <c r="N407" s="95"/>
      <c r="O407" s="95"/>
      <c r="P407" s="2"/>
      <c r="Q407" s="99"/>
      <c r="R407" s="99"/>
    </row>
    <row r="408" spans="1:18" s="37" customFormat="1" ht="33">
      <c r="A408" s="74" t="str" cm="1">
        <f t="array" aca="1" ref="A408" ca="1">_xlfn.LET(
_xlpm.詳細項目数, COUNTA($E$11:E408),
_xlpm.直近で詳細項目が空でないセルの行番号, MAX(INDEX((LEN($E$11:E408)&gt;0)*ROW($E$11:E408),0)),
_xlpm.観点数, COUNTA(INDIRECT("F"&amp;_xlpm.直近で詳細項目が空でないセルの行番号):F408),
_xlpm.直近で観点が空でないセルの行番号, MAX(INDEX((LEN($F$11:F408)&gt;0)*ROW($F$11:F408),0)),
_xlpm.テスト内容数, COUNTA(INDIRECT("J"&amp;_xlpm.直近で観点が空でないセルの行番号):J408),
_xlpm.テスト内容数_空なら1, IF(_xlpm.テスト内容数=0,1,_xlpm.テスト内容数),
_xlpm.詳細項目数&amp;"-"&amp;_xlpm.観点数&amp;"-"&amp;_xlpm.テスト内容数_空なら1
)</f>
        <v>111-3-5</v>
      </c>
      <c r="B408" s="185"/>
      <c r="C408" s="186"/>
      <c r="D408" s="182"/>
      <c r="E408" s="182"/>
      <c r="F408" s="156"/>
      <c r="G408" s="195"/>
      <c r="H408" s="95" t="s">
        <v>725</v>
      </c>
      <c r="I408" s="95" t="s">
        <v>726</v>
      </c>
      <c r="J408" s="93" t="s">
        <v>811</v>
      </c>
      <c r="K408" s="54" t="s">
        <v>632</v>
      </c>
      <c r="L408" s="99" t="s">
        <v>635</v>
      </c>
      <c r="M408" s="95">
        <v>2</v>
      </c>
      <c r="N408" s="95"/>
      <c r="O408" s="95"/>
      <c r="P408" s="2"/>
      <c r="Q408" s="99"/>
      <c r="R408" s="99"/>
    </row>
    <row r="409" spans="1:18" s="37" customFormat="1" ht="33">
      <c r="A409" s="74" t="str" cm="1">
        <f t="array" aca="1" ref="A409" ca="1">_xlfn.LET(
_xlpm.詳細項目数, COUNTA($E$11:E409),
_xlpm.直近で詳細項目が空でないセルの行番号, MAX(INDEX((LEN($E$11:E409)&gt;0)*ROW($E$11:E409),0)),
_xlpm.観点数, COUNTA(INDIRECT("F"&amp;_xlpm.直近で詳細項目が空でないセルの行番号):F409),
_xlpm.直近で観点が空でないセルの行番号, MAX(INDEX((LEN($F$11:F409)&gt;0)*ROW($F$11:F409),0)),
_xlpm.テスト内容数, COUNTA(INDIRECT("J"&amp;_xlpm.直近で観点が空でないセルの行番号):J409),
_xlpm.テスト内容数_空なら1, IF(_xlpm.テスト内容数=0,1,_xlpm.テスト内容数),
_xlpm.詳細項目数&amp;"-"&amp;_xlpm.観点数&amp;"-"&amp;_xlpm.テスト内容数_空なら1
)</f>
        <v>111-3-6</v>
      </c>
      <c r="B409" s="185"/>
      <c r="C409" s="186"/>
      <c r="D409" s="182"/>
      <c r="E409" s="182"/>
      <c r="F409" s="156"/>
      <c r="G409" s="195"/>
      <c r="H409" s="95" t="s">
        <v>725</v>
      </c>
      <c r="I409" s="95" t="s">
        <v>726</v>
      </c>
      <c r="J409" s="93" t="s">
        <v>812</v>
      </c>
      <c r="K409" s="54" t="s">
        <v>632</v>
      </c>
      <c r="L409" s="99" t="s">
        <v>635</v>
      </c>
      <c r="M409" s="95">
        <v>2</v>
      </c>
      <c r="N409" s="95"/>
      <c r="O409" s="95"/>
      <c r="P409" s="2"/>
      <c r="Q409" s="99"/>
      <c r="R409" s="99"/>
    </row>
    <row r="410" spans="1:18" s="37" customFormat="1" ht="22">
      <c r="A410" s="74" t="str" cm="1">
        <f t="array" aca="1" ref="A410" ca="1">_xlfn.LET(
_xlpm.詳細項目数, COUNTA($E$11:E410),
_xlpm.直近で詳細項目が空でないセルの行番号, MAX(INDEX((LEN($E$11:E410)&gt;0)*ROW($E$11:E410),0)),
_xlpm.観点数, COUNTA(INDIRECT("F"&amp;_xlpm.直近で詳細項目が空でないセルの行番号):F410),
_xlpm.直近で観点が空でないセルの行番号, MAX(INDEX((LEN($F$11:F410)&gt;0)*ROW($F$11:F410),0)),
_xlpm.テスト内容数, COUNTA(INDIRECT("J"&amp;_xlpm.直近で観点が空でないセルの行番号):J410),
_xlpm.テスト内容数_空なら1, IF(_xlpm.テスト内容数=0,1,_xlpm.テスト内容数),
_xlpm.詳細項目数&amp;"-"&amp;_xlpm.観点数&amp;"-"&amp;_xlpm.テスト内容数_空なら1
)</f>
        <v>111-3-7</v>
      </c>
      <c r="B410" s="185"/>
      <c r="C410" s="186"/>
      <c r="D410" s="182"/>
      <c r="E410" s="182"/>
      <c r="F410" s="156"/>
      <c r="G410" s="195"/>
      <c r="H410" s="95" t="s">
        <v>725</v>
      </c>
      <c r="I410" s="95" t="s">
        <v>726</v>
      </c>
      <c r="J410" s="93" t="s">
        <v>813</v>
      </c>
      <c r="K410" s="54" t="s">
        <v>632</v>
      </c>
      <c r="L410" s="99" t="s">
        <v>635</v>
      </c>
      <c r="M410" s="95">
        <v>2</v>
      </c>
      <c r="N410" s="95"/>
      <c r="O410" s="95"/>
      <c r="P410" s="2"/>
      <c r="Q410" s="99"/>
      <c r="R410" s="99"/>
    </row>
    <row r="411" spans="1:18" ht="22">
      <c r="A411" s="74" t="str" cm="1">
        <f t="array" aca="1" ref="A411" ca="1">_xlfn.LET(
_xlpm.詳細項目数, COUNTA($E$11:E411),
_xlpm.直近で詳細項目が空でないセルの行番号, MAX(INDEX((LEN($E$11:E411)&gt;0)*ROW($E$11:E411),0)),
_xlpm.観点数, COUNTA(INDIRECT("F"&amp;_xlpm.直近で詳細項目が空でないセルの行番号):F411),
_xlpm.直近で観点が空でないセルの行番号, MAX(INDEX((LEN($F$11:F411)&gt;0)*ROW($F$11:F411),0)),
_xlpm.テスト内容数, COUNTA(INDIRECT("J"&amp;_xlpm.直近で観点が空でないセルの行番号):J411),
_xlpm.テスト内容数_空なら1, IF(_xlpm.テスト内容数=0,1,_xlpm.テスト内容数),
_xlpm.詳細項目数&amp;"-"&amp;_xlpm.観点数&amp;"-"&amp;_xlpm.テスト内容数_空なら1
)</f>
        <v>111-4-1</v>
      </c>
      <c r="B411" s="238"/>
      <c r="C411" s="228"/>
      <c r="D411" s="229"/>
      <c r="E411" s="229"/>
      <c r="F411" s="124" t="s">
        <v>577</v>
      </c>
      <c r="G411" s="193" t="s">
        <v>502</v>
      </c>
      <c r="H411" s="112"/>
      <c r="I411" s="112"/>
      <c r="J411" s="124"/>
      <c r="K411" s="125"/>
      <c r="L411" s="125"/>
      <c r="M411" s="112"/>
      <c r="N411" s="112"/>
      <c r="O411" s="112"/>
      <c r="P411" s="123"/>
      <c r="Q411" s="125"/>
      <c r="R411" s="125"/>
    </row>
    <row r="412" spans="1:18" ht="22">
      <c r="A412" s="74" t="str" cm="1">
        <f t="array" aca="1" ref="A412" ca="1">_xlfn.LET(
_xlpm.詳細項目数, COUNTA($E$11:E412),
_xlpm.直近で詳細項目が空でないセルの行番号, MAX(INDEX((LEN($E$11:E412)&gt;0)*ROW($E$11:E412),0)),
_xlpm.観点数, COUNTA(INDIRECT("F"&amp;_xlpm.直近で詳細項目が空でないセルの行番号):F412),
_xlpm.直近で観点が空でないセルの行番号, MAX(INDEX((LEN($F$11:F412)&gt;0)*ROW($F$11:F412),0)),
_xlpm.テスト内容数, COUNTA(INDIRECT("J"&amp;_xlpm.直近で観点が空でないセルの行番号):J412),
_xlpm.テスト内容数_空なら1, IF(_xlpm.テスト内容数=0,1,_xlpm.テスト内容数),
_xlpm.詳細項目数&amp;"-"&amp;_xlpm.観点数&amp;"-"&amp;_xlpm.テスト内容数_空なら1
)</f>
        <v>111-5-1</v>
      </c>
      <c r="B412" s="238"/>
      <c r="C412" s="228"/>
      <c r="D412" s="229"/>
      <c r="E412" s="229"/>
      <c r="F412" s="124" t="s">
        <v>578</v>
      </c>
      <c r="G412" s="193" t="s">
        <v>502</v>
      </c>
      <c r="H412" s="112"/>
      <c r="I412" s="112"/>
      <c r="J412" s="233"/>
      <c r="K412" s="233"/>
      <c r="L412" s="125"/>
      <c r="M412" s="112"/>
      <c r="N412" s="112"/>
      <c r="O412" s="112"/>
      <c r="P412" s="123"/>
      <c r="Q412" s="125"/>
      <c r="R412" s="125"/>
    </row>
    <row r="413" spans="1:18" ht="33">
      <c r="A413" s="74" t="str" cm="1">
        <f t="array" aca="1" ref="A413" ca="1">_xlfn.LET(
_xlpm.詳細項目数, COUNTA($E$11:E413),
_xlpm.直近で詳細項目が空でないセルの行番号, MAX(INDEX((LEN($E$11:E413)&gt;0)*ROW($E$11:E413),0)),
_xlpm.観点数, COUNTA(INDIRECT("F"&amp;_xlpm.直近で詳細項目が空でないセルの行番号):F413),
_xlpm.直近で観点が空でないセルの行番号, MAX(INDEX((LEN($F$11:F413)&gt;0)*ROW($F$11:F413),0)),
_xlpm.テスト内容数, COUNTA(INDIRECT("J"&amp;_xlpm.直近で観点が空でないセルの行番号):J413),
_xlpm.テスト内容数_空なら1, IF(_xlpm.テスト内容数=0,1,_xlpm.テスト内容数),
_xlpm.詳細項目数&amp;"-"&amp;_xlpm.観点数&amp;"-"&amp;_xlpm.テスト内容数_空なら1
)</f>
        <v>111-6-1</v>
      </c>
      <c r="B413" s="238"/>
      <c r="C413" s="228"/>
      <c r="D413" s="229"/>
      <c r="E413" s="229"/>
      <c r="F413" s="124" t="s">
        <v>579</v>
      </c>
      <c r="G413" s="193" t="s">
        <v>502</v>
      </c>
      <c r="H413" s="112"/>
      <c r="I413" s="112"/>
      <c r="J413" s="125"/>
      <c r="K413" s="125"/>
      <c r="L413" s="125"/>
      <c r="M413" s="112"/>
      <c r="N413" s="112"/>
      <c r="O413" s="112"/>
      <c r="P413" s="123"/>
      <c r="Q413" s="125"/>
      <c r="R413" s="125"/>
    </row>
    <row r="414" spans="1:18" ht="22">
      <c r="A414" s="74" t="str" cm="1">
        <f t="array" aca="1" ref="A414" ca="1">_xlfn.LET(
_xlpm.詳細項目数, COUNTA($E$11:E414),
_xlpm.直近で詳細項目が空でないセルの行番号, MAX(INDEX((LEN($E$11:E414)&gt;0)*ROW($E$11:E414),0)),
_xlpm.観点数, COUNTA(INDIRECT("F"&amp;_xlpm.直近で詳細項目が空でないセルの行番号):F414),
_xlpm.直近で観点が空でないセルの行番号, MAX(INDEX((LEN($F$11:F414)&gt;0)*ROW($F$11:F414),0)),
_xlpm.テスト内容数, COUNTA(INDIRECT("J"&amp;_xlpm.直近で観点が空でないセルの行番号):J414),
_xlpm.テスト内容数_空なら1, IF(_xlpm.テスト内容数=0,1,_xlpm.テスト内容数),
_xlpm.詳細項目数&amp;"-"&amp;_xlpm.観点数&amp;"-"&amp;_xlpm.テスト内容数_空なら1
)</f>
        <v>111-7-1</v>
      </c>
      <c r="B414" s="238"/>
      <c r="C414" s="228"/>
      <c r="D414" s="229"/>
      <c r="E414" s="229"/>
      <c r="F414" s="124" t="s">
        <v>580</v>
      </c>
      <c r="G414" s="193" t="s">
        <v>502</v>
      </c>
      <c r="H414" s="112"/>
      <c r="I414" s="112"/>
      <c r="J414" s="125"/>
      <c r="K414" s="125"/>
      <c r="L414" s="125"/>
      <c r="M414" s="112"/>
      <c r="N414" s="112"/>
      <c r="O414" s="112"/>
      <c r="P414" s="123"/>
      <c r="Q414" s="125"/>
      <c r="R414" s="125"/>
    </row>
    <row r="415" spans="1:18" ht="22">
      <c r="A415" s="74" t="str" cm="1">
        <f t="array" aca="1" ref="A415" ca="1">_xlfn.LET(
_xlpm.詳細項目数, COUNTA($E$11:E415),
_xlpm.直近で詳細項目が空でないセルの行番号, MAX(INDEX((LEN($E$11:E415)&gt;0)*ROW($E$11:E415),0)),
_xlpm.観点数, COUNTA(INDIRECT("F"&amp;_xlpm.直近で詳細項目が空でないセルの行番号):F415),
_xlpm.直近で観点が空でないセルの行番号, MAX(INDEX((LEN($F$11:F415)&gt;0)*ROW($F$11:F415),0)),
_xlpm.テスト内容数, COUNTA(INDIRECT("J"&amp;_xlpm.直近で観点が空でないセルの行番号):J415),
_xlpm.テスト内容数_空なら1, IF(_xlpm.テスト内容数=0,1,_xlpm.テスト内容数),
_xlpm.詳細項目数&amp;"-"&amp;_xlpm.観点数&amp;"-"&amp;_xlpm.テスト内容数_空なら1
)</f>
        <v>111-8-1</v>
      </c>
      <c r="B415" s="238"/>
      <c r="C415" s="228"/>
      <c r="D415" s="229"/>
      <c r="E415" s="229"/>
      <c r="F415" s="124" t="s">
        <v>581</v>
      </c>
      <c r="G415" s="193" t="s">
        <v>502</v>
      </c>
      <c r="H415" s="112"/>
      <c r="I415" s="112"/>
      <c r="J415" s="125"/>
      <c r="K415" s="125"/>
      <c r="L415" s="125"/>
      <c r="M415" s="112"/>
      <c r="N415" s="112"/>
      <c r="O415" s="112"/>
      <c r="P415" s="123"/>
      <c r="Q415" s="125"/>
      <c r="R415" s="125"/>
    </row>
    <row r="416" spans="1:18" ht="22">
      <c r="A416" s="74" t="str" cm="1">
        <f t="array" aca="1" ref="A416" ca="1">_xlfn.LET(
_xlpm.詳細項目数, COUNTA($E$11:E416),
_xlpm.直近で詳細項目が空でないセルの行番号, MAX(INDEX((LEN($E$11:E416)&gt;0)*ROW($E$11:E416),0)),
_xlpm.観点数, COUNTA(INDIRECT("F"&amp;_xlpm.直近で詳細項目が空でないセルの行番号):F416),
_xlpm.直近で観点が空でないセルの行番号, MAX(INDEX((LEN($F$11:F416)&gt;0)*ROW($F$11:F416),0)),
_xlpm.テスト内容数, COUNTA(INDIRECT("J"&amp;_xlpm.直近で観点が空でないセルの行番号):J416),
_xlpm.テスト内容数_空なら1, IF(_xlpm.テスト内容数=0,1,_xlpm.テスト内容数),
_xlpm.詳細項目数&amp;"-"&amp;_xlpm.観点数&amp;"-"&amp;_xlpm.テスト内容数_空なら1
)</f>
        <v>111-9-1</v>
      </c>
      <c r="B416" s="238"/>
      <c r="C416" s="228"/>
      <c r="D416" s="229"/>
      <c r="E416" s="229"/>
      <c r="F416" s="124" t="s">
        <v>582</v>
      </c>
      <c r="G416" s="193" t="s">
        <v>502</v>
      </c>
      <c r="H416" s="112"/>
      <c r="I416" s="112"/>
      <c r="J416" s="125"/>
      <c r="K416" s="125"/>
      <c r="L416" s="125"/>
      <c r="M416" s="112"/>
      <c r="N416" s="112"/>
      <c r="O416" s="112"/>
      <c r="P416" s="123"/>
      <c r="Q416" s="125"/>
      <c r="R416" s="125"/>
    </row>
    <row r="417" spans="1:18" ht="22">
      <c r="A417" s="74" t="str" cm="1">
        <f t="array" aca="1" ref="A417" ca="1">_xlfn.LET(
_xlpm.詳細項目数, COUNTA($E$11:E417),
_xlpm.直近で詳細項目が空でないセルの行番号, MAX(INDEX((LEN($E$11:E417)&gt;0)*ROW($E$11:E417),0)),
_xlpm.観点数, COUNTA(INDIRECT("F"&amp;_xlpm.直近で詳細項目が空でないセルの行番号):F417),
_xlpm.直近で観点が空でないセルの行番号, MAX(INDEX((LEN($F$11:F417)&gt;0)*ROW($F$11:F417),0)),
_xlpm.テスト内容数, COUNTA(INDIRECT("J"&amp;_xlpm.直近で観点が空でないセルの行番号):J417),
_xlpm.テスト内容数_空なら1, IF(_xlpm.テスト内容数=0,1,_xlpm.テスト内容数),
_xlpm.詳細項目数&amp;"-"&amp;_xlpm.観点数&amp;"-"&amp;_xlpm.テスト内容数_空なら1
)</f>
        <v>111-10-1</v>
      </c>
      <c r="B417" s="238"/>
      <c r="C417" s="228"/>
      <c r="D417" s="229"/>
      <c r="E417" s="229"/>
      <c r="F417" s="124" t="s">
        <v>583</v>
      </c>
      <c r="G417" s="193" t="s">
        <v>502</v>
      </c>
      <c r="H417" s="112"/>
      <c r="I417" s="112"/>
      <c r="J417" s="125"/>
      <c r="K417" s="125"/>
      <c r="L417" s="125"/>
      <c r="M417" s="112"/>
      <c r="N417" s="112"/>
      <c r="O417" s="112"/>
      <c r="P417" s="123"/>
      <c r="Q417" s="125"/>
      <c r="R417" s="125"/>
    </row>
    <row r="418" spans="1:18" ht="33">
      <c r="A418" s="74" t="str" cm="1">
        <f t="array" aca="1" ref="A418" ca="1">_xlfn.LET(
_xlpm.詳細項目数, COUNTA($E$11:E418),
_xlpm.直近で詳細項目が空でないセルの行番号, MAX(INDEX((LEN($E$11:E418)&gt;0)*ROW($E$11:E418),0)),
_xlpm.観点数, COUNTA(INDIRECT("F"&amp;_xlpm.直近で詳細項目が空でないセルの行番号):F418),
_xlpm.直近で観点が空でないセルの行番号, MAX(INDEX((LEN($F$11:F418)&gt;0)*ROW($F$11:F418),0)),
_xlpm.テスト内容数, COUNTA(INDIRECT("J"&amp;_xlpm.直近で観点が空でないセルの行番号):J418),
_xlpm.テスト内容数_空なら1, IF(_xlpm.テスト内容数=0,1,_xlpm.テスト内容数),
_xlpm.詳細項目数&amp;"-"&amp;_xlpm.観点数&amp;"-"&amp;_xlpm.テスト内容数_空なら1
)</f>
        <v>111-11-1</v>
      </c>
      <c r="B418" s="192"/>
      <c r="C418" s="186"/>
      <c r="D418" s="182"/>
      <c r="E418" s="182"/>
      <c r="F418" s="1" t="s">
        <v>584</v>
      </c>
      <c r="G418" s="38"/>
      <c r="H418" s="95" t="s">
        <v>25</v>
      </c>
      <c r="I418" s="95" t="s">
        <v>27</v>
      </c>
      <c r="J418" s="54" t="s">
        <v>814</v>
      </c>
      <c r="K418" s="54" t="s">
        <v>815</v>
      </c>
      <c r="L418" s="99" t="s">
        <v>635</v>
      </c>
      <c r="M418" s="95">
        <v>3</v>
      </c>
      <c r="N418" s="95"/>
      <c r="O418" s="95"/>
      <c r="P418" s="2"/>
      <c r="Q418" s="94"/>
      <c r="R418" s="94"/>
    </row>
    <row r="419" spans="1:18" ht="22">
      <c r="A419" s="74" t="str" cm="1">
        <f t="array" aca="1" ref="A419" ca="1">_xlfn.LET(
_xlpm.詳細項目数, COUNTA($E$11:E419),
_xlpm.直近で詳細項目が空でないセルの行番号, MAX(INDEX((LEN($E$11:E419)&gt;0)*ROW($E$11:E419),0)),
_xlpm.観点数, COUNTA(INDIRECT("F"&amp;_xlpm.直近で詳細項目が空でないセルの行番号):F419),
_xlpm.直近で観点が空でないセルの行番号, MAX(INDEX((LEN($F$11:F419)&gt;0)*ROW($F$11:F419),0)),
_xlpm.テスト内容数, COUNTA(INDIRECT("J"&amp;_xlpm.直近で観点が空でないセルの行番号):J419),
_xlpm.テスト内容数_空なら1, IF(_xlpm.テスト内容数=0,1,_xlpm.テスト内容数),
_xlpm.詳細項目数&amp;"-"&amp;_xlpm.観点数&amp;"-"&amp;_xlpm.テスト内容数_空なら1
)</f>
        <v>111-12-1</v>
      </c>
      <c r="B419" s="238"/>
      <c r="C419" s="228"/>
      <c r="D419" s="229"/>
      <c r="E419" s="229"/>
      <c r="F419" s="124" t="s">
        <v>585</v>
      </c>
      <c r="G419" s="193" t="s">
        <v>714</v>
      </c>
      <c r="H419" s="112"/>
      <c r="I419" s="112"/>
      <c r="J419" s="243"/>
      <c r="K419" s="244"/>
      <c r="L419" s="125"/>
      <c r="M419" s="112"/>
      <c r="N419" s="112"/>
      <c r="O419" s="112"/>
      <c r="P419" s="123"/>
      <c r="Q419" s="125"/>
      <c r="R419" s="125"/>
    </row>
    <row r="420" spans="1:18" ht="22">
      <c r="A420" s="74" t="str" cm="1">
        <f t="array" aca="1" ref="A420" ca="1">_xlfn.LET(
_xlpm.詳細項目数, COUNTA($E$11:E420),
_xlpm.直近で詳細項目が空でないセルの行番号, MAX(INDEX((LEN($E$11:E420)&gt;0)*ROW($E$11:E420),0)),
_xlpm.観点数, COUNTA(INDIRECT("F"&amp;_xlpm.直近で詳細項目が空でないセルの行番号):F420),
_xlpm.直近で観点が空でないセルの行番号, MAX(INDEX((LEN($F$11:F420)&gt;0)*ROW($F$11:F420),0)),
_xlpm.テスト内容数, COUNTA(INDIRECT("J"&amp;_xlpm.直近で観点が空でないセルの行番号):J420),
_xlpm.テスト内容数_空なら1, IF(_xlpm.テスト内容数=0,1,_xlpm.テスト内容数),
_xlpm.詳細項目数&amp;"-"&amp;_xlpm.観点数&amp;"-"&amp;_xlpm.テスト内容数_空なら1
)</f>
        <v>111-13-1</v>
      </c>
      <c r="B420" s="238"/>
      <c r="C420" s="228"/>
      <c r="D420" s="229"/>
      <c r="E420" s="229"/>
      <c r="F420" s="124" t="s">
        <v>586</v>
      </c>
      <c r="G420" s="193" t="s">
        <v>502</v>
      </c>
      <c r="H420" s="112"/>
      <c r="I420" s="112"/>
      <c r="J420" s="125"/>
      <c r="K420" s="125"/>
      <c r="L420" s="125"/>
      <c r="M420" s="112"/>
      <c r="N420" s="112"/>
      <c r="O420" s="112"/>
      <c r="P420" s="123"/>
      <c r="Q420" s="125"/>
      <c r="R420" s="125"/>
    </row>
    <row r="421" spans="1:18" ht="22">
      <c r="A421" s="74" t="str" cm="1">
        <f t="array" aca="1" ref="A421" ca="1">_xlfn.LET(
_xlpm.詳細項目数, COUNTA($E$11:E421),
_xlpm.直近で詳細項目が空でないセルの行番号, MAX(INDEX((LEN($E$11:E421)&gt;0)*ROW($E$11:E421),0)),
_xlpm.観点数, COUNTA(INDIRECT("F"&amp;_xlpm.直近で詳細項目が空でないセルの行番号):F421),
_xlpm.直近で観点が空でないセルの行番号, MAX(INDEX((LEN($F$11:F421)&gt;0)*ROW($F$11:F421),0)),
_xlpm.テスト内容数, COUNTA(INDIRECT("J"&amp;_xlpm.直近で観点が空でないセルの行番号):J421),
_xlpm.テスト内容数_空なら1, IF(_xlpm.テスト内容数=0,1,_xlpm.テスト内容数),
_xlpm.詳細項目数&amp;"-"&amp;_xlpm.観点数&amp;"-"&amp;_xlpm.テスト内容数_空なら1
)</f>
        <v>111-14-1</v>
      </c>
      <c r="B421" s="238"/>
      <c r="C421" s="228"/>
      <c r="D421" s="229"/>
      <c r="E421" s="239"/>
      <c r="F421" s="124" t="s">
        <v>587</v>
      </c>
      <c r="G421" s="193" t="s">
        <v>502</v>
      </c>
      <c r="H421" s="112"/>
      <c r="I421" s="112"/>
      <c r="J421" s="125"/>
      <c r="K421" s="125"/>
      <c r="L421" s="125"/>
      <c r="M421" s="112"/>
      <c r="N421" s="112"/>
      <c r="O421" s="112"/>
      <c r="P421" s="123"/>
      <c r="Q421" s="125"/>
      <c r="R421" s="125"/>
    </row>
    <row r="422" spans="1:18" ht="22">
      <c r="A422" s="74" t="str" cm="1">
        <f t="array" aca="1" ref="A422" ca="1">_xlfn.LET(
_xlpm.詳細項目数, COUNTA($E$11:E422),
_xlpm.直近で詳細項目が空でないセルの行番号, MAX(INDEX((LEN($E$11:E422)&gt;0)*ROW($E$11:E422),0)),
_xlpm.観点数, COUNTA(INDIRECT("F"&amp;_xlpm.直近で詳細項目が空でないセルの行番号):F422),
_xlpm.直近で観点が空でないセルの行番号, MAX(INDEX((LEN($F$11:F422)&gt;0)*ROW($F$11:F422),0)),
_xlpm.テスト内容数, COUNTA(INDIRECT("J"&amp;_xlpm.直近で観点が空でないセルの行番号):J422),
_xlpm.テスト内容数_空なら1, IF(_xlpm.テスト内容数=0,1,_xlpm.テスト内容数),
_xlpm.詳細項目数&amp;"-"&amp;_xlpm.観点数&amp;"-"&amp;_xlpm.テスト内容数_空なら1
)</f>
        <v>112-1-1</v>
      </c>
      <c r="B422" s="192"/>
      <c r="C422" s="186"/>
      <c r="D422" s="182"/>
      <c r="E422" s="182" t="s">
        <v>175</v>
      </c>
      <c r="F422" s="1" t="s">
        <v>588</v>
      </c>
      <c r="G422" s="191"/>
      <c r="H422" s="93" t="s">
        <v>513</v>
      </c>
      <c r="I422" s="62" t="s">
        <v>685</v>
      </c>
      <c r="J422" s="99" t="s">
        <v>713</v>
      </c>
      <c r="K422" s="99" t="s">
        <v>713</v>
      </c>
      <c r="L422" s="99" t="s">
        <v>635</v>
      </c>
      <c r="M422" s="95">
        <v>1</v>
      </c>
      <c r="N422" s="95"/>
      <c r="O422" s="95"/>
      <c r="P422" s="2"/>
      <c r="Q422" s="94"/>
      <c r="R422" s="94"/>
    </row>
    <row r="423" spans="1:18" ht="33">
      <c r="A423" s="74" t="str" cm="1">
        <f t="array" aca="1" ref="A423" ca="1">_xlfn.LET(
_xlpm.詳細項目数, COUNTA($E$11:E423),
_xlpm.直近で詳細項目が空でないセルの行番号, MAX(INDEX((LEN($E$11:E423)&gt;0)*ROW($E$11:E423),0)),
_xlpm.観点数, COUNTA(INDIRECT("F"&amp;_xlpm.直近で詳細項目が空でないセルの行番号):F423),
_xlpm.直近で観点が空でないセルの行番号, MAX(INDEX((LEN($F$11:F423)&gt;0)*ROW($F$11:F423),0)),
_xlpm.テスト内容数, COUNTA(INDIRECT("J"&amp;_xlpm.直近で観点が空でないセルの行番号):J423),
_xlpm.テスト内容数_空なら1, IF(_xlpm.テスト内容数=0,1,_xlpm.テスト内容数),
_xlpm.詳細項目数&amp;"-"&amp;_xlpm.観点数&amp;"-"&amp;_xlpm.テスト内容数_空なら1
)</f>
        <v>112-2-1</v>
      </c>
      <c r="B423" s="238"/>
      <c r="C423" s="228"/>
      <c r="D423" s="229"/>
      <c r="E423" s="229"/>
      <c r="F423" s="124" t="s">
        <v>589</v>
      </c>
      <c r="G423" s="203" t="s">
        <v>502</v>
      </c>
      <c r="H423" s="112"/>
      <c r="I423" s="112"/>
      <c r="J423" s="125"/>
      <c r="K423" s="125"/>
      <c r="L423" s="125"/>
      <c r="M423" s="112"/>
      <c r="N423" s="112"/>
      <c r="O423" s="112"/>
      <c r="P423" s="123"/>
      <c r="Q423" s="125"/>
      <c r="R423" s="125"/>
    </row>
    <row r="424" spans="1:18" ht="33">
      <c r="A424" s="74" t="str" cm="1">
        <f t="array" aca="1" ref="A424" ca="1">_xlfn.LET(
_xlpm.詳細項目数, COUNTA($E$11:E424),
_xlpm.直近で詳細項目が空でないセルの行番号, MAX(INDEX((LEN($E$11:E424)&gt;0)*ROW($E$11:E424),0)),
_xlpm.観点数, COUNTA(INDIRECT("F"&amp;_xlpm.直近で詳細項目が空でないセルの行番号):F424),
_xlpm.直近で観点が空でないセルの行番号, MAX(INDEX((LEN($F$11:F424)&gt;0)*ROW($F$11:F424),0)),
_xlpm.テスト内容数, COUNTA(INDIRECT("J"&amp;_xlpm.直近で観点が空でないセルの行番号):J424),
_xlpm.テスト内容数_空なら1, IF(_xlpm.テスト内容数=0,1,_xlpm.テスト内容数),
_xlpm.詳細項目数&amp;"-"&amp;_xlpm.観点数&amp;"-"&amp;_xlpm.テスト内容数_空なら1
)</f>
        <v>112-3-1</v>
      </c>
      <c r="B424" s="238"/>
      <c r="C424" s="228"/>
      <c r="D424" s="229"/>
      <c r="E424" s="229"/>
      <c r="F424" s="124" t="s">
        <v>590</v>
      </c>
      <c r="G424" s="203" t="s">
        <v>502</v>
      </c>
      <c r="H424" s="112"/>
      <c r="I424" s="112"/>
      <c r="J424" s="125"/>
      <c r="K424" s="125"/>
      <c r="L424" s="125"/>
      <c r="M424" s="112"/>
      <c r="N424" s="112"/>
      <c r="O424" s="112"/>
      <c r="P424" s="123"/>
      <c r="Q424" s="125"/>
      <c r="R424" s="125"/>
    </row>
    <row r="425" spans="1:18" ht="33">
      <c r="A425" s="74" t="str" cm="1">
        <f t="array" aca="1" ref="A425" ca="1">_xlfn.LET(
_xlpm.詳細項目数, COUNTA($E$11:E425),
_xlpm.直近で詳細項目が空でないセルの行番号, MAX(INDEX((LEN($E$11:E425)&gt;0)*ROW($E$11:E425),0)),
_xlpm.観点数, COUNTA(INDIRECT("F"&amp;_xlpm.直近で詳細項目が空でないセルの行番号):F425),
_xlpm.直近で観点が空でないセルの行番号, MAX(INDEX((LEN($F$11:F425)&gt;0)*ROW($F$11:F425),0)),
_xlpm.テスト内容数, COUNTA(INDIRECT("J"&amp;_xlpm.直近で観点が空でないセルの行番号):J425),
_xlpm.テスト内容数_空なら1, IF(_xlpm.テスト内容数=0,1,_xlpm.テスト内容数),
_xlpm.詳細項目数&amp;"-"&amp;_xlpm.観点数&amp;"-"&amp;_xlpm.テスト内容数_空なら1
)</f>
        <v>112-4-1</v>
      </c>
      <c r="B425" s="238"/>
      <c r="C425" s="228"/>
      <c r="D425" s="229"/>
      <c r="E425" s="229"/>
      <c r="F425" s="124" t="s">
        <v>591</v>
      </c>
      <c r="G425" s="203" t="s">
        <v>502</v>
      </c>
      <c r="H425" s="112"/>
      <c r="I425" s="112"/>
      <c r="J425" s="125"/>
      <c r="K425" s="125"/>
      <c r="L425" s="125"/>
      <c r="M425" s="112"/>
      <c r="N425" s="112"/>
      <c r="O425" s="112"/>
      <c r="P425" s="123"/>
      <c r="Q425" s="125"/>
      <c r="R425" s="125"/>
    </row>
    <row r="426" spans="1:18" ht="22">
      <c r="A426" s="74" t="str" cm="1">
        <f t="array" aca="1" ref="A426" ca="1">_xlfn.LET(
_xlpm.詳細項目数, COUNTA($E$11:E426),
_xlpm.直近で詳細項目が空でないセルの行番号, MAX(INDEX((LEN($E$11:E426)&gt;0)*ROW($E$11:E426),0)),
_xlpm.観点数, COUNTA(INDIRECT("F"&amp;_xlpm.直近で詳細項目が空でないセルの行番号):F426),
_xlpm.直近で観点が空でないセルの行番号, MAX(INDEX((LEN($F$11:F426)&gt;0)*ROW($F$11:F426),0)),
_xlpm.テスト内容数, COUNTA(INDIRECT("J"&amp;_xlpm.直近で観点が空でないセルの行番号):J426),
_xlpm.テスト内容数_空なら1, IF(_xlpm.テスト内容数=0,1,_xlpm.テスト内容数),
_xlpm.詳細項目数&amp;"-"&amp;_xlpm.観点数&amp;"-"&amp;_xlpm.テスト内容数_空なら1
)</f>
        <v>112-5-1</v>
      </c>
      <c r="B426" s="238"/>
      <c r="C426" s="228"/>
      <c r="D426" s="229"/>
      <c r="E426" s="229"/>
      <c r="F426" s="124" t="s">
        <v>592</v>
      </c>
      <c r="G426" s="203" t="s">
        <v>502</v>
      </c>
      <c r="H426" s="112"/>
      <c r="I426" s="112"/>
      <c r="J426" s="125"/>
      <c r="K426" s="125"/>
      <c r="L426" s="125"/>
      <c r="M426" s="112"/>
      <c r="N426" s="112"/>
      <c r="O426" s="112"/>
      <c r="P426" s="123"/>
      <c r="Q426" s="125"/>
      <c r="R426" s="125"/>
    </row>
    <row r="427" spans="1:18" ht="22">
      <c r="A427" s="74" t="str" cm="1">
        <f t="array" aca="1" ref="A427" ca="1">_xlfn.LET(
_xlpm.詳細項目数, COUNTA($E$11:E427),
_xlpm.直近で詳細項目が空でないセルの行番号, MAX(INDEX((LEN($E$11:E427)&gt;0)*ROW($E$11:E427),0)),
_xlpm.観点数, COUNTA(INDIRECT("F"&amp;_xlpm.直近で詳細項目が空でないセルの行番号):F427),
_xlpm.直近で観点が空でないセルの行番号, MAX(INDEX((LEN($F$11:F427)&gt;0)*ROW($F$11:F427),0)),
_xlpm.テスト内容数, COUNTA(INDIRECT("J"&amp;_xlpm.直近で観点が空でないセルの行番号):J427),
_xlpm.テスト内容数_空なら1, IF(_xlpm.テスト内容数=0,1,_xlpm.テスト内容数),
_xlpm.詳細項目数&amp;"-"&amp;_xlpm.観点数&amp;"-"&amp;_xlpm.テスト内容数_空なら1
)</f>
        <v>112-6-1</v>
      </c>
      <c r="B427" s="238"/>
      <c r="C427" s="228"/>
      <c r="D427" s="229"/>
      <c r="E427" s="229"/>
      <c r="F427" s="124" t="s">
        <v>593</v>
      </c>
      <c r="G427" s="203" t="s">
        <v>502</v>
      </c>
      <c r="H427" s="112"/>
      <c r="I427" s="112"/>
      <c r="J427" s="125"/>
      <c r="K427" s="125"/>
      <c r="L427" s="125"/>
      <c r="M427" s="112"/>
      <c r="N427" s="112"/>
      <c r="O427" s="112"/>
      <c r="P427" s="123"/>
      <c r="Q427" s="125"/>
      <c r="R427" s="125"/>
    </row>
    <row r="428" spans="1:18" ht="22">
      <c r="A428" s="74" t="str" cm="1">
        <f t="array" aca="1" ref="A428" ca="1">_xlfn.LET(
_xlpm.詳細項目数, COUNTA($E$11:E428),
_xlpm.直近で詳細項目が空でないセルの行番号, MAX(INDEX((LEN($E$11:E428)&gt;0)*ROW($E$11:E428),0)),
_xlpm.観点数, COUNTA(INDIRECT("F"&amp;_xlpm.直近で詳細項目が空でないセルの行番号):F428),
_xlpm.直近で観点が空でないセルの行番号, MAX(INDEX((LEN($F$11:F428)&gt;0)*ROW($F$11:F428),0)),
_xlpm.テスト内容数, COUNTA(INDIRECT("J"&amp;_xlpm.直近で観点が空でないセルの行番号):J428),
_xlpm.テスト内容数_空なら1, IF(_xlpm.テスト内容数=0,1,_xlpm.テスト内容数),
_xlpm.詳細項目数&amp;"-"&amp;_xlpm.観点数&amp;"-"&amp;_xlpm.テスト内容数_空なら1
)</f>
        <v>112-7-1</v>
      </c>
      <c r="B428" s="272"/>
      <c r="C428" s="246"/>
      <c r="D428" s="239"/>
      <c r="E428" s="239"/>
      <c r="F428" s="124" t="s">
        <v>594</v>
      </c>
      <c r="G428" s="203" t="s">
        <v>502</v>
      </c>
      <c r="H428" s="112"/>
      <c r="I428" s="112"/>
      <c r="J428" s="125"/>
      <c r="K428" s="125"/>
      <c r="L428" s="125"/>
      <c r="M428" s="112"/>
      <c r="N428" s="112"/>
      <c r="O428" s="112"/>
      <c r="P428" s="123"/>
      <c r="Q428" s="125"/>
      <c r="R428" s="125"/>
    </row>
    <row r="429" spans="1:18" s="37" customFormat="1" ht="22">
      <c r="A429" s="74" t="str" cm="1">
        <f t="array" aca="1" ref="A429" ca="1">_xlfn.LET(
_xlpm.詳細項目数, COUNTA($E$11:E429),
_xlpm.直近で詳細項目が空でないセルの行番号, MAX(INDEX((LEN($E$11:E429)&gt;0)*ROW($E$11:E429),0)),
_xlpm.観点数, COUNTA(INDIRECT("F"&amp;_xlpm.直近で詳細項目が空でないセルの行番号):F429),
_xlpm.直近で観点が空でないセルの行番号, MAX(INDEX((LEN($F$11:F429)&gt;0)*ROW($F$11:F429),0)),
_xlpm.テスト内容数, COUNTA(INDIRECT("J"&amp;_xlpm.直近で観点が空でないセルの行番号):J429),
_xlpm.テスト内容数_空なら1, IF(_xlpm.テスト内容数=0,1,_xlpm.テスト内容数),
_xlpm.詳細項目数&amp;"-"&amp;_xlpm.観点数&amp;"-"&amp;_xlpm.テスト内容数_空なら1
)</f>
        <v>113-1-1</v>
      </c>
      <c r="B429" s="235" t="s">
        <v>595</v>
      </c>
      <c r="C429" s="215" t="s">
        <v>596</v>
      </c>
      <c r="D429" s="215" t="s">
        <v>467</v>
      </c>
      <c r="E429" s="215" t="s">
        <v>467</v>
      </c>
      <c r="F429" s="142" t="s">
        <v>597</v>
      </c>
      <c r="G429" s="203" t="s">
        <v>502</v>
      </c>
      <c r="H429" s="197"/>
      <c r="I429" s="197"/>
      <c r="J429" s="112"/>
      <c r="K429" s="221"/>
      <c r="L429" s="222"/>
      <c r="M429" s="223"/>
      <c r="N429" s="224"/>
      <c r="O429" s="224"/>
      <c r="P429" s="224"/>
      <c r="Q429" s="224"/>
      <c r="R429" s="224"/>
    </row>
    <row r="430" spans="1:18" s="37" customFormat="1" ht="22">
      <c r="A430" s="74" t="str" cm="1">
        <f t="array" aca="1" ref="A430" ca="1">_xlfn.LET(
_xlpm.詳細項目数, COUNTA($E$11:E430),
_xlpm.直近で詳細項目が空でないセルの行番号, MAX(INDEX((LEN($E$11:E430)&gt;0)*ROW($E$11:E430),0)),
_xlpm.観点数, COUNTA(INDIRECT("F"&amp;_xlpm.直近で詳細項目が空でないセルの行番号):F430),
_xlpm.直近で観点が空でないセルの行番号, MAX(INDEX((LEN($F$11:F430)&gt;0)*ROW($F$11:F430),0)),
_xlpm.テスト内容数, COUNTA(INDIRECT("J"&amp;_xlpm.直近で観点が空でないセルの行番号):J430),
_xlpm.テスト内容数_空なら1, IF(_xlpm.テスト内容数=0,1,_xlpm.テスト内容数),
_xlpm.詳細項目数&amp;"-"&amp;_xlpm.観点数&amp;"-"&amp;_xlpm.テスト内容数_空なら1
)</f>
        <v>113-2-1</v>
      </c>
      <c r="B430" s="242"/>
      <c r="C430" s="213"/>
      <c r="D430" s="213"/>
      <c r="E430" s="218"/>
      <c r="F430" s="196" t="s">
        <v>598</v>
      </c>
      <c r="G430" s="203" t="s">
        <v>502</v>
      </c>
      <c r="H430" s="197"/>
      <c r="I430" s="197"/>
      <c r="J430" s="112"/>
      <c r="K430" s="131"/>
      <c r="L430" s="208"/>
      <c r="M430" s="198"/>
      <c r="N430" s="199"/>
      <c r="O430" s="199"/>
      <c r="P430" s="199"/>
      <c r="Q430" s="199"/>
      <c r="R430" s="199"/>
    </row>
    <row r="431" spans="1:18" s="37" customFormat="1" ht="22">
      <c r="A431" s="74" t="str" cm="1">
        <f t="array" aca="1" ref="A431" ca="1">_xlfn.LET(
_xlpm.詳細項目数, COUNTA($E$11:E431),
_xlpm.直近で詳細項目が空でないセルの行番号, MAX(INDEX((LEN($E$11:E431)&gt;0)*ROW($E$11:E431),0)),
_xlpm.観点数, COUNTA(INDIRECT("F"&amp;_xlpm.直近で詳細項目が空でないセルの行番号):F431),
_xlpm.直近で観点が空でないセルの行番号, MAX(INDEX((LEN($F$11:F431)&gt;0)*ROW($F$11:F431),0)),
_xlpm.テスト内容数, COUNTA(INDIRECT("J"&amp;_xlpm.直近で観点が空でないセルの行番号):J431),
_xlpm.テスト内容数_空なら1, IF(_xlpm.テスト内容数=0,1,_xlpm.テスト内容数),
_xlpm.詳細項目数&amp;"-"&amp;_xlpm.観点数&amp;"-"&amp;_xlpm.テスト内容数_空なら1
)</f>
        <v>113-3-1</v>
      </c>
      <c r="B431" s="242"/>
      <c r="C431" s="213"/>
      <c r="D431" s="213"/>
      <c r="E431" s="218"/>
      <c r="F431" s="196" t="s">
        <v>599</v>
      </c>
      <c r="G431" s="203" t="s">
        <v>502</v>
      </c>
      <c r="H431" s="214"/>
      <c r="I431" s="214"/>
      <c r="J431" s="233"/>
      <c r="K431" s="233"/>
      <c r="L431" s="208"/>
      <c r="M431" s="198"/>
      <c r="N431" s="199"/>
      <c r="O431" s="199"/>
      <c r="P431" s="199"/>
      <c r="Q431" s="199"/>
      <c r="R431" s="199"/>
    </row>
    <row r="432" spans="1:18" s="37" customFormat="1" ht="22">
      <c r="A432" s="74" t="str" cm="1">
        <f t="array" aca="1" ref="A432" ca="1">_xlfn.LET(
_xlpm.詳細項目数, COUNTA($E$11:E432),
_xlpm.直近で詳細項目が空でないセルの行番号, MAX(INDEX((LEN($E$11:E432)&gt;0)*ROW($E$11:E432),0)),
_xlpm.観点数, COUNTA(INDIRECT("F"&amp;_xlpm.直近で詳細項目が空でないセルの行番号):F432),
_xlpm.直近で観点が空でないセルの行番号, MAX(INDEX((LEN($F$11:F432)&gt;0)*ROW($F$11:F432),0)),
_xlpm.テスト内容数, COUNTA(INDIRECT("J"&amp;_xlpm.直近で観点が空でないセルの行番号):J432),
_xlpm.テスト内容数_空なら1, IF(_xlpm.テスト内容数=0,1,_xlpm.テスト内容数),
_xlpm.詳細項目数&amp;"-"&amp;_xlpm.観点数&amp;"-"&amp;_xlpm.テスト内容数_空なら1
)</f>
        <v>113-4-1</v>
      </c>
      <c r="B432" s="242"/>
      <c r="C432" s="213"/>
      <c r="D432" s="213"/>
      <c r="E432" s="218"/>
      <c r="F432" s="196" t="s">
        <v>600</v>
      </c>
      <c r="G432" s="203" t="s">
        <v>502</v>
      </c>
      <c r="H432" s="214"/>
      <c r="I432" s="214"/>
      <c r="J432" s="233"/>
      <c r="K432" s="233"/>
      <c r="L432" s="208"/>
      <c r="M432" s="198"/>
      <c r="N432" s="199"/>
      <c r="O432" s="199"/>
      <c r="P432" s="199"/>
      <c r="Q432" s="199"/>
      <c r="R432" s="199"/>
    </row>
    <row r="433" spans="1:18" s="37" customFormat="1" ht="22">
      <c r="A433" s="74" t="str" cm="1">
        <f t="array" aca="1" ref="A433" ca="1">_xlfn.LET(
_xlpm.詳細項目数, COUNTA($E$11:E433),
_xlpm.直近で詳細項目が空でないセルの行番号, MAX(INDEX((LEN($E$11:E433)&gt;0)*ROW($E$11:E433),0)),
_xlpm.観点数, COUNTA(INDIRECT("F"&amp;_xlpm.直近で詳細項目が空でないセルの行番号):F433),
_xlpm.直近で観点が空でないセルの行番号, MAX(INDEX((LEN($F$11:F433)&gt;0)*ROW($F$11:F433),0)),
_xlpm.テスト内容数, COUNTA(INDIRECT("J"&amp;_xlpm.直近で観点が空でないセルの行番号):J433),
_xlpm.テスト内容数_空なら1, IF(_xlpm.テスト内容数=0,1,_xlpm.テスト内容数),
_xlpm.詳細項目数&amp;"-"&amp;_xlpm.観点数&amp;"-"&amp;_xlpm.テスト内容数_空なら1
)</f>
        <v>113-5-1</v>
      </c>
      <c r="B433" s="242"/>
      <c r="C433" s="213"/>
      <c r="D433" s="213"/>
      <c r="E433" s="218"/>
      <c r="F433" s="196" t="s">
        <v>601</v>
      </c>
      <c r="G433" s="196" t="s">
        <v>602</v>
      </c>
      <c r="H433" s="197"/>
      <c r="I433" s="197"/>
      <c r="J433" s="112"/>
      <c r="K433" s="131"/>
      <c r="L433" s="208"/>
      <c r="M433" s="198"/>
      <c r="N433" s="199"/>
      <c r="O433" s="199"/>
      <c r="P433" s="199"/>
      <c r="Q433" s="199"/>
      <c r="R433" s="199"/>
    </row>
    <row r="434" spans="1:18" s="37" customFormat="1">
      <c r="A434" s="74" t="str" cm="1">
        <f t="array" aca="1" ref="A434" ca="1">_xlfn.LET(
_xlpm.詳細項目数, COUNTA($E$11:E434),
_xlpm.直近で詳細項目が空でないセルの行番号, MAX(INDEX((LEN($E$11:E434)&gt;0)*ROW($E$11:E434),0)),
_xlpm.観点数, COUNTA(INDIRECT("F"&amp;_xlpm.直近で詳細項目が空でないセルの行番号):F434),
_xlpm.直近で観点が空でないセルの行番号, MAX(INDEX((LEN($F$11:F434)&gt;0)*ROW($F$11:F434),0)),
_xlpm.テスト内容数, COUNTA(INDIRECT("J"&amp;_xlpm.直近で観点が空でないセルの行番号):J434),
_xlpm.テスト内容数_空なら1, IF(_xlpm.テスト内容数=0,1,_xlpm.テスト内容数),
_xlpm.詳細項目数&amp;"-"&amp;_xlpm.観点数&amp;"-"&amp;_xlpm.テスト内容数_空なら1
)</f>
        <v>114-1-1</v>
      </c>
      <c r="B434" s="242"/>
      <c r="C434" s="212"/>
      <c r="D434" s="215" t="s">
        <v>603</v>
      </c>
      <c r="E434" s="225" t="s">
        <v>38</v>
      </c>
      <c r="F434" s="196" t="s">
        <v>604</v>
      </c>
      <c r="G434" s="203" t="s">
        <v>502</v>
      </c>
      <c r="H434" s="84"/>
      <c r="I434" s="84"/>
      <c r="J434" s="197"/>
      <c r="K434" s="131"/>
      <c r="L434" s="208"/>
      <c r="M434" s="198"/>
      <c r="N434" s="199"/>
      <c r="O434" s="199"/>
      <c r="P434" s="199"/>
      <c r="Q434" s="199"/>
      <c r="R434" s="199"/>
    </row>
    <row r="435" spans="1:18" s="37" customFormat="1">
      <c r="A435" s="74" t="str" cm="1">
        <f t="array" aca="1" ref="A435" ca="1">_xlfn.LET(
_xlpm.詳細項目数, COUNTA($E$11:E435),
_xlpm.直近で詳細項目が空でないセルの行番号, MAX(INDEX((LEN($E$11:E435)&gt;0)*ROW($E$11:E435),0)),
_xlpm.観点数, COUNTA(INDIRECT("F"&amp;_xlpm.直近で詳細項目が空でないセルの行番号):F435),
_xlpm.直近で観点が空でないセルの行番号, MAX(INDEX((LEN($F$11:F435)&gt;0)*ROW($F$11:F435),0)),
_xlpm.テスト内容数, COUNTA(INDIRECT("J"&amp;_xlpm.直近で観点が空でないセルの行番号):J435),
_xlpm.テスト内容数_空なら1, IF(_xlpm.テスト内容数=0,1,_xlpm.テスト内容数),
_xlpm.詳細項目数&amp;"-"&amp;_xlpm.観点数&amp;"-"&amp;_xlpm.テスト内容数_空なら1
)</f>
        <v>114-2-1</v>
      </c>
      <c r="B435" s="242"/>
      <c r="C435" s="213"/>
      <c r="D435" s="213"/>
      <c r="E435" s="218"/>
      <c r="F435" s="196" t="s">
        <v>605</v>
      </c>
      <c r="G435" s="203" t="s">
        <v>502</v>
      </c>
      <c r="H435" s="197"/>
      <c r="I435" s="197"/>
      <c r="J435" s="84"/>
      <c r="K435" s="131"/>
      <c r="L435" s="208"/>
      <c r="M435" s="198"/>
      <c r="N435" s="199"/>
      <c r="O435" s="199"/>
      <c r="P435" s="199"/>
      <c r="Q435" s="199"/>
      <c r="R435" s="199"/>
    </row>
    <row r="436" spans="1:18" s="37" customFormat="1" ht="33">
      <c r="A436" s="74" t="str" cm="1">
        <f t="array" aca="1" ref="A436" ca="1">_xlfn.LET(
_xlpm.詳細項目数, COUNTA($E$11:E436),
_xlpm.直近で詳細項目が空でないセルの行番号, MAX(INDEX((LEN($E$11:E436)&gt;0)*ROW($E$11:E436),0)),
_xlpm.観点数, COUNTA(INDIRECT("F"&amp;_xlpm.直近で詳細項目が空でないセルの行番号):F436),
_xlpm.直近で観点が空でないセルの行番号, MAX(INDEX((LEN($F$11:F436)&gt;0)*ROW($F$11:F436),0)),
_xlpm.テスト内容数, COUNTA(INDIRECT("J"&amp;_xlpm.直近で観点が空でないセルの行番号):J436),
_xlpm.テスト内容数_空なら1, IF(_xlpm.テスト内容数=0,1,_xlpm.テスト内容数),
_xlpm.詳細項目数&amp;"-"&amp;_xlpm.観点数&amp;"-"&amp;_xlpm.テスト内容数_空なら1
)</f>
        <v>114-3-1</v>
      </c>
      <c r="B436" s="242"/>
      <c r="C436" s="213"/>
      <c r="D436" s="213"/>
      <c r="E436" s="218"/>
      <c r="F436" s="196" t="s">
        <v>606</v>
      </c>
      <c r="G436" s="196" t="s">
        <v>607</v>
      </c>
      <c r="H436" s="197"/>
      <c r="I436" s="197"/>
      <c r="J436" s="112"/>
      <c r="K436" s="131"/>
      <c r="L436" s="208"/>
      <c r="M436" s="198"/>
      <c r="N436" s="199"/>
      <c r="O436" s="199"/>
      <c r="P436" s="199"/>
      <c r="Q436" s="199"/>
      <c r="R436" s="199"/>
    </row>
    <row r="437" spans="1:18" s="37" customFormat="1" ht="22">
      <c r="A437" s="74" t="str" cm="1">
        <f t="array" aca="1" ref="A437" ca="1">_xlfn.LET(
_xlpm.詳細項目数, COUNTA($E$11:E437),
_xlpm.直近で詳細項目が空でないセルの行番号, MAX(INDEX((LEN($E$11:E437)&gt;0)*ROW($E$11:E437),0)),
_xlpm.観点数, COUNTA(INDIRECT("F"&amp;_xlpm.直近で詳細項目が空でないセルの行番号):F437),
_xlpm.直近で観点が空でないセルの行番号, MAX(INDEX((LEN($F$11:F437)&gt;0)*ROW($F$11:F437),0)),
_xlpm.テスト内容数, COUNTA(INDIRECT("J"&amp;_xlpm.直近で観点が空でないセルの行番号):J437),
_xlpm.テスト内容数_空なら1, IF(_xlpm.テスト内容数=0,1,_xlpm.テスト内容数),
_xlpm.詳細項目数&amp;"-"&amp;_xlpm.観点数&amp;"-"&amp;_xlpm.テスト内容数_空なら1
)</f>
        <v>114-4-1</v>
      </c>
      <c r="B437" s="242"/>
      <c r="C437" s="213"/>
      <c r="D437" s="213"/>
      <c r="E437" s="218"/>
      <c r="F437" s="196" t="s">
        <v>608</v>
      </c>
      <c r="G437" s="203" t="s">
        <v>502</v>
      </c>
      <c r="H437" s="84"/>
      <c r="I437" s="84"/>
      <c r="J437" s="84"/>
      <c r="K437" s="112"/>
      <c r="L437" s="198"/>
      <c r="M437" s="198"/>
      <c r="N437" s="199"/>
      <c r="O437" s="199"/>
      <c r="P437" s="199"/>
      <c r="Q437" s="199"/>
      <c r="R437" s="199"/>
    </row>
    <row r="438" spans="1:18" s="37" customFormat="1">
      <c r="A438" s="74" t="str" cm="1">
        <f t="array" aca="1" ref="A438" ca="1">_xlfn.LET(
_xlpm.詳細項目数, COUNTA($E$11:E438),
_xlpm.直近で詳細項目が空でないセルの行番号, MAX(INDEX((LEN($E$11:E438)&gt;0)*ROW($E$11:E438),0)),
_xlpm.観点数, COUNTA(INDIRECT("F"&amp;_xlpm.直近で詳細項目が空でないセルの行番号):F438),
_xlpm.直近で観点が空でないセルの行番号, MAX(INDEX((LEN($F$11:F438)&gt;0)*ROW($F$11:F438),0)),
_xlpm.テスト内容数, COUNTA(INDIRECT("J"&amp;_xlpm.直近で観点が空でないセルの行番号):J438),
_xlpm.テスト内容数_空なら1, IF(_xlpm.テスト内容数=0,1,_xlpm.テスト内容数),
_xlpm.詳細項目数&amp;"-"&amp;_xlpm.観点数&amp;"-"&amp;_xlpm.テスト内容数_空なら1
)</f>
        <v>114-5-1</v>
      </c>
      <c r="B438" s="242"/>
      <c r="C438" s="216"/>
      <c r="D438" s="216"/>
      <c r="E438" s="219"/>
      <c r="F438" s="226" t="s">
        <v>609</v>
      </c>
      <c r="G438" s="203" t="s">
        <v>502</v>
      </c>
      <c r="H438" s="197"/>
      <c r="I438" s="197"/>
      <c r="J438" s="131"/>
      <c r="K438" s="131"/>
      <c r="L438" s="198"/>
      <c r="M438" s="198"/>
      <c r="N438" s="199"/>
      <c r="O438" s="199"/>
      <c r="P438" s="199"/>
      <c r="Q438" s="199"/>
      <c r="R438" s="199"/>
    </row>
    <row r="439" spans="1:18" s="37" customFormat="1" ht="22">
      <c r="A439" s="74" t="str" cm="1">
        <f t="array" aca="1" ref="A439" ca="1">_xlfn.LET(
_xlpm.詳細項目数, COUNTA($E$11:E439),
_xlpm.直近で詳細項目が空でないセルの行番号, MAX(INDEX((LEN($E$11:E439)&gt;0)*ROW($E$11:E439),0)),
_xlpm.観点数, COUNTA(INDIRECT("F"&amp;_xlpm.直近で詳細項目が空でないセルの行番号):F439),
_xlpm.直近で観点が空でないセルの行番号, MAX(INDEX((LEN($F$11:F439)&gt;0)*ROW($F$11:F439),0)),
_xlpm.テスト内容数, COUNTA(INDIRECT("J"&amp;_xlpm.直近で観点が空でないセルの行番号):J439),
_xlpm.テスト内容数_空なら1, IF(_xlpm.テスト内容数=0,1,_xlpm.テスト内容数),
_xlpm.詳細項目数&amp;"-"&amp;_xlpm.観点数&amp;"-"&amp;_xlpm.テスト内容数_空なら1
)</f>
        <v>115-1-1</v>
      </c>
      <c r="B439" s="195"/>
      <c r="C439" s="194" t="s">
        <v>610</v>
      </c>
      <c r="D439" s="181" t="s">
        <v>611</v>
      </c>
      <c r="E439" s="183" t="s">
        <v>38</v>
      </c>
      <c r="F439" s="200" t="s">
        <v>612</v>
      </c>
      <c r="G439" s="200"/>
      <c r="H439" s="93" t="s">
        <v>633</v>
      </c>
      <c r="I439" s="93" t="s">
        <v>715</v>
      </c>
      <c r="J439" s="93" t="s">
        <v>823</v>
      </c>
      <c r="K439" s="200" t="s">
        <v>716</v>
      </c>
      <c r="L439" s="99" t="s">
        <v>635</v>
      </c>
      <c r="M439" s="95">
        <v>2</v>
      </c>
      <c r="N439" s="202"/>
      <c r="O439" s="202"/>
      <c r="P439" s="202"/>
      <c r="Q439" s="202"/>
      <c r="R439" s="202"/>
    </row>
    <row r="440" spans="1:18" s="37" customFormat="1" ht="22">
      <c r="A440" s="74" t="str" cm="1">
        <f t="array" aca="1" ref="A440" ca="1">_xlfn.LET(
_xlpm.詳細項目数, COUNTA($E$11:E440),
_xlpm.直近で詳細項目が空でないセルの行番号, MAX(INDEX((LEN($E$11:E440)&gt;0)*ROW($E$11:E440),0)),
_xlpm.観点数, COUNTA(INDIRECT("F"&amp;_xlpm.直近で詳細項目が空でないセルの行番号):F440),
_xlpm.直近で観点が空でないセルの行番号, MAX(INDEX((LEN($F$11:F440)&gt;0)*ROW($F$11:F440),0)),
_xlpm.テスト内容数, COUNTA(INDIRECT("J"&amp;_xlpm.直近で観点が空でないセルの行番号):J440),
_xlpm.テスト内容数_空なら1, IF(_xlpm.テスト内容数=0,1,_xlpm.テスト内容数),
_xlpm.詳細項目数&amp;"-"&amp;_xlpm.観点数&amp;"-"&amp;_xlpm.テスト内容数_空なら1
)</f>
        <v>115-2-1</v>
      </c>
      <c r="B440" s="242"/>
      <c r="C440" s="242"/>
      <c r="D440" s="228"/>
      <c r="E440" s="229"/>
      <c r="F440" s="203" t="s">
        <v>613</v>
      </c>
      <c r="G440" s="203" t="s">
        <v>502</v>
      </c>
      <c r="H440" s="84"/>
      <c r="I440" s="84"/>
      <c r="J440" s="203"/>
      <c r="K440" s="203"/>
      <c r="L440" s="198"/>
      <c r="M440" s="205"/>
      <c r="N440" s="206"/>
      <c r="O440" s="206"/>
      <c r="P440" s="206"/>
      <c r="Q440" s="206"/>
      <c r="R440" s="206"/>
    </row>
    <row r="441" spans="1:18" s="37" customFormat="1" ht="22">
      <c r="A441" s="74" t="str" cm="1">
        <f t="array" aca="1" ref="A441" ca="1">_xlfn.LET(
_xlpm.詳細項目数, COUNTA($E$11:E441),
_xlpm.直近で詳細項目が空でないセルの行番号, MAX(INDEX((LEN($E$11:E441)&gt;0)*ROW($E$11:E441),0)),
_xlpm.観点数, COUNTA(INDIRECT("F"&amp;_xlpm.直近で詳細項目が空でないセルの行番号):F441),
_xlpm.直近で観点が空でないセルの行番号, MAX(INDEX((LEN($F$11:F441)&gt;0)*ROW($F$11:F441),0)),
_xlpm.テスト内容数, COUNTA(INDIRECT("J"&amp;_xlpm.直近で観点が空でないセルの行番号):J441),
_xlpm.テスト内容数_空なら1, IF(_xlpm.テスト内容数=0,1,_xlpm.テスト内容数),
_xlpm.詳細項目数&amp;"-"&amp;_xlpm.観点数&amp;"-"&amp;_xlpm.テスト内容数_空なら1
)</f>
        <v>115-3-1</v>
      </c>
      <c r="B441" s="242"/>
      <c r="C441" s="242"/>
      <c r="D441" s="228"/>
      <c r="E441" s="229"/>
      <c r="F441" s="200" t="s">
        <v>614</v>
      </c>
      <c r="G441" s="200"/>
      <c r="H441" s="93" t="s">
        <v>633</v>
      </c>
      <c r="I441" s="93" t="s">
        <v>719</v>
      </c>
      <c r="J441" s="93" t="s">
        <v>824</v>
      </c>
      <c r="K441" s="95" t="s">
        <v>825</v>
      </c>
      <c r="L441" s="99" t="s">
        <v>635</v>
      </c>
      <c r="M441" s="95">
        <v>2</v>
      </c>
      <c r="N441" s="202"/>
      <c r="O441" s="202"/>
      <c r="P441" s="202"/>
      <c r="Q441" s="202"/>
      <c r="R441" s="202"/>
    </row>
    <row r="442" spans="1:18" s="37" customFormat="1">
      <c r="A442" s="74" t="str" cm="1">
        <f t="array" aca="1" ref="A442" ca="1">_xlfn.LET(
_xlpm.詳細項目数, COUNTA($E$11:E442),
_xlpm.直近で詳細項目が空でないセルの行番号, MAX(INDEX((LEN($E$11:E442)&gt;0)*ROW($E$11:E442),0)),
_xlpm.観点数, COUNTA(INDIRECT("F"&amp;_xlpm.直近で詳細項目が空でないセルの行番号):F442),
_xlpm.直近で観点が空でないセルの行番号, MAX(INDEX((LEN($F$11:F442)&gt;0)*ROW($F$11:F442),0)),
_xlpm.テスト内容数, COUNTA(INDIRECT("J"&amp;_xlpm.直近で観点が空でないセルの行番号):J442),
_xlpm.テスト内容数_空なら1, IF(_xlpm.テスト内容数=0,1,_xlpm.テスト内容数),
_xlpm.詳細項目数&amp;"-"&amp;_xlpm.観点数&amp;"-"&amp;_xlpm.テスト内容数_空なら1
)</f>
        <v>115-4-1</v>
      </c>
      <c r="B442" s="242"/>
      <c r="C442" s="242"/>
      <c r="D442" s="228"/>
      <c r="E442" s="229"/>
      <c r="F442" s="203" t="s">
        <v>615</v>
      </c>
      <c r="G442" s="203" t="s">
        <v>502</v>
      </c>
      <c r="H442" s="197"/>
      <c r="I442" s="197"/>
      <c r="J442" s="84"/>
      <c r="K442" s="204"/>
      <c r="L442" s="198"/>
      <c r="M442" s="205"/>
      <c r="N442" s="206"/>
      <c r="O442" s="206"/>
      <c r="P442" s="206"/>
      <c r="Q442" s="206"/>
      <c r="R442" s="206"/>
    </row>
    <row r="443" spans="1:18" s="37" customFormat="1" ht="22">
      <c r="A443" s="74" t="str" cm="1">
        <f t="array" aca="1" ref="A443" ca="1">_xlfn.LET(
_xlpm.詳細項目数, COUNTA($E$11:E443),
_xlpm.直近で詳細項目が空でないセルの行番号, MAX(INDEX((LEN($E$11:E443)&gt;0)*ROW($E$11:E443),0)),
_xlpm.観点数, COUNTA(INDIRECT("F"&amp;_xlpm.直近で詳細項目が空でないセルの行番号):F443),
_xlpm.直近で観点が空でないセルの行番号, MAX(INDEX((LEN($F$11:F443)&gt;0)*ROW($F$11:F443),0)),
_xlpm.テスト内容数, COUNTA(INDIRECT("J"&amp;_xlpm.直近で観点が空でないセルの行番号):J443),
_xlpm.テスト内容数_空なら1, IF(_xlpm.テスト内容数=0,1,_xlpm.テスト内容数),
_xlpm.詳細項目数&amp;"-"&amp;_xlpm.観点数&amp;"-"&amp;_xlpm.テスト内容数_空なら1
)</f>
        <v>115-5-1</v>
      </c>
      <c r="B443" s="242"/>
      <c r="C443" s="242"/>
      <c r="D443" s="228"/>
      <c r="E443" s="229"/>
      <c r="F443" s="203" t="s">
        <v>616</v>
      </c>
      <c r="G443" s="203" t="s">
        <v>617</v>
      </c>
      <c r="H443" s="197"/>
      <c r="I443" s="197"/>
      <c r="J443" s="126"/>
      <c r="K443" s="204"/>
      <c r="L443" s="210"/>
      <c r="M443" s="205"/>
      <c r="N443" s="206"/>
      <c r="O443" s="206"/>
      <c r="P443" s="206"/>
      <c r="Q443" s="206"/>
      <c r="R443" s="206"/>
    </row>
    <row r="444" spans="1:18" s="37" customFormat="1" ht="33">
      <c r="A444" s="74" t="str" cm="1">
        <f t="array" aca="1" ref="A444" ca="1">_xlfn.LET(
_xlpm.詳細項目数, COUNTA($E$11:E444),
_xlpm.直近で詳細項目が空でないセルの行番号, MAX(INDEX((LEN($E$11:E444)&gt;0)*ROW($E$11:E444),0)),
_xlpm.観点数, COUNTA(INDIRECT("F"&amp;_xlpm.直近で詳細項目が空でないセルの行番号):F444),
_xlpm.直近で観点が空でないセルの行番号, MAX(INDEX((LEN($F$11:F444)&gt;0)*ROW($F$11:F444),0)),
_xlpm.テスト内容数, COUNTA(INDIRECT("J"&amp;_xlpm.直近で観点が空でないセルの行番号):J444),
_xlpm.テスト内容数_空なら1, IF(_xlpm.テスト内容数=0,1,_xlpm.テスト内容数),
_xlpm.詳細項目数&amp;"-"&amp;_xlpm.観点数&amp;"-"&amp;_xlpm.テスト内容数_空なら1
)</f>
        <v>115-6-1</v>
      </c>
      <c r="B444" s="242"/>
      <c r="C444" s="242"/>
      <c r="D444" s="246"/>
      <c r="E444" s="239"/>
      <c r="F444" s="247" t="s">
        <v>618</v>
      </c>
      <c r="G444" s="247"/>
      <c r="H444" s="163" t="s">
        <v>637</v>
      </c>
      <c r="I444" s="163" t="s">
        <v>717</v>
      </c>
      <c r="J444" s="163" t="s">
        <v>822</v>
      </c>
      <c r="K444" s="200" t="s">
        <v>716</v>
      </c>
      <c r="L444" s="99" t="s">
        <v>635</v>
      </c>
      <c r="M444" s="95">
        <v>4</v>
      </c>
      <c r="N444" s="248"/>
      <c r="O444" s="248"/>
      <c r="P444" s="248"/>
      <c r="Q444" s="248"/>
      <c r="R444" s="248"/>
    </row>
    <row r="445" spans="1:18" s="37" customFormat="1" ht="33">
      <c r="A445" s="74" t="str" cm="1">
        <f t="array" aca="1" ref="A445" ca="1">_xlfn.LET(
_xlpm.詳細項目数, COUNTA($E$11:E445),
_xlpm.直近で詳細項目が空でないセルの行番号, MAX(INDEX((LEN($E$11:E445)&gt;0)*ROW($E$11:E445),0)),
_xlpm.観点数, COUNTA(INDIRECT("F"&amp;_xlpm.直近で詳細項目が空でないセルの行番号):F445),
_xlpm.直近で観点が空でないセルの行番号, MAX(INDEX((LEN($F$11:F445)&gt;0)*ROW($F$11:F445),0)),
_xlpm.テスト内容数, COUNTA(INDIRECT("J"&amp;_xlpm.直近で観点が空でないセルの行番号):J445),
_xlpm.テスト内容数_空なら1, IF(_xlpm.テスト内容数=0,1,_xlpm.テスト内容数),
_xlpm.詳細項目数&amp;"-"&amp;_xlpm.観点数&amp;"-"&amp;_xlpm.テスト内容数_空なら1
)</f>
        <v>116-1-1</v>
      </c>
      <c r="B445" s="195"/>
      <c r="C445" s="195"/>
      <c r="D445" s="2" t="s">
        <v>619</v>
      </c>
      <c r="E445" s="183" t="s">
        <v>38</v>
      </c>
      <c r="F445" s="200" t="s">
        <v>620</v>
      </c>
      <c r="G445" s="200"/>
      <c r="H445" s="194" t="s">
        <v>718</v>
      </c>
      <c r="I445" s="194" t="s">
        <v>720</v>
      </c>
      <c r="J445" s="245" t="s">
        <v>821</v>
      </c>
      <c r="K445" s="249" t="s">
        <v>721</v>
      </c>
      <c r="L445" s="209" t="s">
        <v>816</v>
      </c>
      <c r="M445" s="201"/>
      <c r="N445" s="202"/>
      <c r="O445" s="202"/>
      <c r="P445" s="202"/>
      <c r="Q445" s="202"/>
      <c r="R445" s="202"/>
    </row>
    <row r="446" spans="1:18" s="37" customFormat="1" ht="22">
      <c r="A446" s="74" t="str" cm="1">
        <f t="array" aca="1" ref="A446" ca="1">_xlfn.LET(
_xlpm.詳細項目数, COUNTA($E$11:E446),
_xlpm.直近で詳細項目が空でないセルの行番号, MAX(INDEX((LEN($E$11:E446)&gt;0)*ROW($E$11:E446),0)),
_xlpm.観点数, COUNTA(INDIRECT("F"&amp;_xlpm.直近で詳細項目が空でないセルの行番号):F446),
_xlpm.直近で観点が空でないセルの行番号, MAX(INDEX((LEN($F$11:F446)&gt;0)*ROW($F$11:F446),0)),
_xlpm.テスト内容数, COUNTA(INDIRECT("J"&amp;_xlpm.直近で観点が空でないセルの行番号):J446),
_xlpm.テスト内容数_空なら1, IF(_xlpm.テスト内容数=0,1,_xlpm.テスト内容数),
_xlpm.詳細項目数&amp;"-"&amp;_xlpm.観点数&amp;"-"&amp;_xlpm.テスト内容数_空なら1
)</f>
        <v>117-1-1</v>
      </c>
      <c r="B446" s="195"/>
      <c r="C446" s="195"/>
      <c r="D446" s="183" t="s">
        <v>621</v>
      </c>
      <c r="E446" s="183" t="s">
        <v>38</v>
      </c>
      <c r="F446" s="200" t="s">
        <v>622</v>
      </c>
      <c r="G446" s="200"/>
      <c r="H446" s="93" t="s">
        <v>513</v>
      </c>
      <c r="I446" s="92" t="s">
        <v>722</v>
      </c>
      <c r="J446" s="93" t="s">
        <v>819</v>
      </c>
      <c r="K446" s="95" t="s">
        <v>820</v>
      </c>
      <c r="L446" s="99" t="s">
        <v>635</v>
      </c>
      <c r="M446" s="201">
        <v>1</v>
      </c>
      <c r="N446" s="202"/>
      <c r="O446" s="202"/>
      <c r="P446" s="202"/>
      <c r="Q446" s="202"/>
      <c r="R446" s="202"/>
    </row>
    <row r="447" spans="1:18" s="37" customFormat="1" ht="22">
      <c r="A447" s="74" t="str" cm="1">
        <f t="array" aca="1" ref="A447" ca="1">_xlfn.LET(
_xlpm.詳細項目数, COUNTA($E$11:E447),
_xlpm.直近で詳細項目が空でないセルの行番号, MAX(INDEX((LEN($E$11:E447)&gt;0)*ROW($E$11:E447),0)),
_xlpm.観点数, COUNTA(INDIRECT("F"&amp;_xlpm.直近で詳細項目が空でないセルの行番号):F447),
_xlpm.直近で観点が空でないセルの行番号, MAX(INDEX((LEN($F$11:F447)&gt;0)*ROW($F$11:F447),0)),
_xlpm.テスト内容数, COUNTA(INDIRECT("J"&amp;_xlpm.直近で観点が空でないセルの行番号):J447),
_xlpm.テスト内容数_空なら1, IF(_xlpm.テスト内容数=0,1,_xlpm.テスト内容数),
_xlpm.詳細項目数&amp;"-"&amp;_xlpm.観点数&amp;"-"&amp;_xlpm.テスト内容数_空なら1
)</f>
        <v>117-1-2</v>
      </c>
      <c r="B447" s="195"/>
      <c r="C447" s="195"/>
      <c r="D447" s="190"/>
      <c r="E447" s="190"/>
      <c r="F447" s="211"/>
      <c r="G447" s="211"/>
      <c r="H447" s="93" t="s">
        <v>513</v>
      </c>
      <c r="I447" s="92" t="s">
        <v>722</v>
      </c>
      <c r="J447" s="93" t="s">
        <v>818</v>
      </c>
      <c r="K447" s="95" t="s">
        <v>820</v>
      </c>
      <c r="L447" s="164" t="s">
        <v>636</v>
      </c>
      <c r="M447" s="166">
        <v>1</v>
      </c>
      <c r="N447" s="207"/>
      <c r="O447" s="207"/>
      <c r="P447" s="207"/>
      <c r="Q447" s="207"/>
      <c r="R447" s="207"/>
    </row>
    <row r="448" spans="1:18" s="37" customFormat="1" ht="22">
      <c r="A448" s="74" t="str" cm="1">
        <f t="array" aca="1" ref="A448" ca="1">_xlfn.LET(
_xlpm.詳細項目数, COUNTA($E$11:E448),
_xlpm.直近で詳細項目が空でないセルの行番号, MAX(INDEX((LEN($E$11:E448)&gt;0)*ROW($E$11:E448),0)),
_xlpm.観点数, COUNTA(INDIRECT("F"&amp;_xlpm.直近で詳細項目が空でないセルの行番号):F448),
_xlpm.直近で観点が空でないセルの行番号, MAX(INDEX((LEN($F$11:F448)&gt;0)*ROW($F$11:F448),0)),
_xlpm.テスト内容数, COUNTA(INDIRECT("J"&amp;_xlpm.直近で観点が空でないセルの行番号):J448),
_xlpm.テスト内容数_空なら1, IF(_xlpm.テスト内容数=0,1,_xlpm.テスト内容数),
_xlpm.詳細項目数&amp;"-"&amp;_xlpm.観点数&amp;"-"&amp;_xlpm.テスト内容数_空なら1
)</f>
        <v>118-1-1</v>
      </c>
      <c r="B448" s="237"/>
      <c r="C448" s="237"/>
      <c r="D448" s="67" t="s">
        <v>623</v>
      </c>
      <c r="E448" s="67" t="s">
        <v>38</v>
      </c>
      <c r="F448" s="257" t="s">
        <v>624</v>
      </c>
      <c r="G448" s="247"/>
      <c r="H448" s="93" t="s">
        <v>637</v>
      </c>
      <c r="I448" s="194" t="s">
        <v>731</v>
      </c>
      <c r="J448" s="93" t="s">
        <v>817</v>
      </c>
      <c r="K448" s="260" t="s">
        <v>730</v>
      </c>
      <c r="L448" s="209" t="s">
        <v>816</v>
      </c>
      <c r="M448" s="258"/>
      <c r="N448" s="259"/>
      <c r="O448" s="259"/>
      <c r="P448" s="259"/>
      <c r="Q448" s="259"/>
      <c r="R448" s="259"/>
    </row>
    <row r="449" spans="1:18" ht="22">
      <c r="A449" s="74" t="str" cm="1">
        <f t="array" aca="1" ref="A449" ca="1">_xlfn.LET(
_xlpm.詳細項目数, COUNTA($E$11:E449),
_xlpm.直近で詳細項目が空でないセルの行番号, MAX(INDEX((LEN($E$11:E449)&gt;0)*ROW($E$11:E449),0)),
_xlpm.観点数, COUNTA(INDIRECT("F"&amp;_xlpm.直近で詳細項目が空でないセルの行番号):F449),
_xlpm.直近で観点が空でないセルの行番号, MAX(INDEX((LEN($F$11:F449)&gt;0)*ROW($F$11:F449),0)),
_xlpm.テスト内容数, COUNTA(INDIRECT("J"&amp;_xlpm.直近で観点が空でないセルの行番号):J449),
_xlpm.テスト内容数_空なら1, IF(_xlpm.テスト内容数=0,1,_xlpm.テスト内容数),
_xlpm.詳細項目数&amp;"-"&amp;_xlpm.観点数&amp;"-"&amp;_xlpm.テスト内容数_空なら1
)</f>
        <v>119-1-1</v>
      </c>
      <c r="B449" s="213" t="s">
        <v>625</v>
      </c>
      <c r="C449" s="213" t="s">
        <v>626</v>
      </c>
      <c r="D449" s="213" t="s">
        <v>627</v>
      </c>
      <c r="E449" s="213" t="s">
        <v>102</v>
      </c>
      <c r="F449" s="144" t="s">
        <v>628</v>
      </c>
      <c r="G449" s="203" t="s">
        <v>502</v>
      </c>
      <c r="H449" s="112"/>
      <c r="I449" s="112"/>
      <c r="J449" s="125"/>
      <c r="K449" s="125"/>
      <c r="L449" s="125"/>
      <c r="M449" s="112"/>
      <c r="N449" s="112"/>
      <c r="O449" s="112"/>
      <c r="P449" s="123"/>
      <c r="Q449" s="125"/>
      <c r="R449" s="125"/>
    </row>
    <row r="450" spans="1:18" ht="22">
      <c r="A450" s="74" t="str" cm="1">
        <f t="array" aca="1" ref="A450" ca="1">_xlfn.LET(
_xlpm.詳細項目数, COUNTA($E$11:E450),
_xlpm.直近で詳細項目が空でないセルの行番号, MAX(INDEX((LEN($E$11:E450)&gt;0)*ROW($E$11:E450),0)),
_xlpm.観点数, COUNTA(INDIRECT("F"&amp;_xlpm.直近で詳細項目が空でないセルの行番号):F450),
_xlpm.直近で観点が空でないセルの行番号, MAX(INDEX((LEN($F$11:F450)&gt;0)*ROW($F$11:F450),0)),
_xlpm.テスト内容数, COUNTA(INDIRECT("J"&amp;_xlpm.直近で観点が空でないセルの行番号):J450),
_xlpm.テスト内容数_空なら1, IF(_xlpm.テスト内容数=0,1,_xlpm.テスト内容数),
_xlpm.詳細項目数&amp;"-"&amp;_xlpm.観点数&amp;"-"&amp;_xlpm.テスト内容数_空なら1
)</f>
        <v>119-2-1</v>
      </c>
      <c r="B450" s="219"/>
      <c r="C450" s="216"/>
      <c r="D450" s="216"/>
      <c r="E450" s="216"/>
      <c r="F450" s="124" t="s">
        <v>629</v>
      </c>
      <c r="G450" s="203" t="s">
        <v>502</v>
      </c>
      <c r="H450" s="84"/>
      <c r="I450" s="84"/>
      <c r="J450" s="112"/>
      <c r="K450" s="112"/>
      <c r="L450" s="112"/>
      <c r="M450" s="112"/>
      <c r="N450" s="112"/>
      <c r="O450" s="112"/>
      <c r="P450" s="123"/>
      <c r="Q450" s="125"/>
      <c r="R450" s="125"/>
    </row>
  </sheetData>
  <autoFilter ref="A10:R450" xr:uid="{00000000-0001-0000-0300-000000000000}"/>
  <mergeCells count="2">
    <mergeCell ref="B112:B113"/>
    <mergeCell ref="B132:B133"/>
  </mergeCells>
  <phoneticPr fontId="2"/>
  <dataValidations count="1">
    <dataValidation type="list" allowBlank="1" showInputMessage="1" showErrorMessage="1" sqref="P296:P450 P11:Q295" xr:uid="{6A7ECCEB-FA98-4887-9D0E-AA76788FAE18}">
      <formula1>"OK,NG"</formula1>
    </dataValidation>
  </dataValidations>
  <printOptions horizontalCentered="1"/>
  <pageMargins left="0.39370078740157483" right="0.39370078740157483" top="0.39370078740157483" bottom="0.39370078740157483" header="0.19685039370078741" footer="0.19685039370078741"/>
  <pageSetup paperSize="9" scale="48" fitToHeight="0" orientation="landscape" verticalDpi="300" r:id="rId1"/>
  <headerFooter alignWithMargins="0">
    <oddFooter>&amp;C&amp;"MS　明朝,標準"&amp;9- &amp;P -</oddFooter>
  </headerFooter>
  <rowBreaks count="13" manualBreakCount="13">
    <brk id="41" max="17" man="1"/>
    <brk id="77" max="17" man="1"/>
    <brk id="119" max="17" man="1"/>
    <brk id="148" max="17" man="1"/>
    <brk id="182" max="17" man="1"/>
    <brk id="209" max="17" man="1"/>
    <brk id="242" max="17" man="1"/>
    <brk id="278" max="17" man="1"/>
    <brk id="295" max="16383" man="1"/>
    <brk id="330" max="17" man="1"/>
    <brk id="357" max="17" man="1"/>
    <brk id="386" max="17" man="1"/>
    <brk id="428" max="16383" man="1"/>
  </rowBreaks>
  <colBreaks count="1" manualBreakCount="1">
    <brk id="1" max="449" man="1"/>
  </col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
    <pageSetUpPr fitToPage="1"/>
  </sheetPr>
  <dimension ref="A1:Q551"/>
  <sheetViews>
    <sheetView showGridLines="0" view="pageBreakPreview" zoomScaleNormal="100" zoomScaleSheetLayoutView="100" workbookViewId="0">
      <pane ySplit="10" topLeftCell="A11" activePane="bottomLeft" state="frozen"/>
      <selection pane="bottomLeft"/>
    </sheetView>
  </sheetViews>
  <sheetFormatPr defaultColWidth="9" defaultRowHeight="11" outlineLevelCol="1"/>
  <cols>
    <col min="1" max="1" width="8.58203125" style="30" customWidth="1"/>
    <col min="2" max="3" width="10.58203125" style="30" customWidth="1"/>
    <col min="4" max="4" width="15.58203125" style="31" customWidth="1"/>
    <col min="5" max="5" width="18.83203125" style="31" bestFit="1" customWidth="1"/>
    <col min="6" max="6" width="28.08203125" style="121" customWidth="1" outlineLevel="1"/>
    <col min="7" max="7" width="16.33203125" style="30" customWidth="1"/>
    <col min="8" max="8" width="16.33203125" style="30" bestFit="1" customWidth="1"/>
    <col min="9" max="10" width="31" style="30" customWidth="1"/>
    <col min="11" max="11" width="17.25" style="30" bestFit="1" customWidth="1"/>
    <col min="12" max="15" width="8.58203125" style="30" customWidth="1"/>
    <col min="16" max="16384" width="9" style="30"/>
  </cols>
  <sheetData>
    <row r="1" spans="1:17">
      <c r="A1" s="30" t="s">
        <v>72</v>
      </c>
    </row>
    <row r="2" spans="1:17">
      <c r="A2" s="30" t="s">
        <v>20</v>
      </c>
    </row>
    <row r="4" spans="1:17">
      <c r="A4" s="30" t="s">
        <v>81</v>
      </c>
    </row>
    <row r="5" spans="1:17">
      <c r="A5" s="30" t="s">
        <v>736</v>
      </c>
    </row>
    <row r="6" spans="1:17">
      <c r="A6" s="30" t="s">
        <v>737</v>
      </c>
      <c r="N6" s="30" t="s">
        <v>17</v>
      </c>
      <c r="P6" s="30" t="s">
        <v>0</v>
      </c>
    </row>
    <row r="7" spans="1:17">
      <c r="N7" s="30" t="s">
        <v>18</v>
      </c>
      <c r="P7" s="30" t="s">
        <v>1</v>
      </c>
    </row>
    <row r="8" spans="1:17" ht="11.5" thickBot="1">
      <c r="A8" s="32"/>
      <c r="B8" s="32"/>
      <c r="C8" s="32"/>
      <c r="D8" s="33"/>
      <c r="E8" s="33"/>
      <c r="F8" s="122"/>
      <c r="G8" s="32"/>
      <c r="H8" s="32"/>
      <c r="I8" s="32"/>
      <c r="J8" s="32"/>
      <c r="K8" s="32"/>
      <c r="L8" s="32"/>
      <c r="M8" s="32"/>
      <c r="N8" s="32"/>
      <c r="O8" s="32"/>
      <c r="P8" s="32"/>
      <c r="Q8" s="32"/>
    </row>
    <row r="9" spans="1:17" ht="12" customHeight="1" thickTop="1"/>
    <row r="10" spans="1:17" s="37" customFormat="1" ht="10" customHeight="1">
      <c r="A10" s="34" t="s">
        <v>80</v>
      </c>
      <c r="B10" s="34" t="s">
        <v>10</v>
      </c>
      <c r="C10" s="34" t="s">
        <v>11</v>
      </c>
      <c r="D10" s="34" t="s">
        <v>12</v>
      </c>
      <c r="E10" s="34" t="s">
        <v>28</v>
      </c>
      <c r="F10" s="141" t="s">
        <v>91</v>
      </c>
      <c r="G10" s="34" t="s">
        <v>13</v>
      </c>
      <c r="H10" s="34" t="s">
        <v>14</v>
      </c>
      <c r="I10" s="35" t="s">
        <v>3</v>
      </c>
      <c r="J10" s="35" t="s">
        <v>4</v>
      </c>
      <c r="K10" s="35" t="s">
        <v>2</v>
      </c>
      <c r="L10" s="36" t="s">
        <v>15</v>
      </c>
      <c r="M10" s="35" t="s">
        <v>6</v>
      </c>
      <c r="N10" s="35" t="s">
        <v>19</v>
      </c>
      <c r="O10" s="35" t="s">
        <v>7</v>
      </c>
      <c r="P10" s="35" t="s">
        <v>8</v>
      </c>
      <c r="Q10" s="35" t="s">
        <v>9</v>
      </c>
    </row>
    <row r="11" spans="1:17" s="37" customFormat="1" ht="55">
      <c r="A11" s="74" t="str" cm="1">
        <f t="array" aca="1" ref="A11" ca="1">_xlfn.LET(
_xlpm.確認観点2数, COUNTA($D$11:D11),
_xlpm.直近で確認観点2が空でないセルの行番号, MAX(INDEX((LEN($D$11:D11)&gt;0)*ROW($D$11:D11),0)),
_xlpm.確認観点3数, COUNTA(INDIRECT("E"&amp;_xlpm.直近で確認観点2が空でないセルの行番号):E11),
_xlpm.確認観点3数_空なら1,IF(_xlpm.確認観点3数=0,1,_xlpm.確認観点3数),
_xlpm.直近で確認観点3が空でないセルの行番号, MAX(INDEX((LEN($E$11:E11)&gt;0)*ROW($E$11:E11),0),_xlpm.直近で確認観点2が空でないセルの行番号),
_xlpm.テスト内容数, COUNTA(INDIRECT("I"&amp;_xlpm.直近で確認観点3が空でないセルの行番号):I11),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1-1-1</v>
      </c>
      <c r="B11" s="40" t="s">
        <v>29</v>
      </c>
      <c r="C11" s="40" t="s">
        <v>39</v>
      </c>
      <c r="D11" s="41" t="s">
        <v>30</v>
      </c>
      <c r="E11" s="42"/>
      <c r="F11" s="264"/>
      <c r="G11" s="40" t="s">
        <v>738</v>
      </c>
      <c r="H11" s="40" t="s">
        <v>739</v>
      </c>
      <c r="I11" s="40" t="s">
        <v>827</v>
      </c>
      <c r="J11" s="43" t="s">
        <v>836</v>
      </c>
      <c r="K11" s="44"/>
      <c r="L11" s="45"/>
      <c r="M11" s="45"/>
      <c r="N11" s="45"/>
      <c r="O11" s="45"/>
      <c r="P11" s="45"/>
      <c r="Q11" s="45"/>
    </row>
    <row r="12" spans="1:17" s="37" customFormat="1" ht="88">
      <c r="A12" s="74" t="str" cm="1">
        <f t="array" aca="1" ref="A12" ca="1">_xlfn.LET(
_xlpm.確認観点2数, COUNTA($D$11:D12),
_xlpm.直近で確認観点2が空でないセルの行番号, MAX(INDEX((LEN($D$11:D12)&gt;0)*ROW($D$11:D12),0)),
_xlpm.確認観点3数, COUNTA(INDIRECT("E"&amp;_xlpm.直近で確認観点2が空でないセルの行番号):E12),
_xlpm.確認観点3数_空なら1,IF(_xlpm.確認観点3数=0,1,_xlpm.確認観点3数),
_xlpm.直近で確認観点3が空でないセルの行番号, MAX(INDEX((LEN($E$11:E12)&gt;0)*ROW($E$11:E12),0),_xlpm.直近で確認観点2が空でないセルの行番号),
_xlpm.テスト内容数, COUNTA(INDIRECT("I"&amp;_xlpm.直近で確認観点3が空でないセルの行番号):I12),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1-1-2</v>
      </c>
      <c r="B12" s="46"/>
      <c r="C12" s="46"/>
      <c r="D12" s="49"/>
      <c r="E12" s="50"/>
      <c r="F12" s="265"/>
      <c r="G12" s="47"/>
      <c r="H12" s="47"/>
      <c r="I12" s="48" t="s">
        <v>826</v>
      </c>
      <c r="J12" s="48" t="s">
        <v>47</v>
      </c>
      <c r="K12" s="44"/>
      <c r="L12" s="45"/>
      <c r="M12" s="45"/>
      <c r="N12" s="45"/>
      <c r="O12" s="45"/>
      <c r="P12" s="45"/>
      <c r="Q12" s="45"/>
    </row>
    <row r="13" spans="1:17" s="37" customFormat="1" ht="22">
      <c r="A13" s="74" t="str" cm="1">
        <f t="array" aca="1" ref="A13" ca="1">_xlfn.LET(
_xlpm.確認観点2数, COUNTA($D$11:D13),
_xlpm.直近で確認観点2が空でないセルの行番号, MAX(INDEX((LEN($D$11:D13)&gt;0)*ROW($D$11:D13),0)),
_xlpm.確認観点3数, COUNTA(INDIRECT("E"&amp;_xlpm.直近で確認観点2が空でないセルの行番号):E13),
_xlpm.確認観点3数_空なら1,IF(_xlpm.確認観点3数=0,1,_xlpm.確認観点3数),
_xlpm.直近で確認観点3が空でないセルの行番号, MAX(INDEX((LEN($E$11:E13)&gt;0)*ROW($E$11:E13),0),_xlpm.直近で確認観点2が空でないセルの行番号),
_xlpm.テスト内容数, COUNTA(INDIRECT("I"&amp;_xlpm.直近で確認観点3が空でないセルの行番号):I13),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2-1-1</v>
      </c>
      <c r="B13" s="51"/>
      <c r="C13" s="51"/>
      <c r="D13" s="52" t="s">
        <v>31</v>
      </c>
      <c r="E13" s="53"/>
      <c r="F13" s="264"/>
      <c r="G13" s="194" t="s">
        <v>727</v>
      </c>
      <c r="H13" s="194" t="s">
        <v>728</v>
      </c>
      <c r="I13" s="54" t="s">
        <v>830</v>
      </c>
      <c r="J13" s="54" t="s">
        <v>44</v>
      </c>
      <c r="K13" s="55"/>
      <c r="L13" s="56"/>
      <c r="M13" s="56"/>
      <c r="N13" s="56"/>
      <c r="O13" s="56"/>
      <c r="P13" s="56"/>
      <c r="Q13" s="56"/>
    </row>
    <row r="14" spans="1:17" s="37" customFormat="1" ht="22">
      <c r="A14" s="74" t="str" cm="1">
        <f t="array" aca="1" ref="A14" ca="1">_xlfn.LET(
_xlpm.確認観点2数, COUNTA($D$11:D14),
_xlpm.直近で確認観点2が空でないセルの行番号, MAX(INDEX((LEN($D$11:D14)&gt;0)*ROW($D$11:D14),0)),
_xlpm.確認観点3数, COUNTA(INDIRECT("E"&amp;_xlpm.直近で確認観点2が空でないセルの行番号):E14),
_xlpm.確認観点3数_空なら1,IF(_xlpm.確認観点3数=0,1,_xlpm.確認観点3数),
_xlpm.直近で確認観点3が空でないセルの行番号, MAX(INDEX((LEN($E$11:E14)&gt;0)*ROW($E$11:E14),0),_xlpm.直近で確認観点2が空でないセルの行番号),
_xlpm.テスト内容数, COUNTA(INDIRECT("I"&amp;_xlpm.直近で確認観点3が空でないセルの行番号):I14),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2-1-2</v>
      </c>
      <c r="B14" s="51"/>
      <c r="C14" s="51"/>
      <c r="D14" s="57"/>
      <c r="E14" s="58"/>
      <c r="F14" s="265"/>
      <c r="G14" s="47"/>
      <c r="H14" s="47"/>
      <c r="I14" s="54" t="s">
        <v>831</v>
      </c>
      <c r="J14" s="54" t="s">
        <v>45</v>
      </c>
      <c r="K14" s="55"/>
      <c r="L14" s="56"/>
      <c r="M14" s="56"/>
      <c r="N14" s="56"/>
      <c r="O14" s="56"/>
      <c r="P14" s="56"/>
      <c r="Q14" s="56"/>
    </row>
    <row r="15" spans="1:17" s="37" customFormat="1">
      <c r="A15" s="74" t="str" cm="1">
        <f t="array" aca="1" ref="A15" ca="1">_xlfn.LET(
_xlpm.確認観点2数, COUNTA($D$11:D15),
_xlpm.直近で確認観点2が空でないセルの行番号, MAX(INDEX((LEN($D$11:D15)&gt;0)*ROW($D$11:D15),0)),
_xlpm.確認観点3数, COUNTA(INDIRECT("E"&amp;_xlpm.直近で確認観点2が空でないセルの行番号):E15),
_xlpm.確認観点3数_空なら1,IF(_xlpm.確認観点3数=0,1,_xlpm.確認観点3数),
_xlpm.直近で確認観点3が空でないセルの行番号, MAX(INDEX((LEN($E$11:E15)&gt;0)*ROW($E$11:E15),0),_xlpm.直近で確認観点2が空でないセルの行番号),
_xlpm.テスト内容数, COUNTA(INDIRECT("I"&amp;_xlpm.直近で確認観点3が空でないセルの行番号):I15),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3-1-1</v>
      </c>
      <c r="B15" s="51"/>
      <c r="C15" s="51"/>
      <c r="D15" s="250" t="s">
        <v>32</v>
      </c>
      <c r="E15" s="256"/>
      <c r="F15" s="125" t="s">
        <v>729</v>
      </c>
      <c r="G15" s="251"/>
      <c r="H15" s="251"/>
      <c r="I15" s="233"/>
      <c r="J15" s="233"/>
      <c r="K15" s="252"/>
      <c r="L15" s="253"/>
      <c r="M15" s="253"/>
      <c r="N15" s="253"/>
      <c r="O15" s="253"/>
      <c r="P15" s="253"/>
      <c r="Q15" s="253"/>
    </row>
    <row r="16" spans="1:17" s="37" customFormat="1" ht="22">
      <c r="A16" s="74" t="str" cm="1">
        <f t="array" aca="1" ref="A16" ca="1">_xlfn.LET(
_xlpm.確認観点2数, COUNTA($D$11:D16),
_xlpm.直近で確認観点2が空でないセルの行番号, MAX(INDEX((LEN($D$11:D16)&gt;0)*ROW($D$11:D16),0)),
_xlpm.確認観点3数, COUNTA(INDIRECT("E"&amp;_xlpm.直近で確認観点2が空でないセルの行番号):E16),
_xlpm.確認観点3数_空なら1,IF(_xlpm.確認観点3数=0,1,_xlpm.確認観点3数),
_xlpm.直近で確認観点3が空でないセルの行番号, MAX(INDEX((LEN($E$11:E16)&gt;0)*ROW($E$11:E16),0),_xlpm.直近で確認観点2が空でないセルの行番号),
_xlpm.テスト内容数, COUNTA(INDIRECT("I"&amp;_xlpm.直近で確認観点3が空でないセルの行番号):I16),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4-1-1</v>
      </c>
      <c r="B16" s="51"/>
      <c r="C16" s="51"/>
      <c r="D16" s="59" t="s">
        <v>33</v>
      </c>
      <c r="E16" s="60"/>
      <c r="F16" s="165"/>
      <c r="G16" s="194" t="s">
        <v>727</v>
      </c>
      <c r="H16" s="194" t="s">
        <v>728</v>
      </c>
      <c r="I16" s="54" t="s">
        <v>829</v>
      </c>
      <c r="J16" s="54" t="s">
        <v>46</v>
      </c>
      <c r="K16" s="55"/>
      <c r="L16" s="56"/>
      <c r="M16" s="56"/>
      <c r="N16" s="56"/>
      <c r="O16" s="56"/>
      <c r="P16" s="56"/>
      <c r="Q16" s="56"/>
    </row>
    <row r="17" spans="1:17" s="37" customFormat="1" ht="66">
      <c r="A17" s="74" t="str" cm="1">
        <f t="array" aca="1" ref="A17" ca="1">_xlfn.LET(
_xlpm.確認観点2数, COUNTA($D$11:D17),
_xlpm.直近で確認観点2が空でないセルの行番号, MAX(INDEX((LEN($D$11:D17)&gt;0)*ROW($D$11:D17),0)),
_xlpm.確認観点3数, COUNTA(INDIRECT("E"&amp;_xlpm.直近で確認観点2が空でないセルの行番号):E17),
_xlpm.確認観点3数_空なら1,IF(_xlpm.確認観点3数=0,1,_xlpm.確認観点3数),
_xlpm.直近で確認観点3が空でないセルの行番号, MAX(INDEX((LEN($E$11:E17)&gt;0)*ROW($E$11:E17),0),_xlpm.直近で確認観点2が空でないセルの行番号),
_xlpm.テスト内容数, COUNTA(INDIRECT("I"&amp;_xlpm.直近で確認観点3が空でないセルの行番号):I17),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5-1-1</v>
      </c>
      <c r="B17" s="51"/>
      <c r="C17" s="51"/>
      <c r="D17" s="61" t="s">
        <v>34</v>
      </c>
      <c r="E17" s="61" t="s">
        <v>22</v>
      </c>
      <c r="F17" s="165"/>
      <c r="G17" s="194" t="s">
        <v>727</v>
      </c>
      <c r="H17" s="194" t="s">
        <v>728</v>
      </c>
      <c r="I17" s="62" t="s">
        <v>828</v>
      </c>
      <c r="J17" s="43" t="s">
        <v>836</v>
      </c>
      <c r="K17" s="55"/>
      <c r="L17" s="56"/>
      <c r="M17" s="56"/>
      <c r="N17" s="56"/>
      <c r="O17" s="56"/>
      <c r="P17" s="56"/>
      <c r="Q17" s="56"/>
    </row>
    <row r="18" spans="1:17" s="37" customFormat="1">
      <c r="A18" s="74" t="str" cm="1">
        <f t="array" aca="1" ref="A18" ca="1">_xlfn.LET(
_xlpm.確認観点2数, COUNTA($D$11:D18),
_xlpm.直近で確認観点2が空でないセルの行番号, MAX(INDEX((LEN($D$11:D18)&gt;0)*ROW($D$11:D18),0)),
_xlpm.確認観点3数, COUNTA(INDIRECT("E"&amp;_xlpm.直近で確認観点2が空でないセルの行番号):E18),
_xlpm.確認観点3数_空なら1,IF(_xlpm.確認観点3数=0,1,_xlpm.確認観点3数),
_xlpm.直近で確認観点3が空でないセルの行番号, MAX(INDEX((LEN($E$11:E18)&gt;0)*ROW($E$11:E18),0),_xlpm.直近で確認観点2が空でないセルの行番号),
_xlpm.テスト内容数, COUNTA(INDIRECT("I"&amp;_xlpm.直近で確認観点3が空でないセルの行番号):I18),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5-2-1</v>
      </c>
      <c r="B18" s="51"/>
      <c r="C18" s="51"/>
      <c r="D18" s="51"/>
      <c r="E18" s="250" t="s">
        <v>35</v>
      </c>
      <c r="F18" s="125" t="s">
        <v>502</v>
      </c>
      <c r="G18" s="251"/>
      <c r="H18" s="251"/>
      <c r="I18" s="233"/>
      <c r="J18" s="233"/>
      <c r="K18" s="252"/>
      <c r="L18" s="253"/>
      <c r="M18" s="253"/>
      <c r="N18" s="253"/>
      <c r="O18" s="253"/>
      <c r="P18" s="253"/>
      <c r="Q18" s="253"/>
    </row>
    <row r="19" spans="1:17" s="37" customFormat="1" ht="22">
      <c r="A19" s="74" t="str" cm="1">
        <f t="array" aca="1" ref="A19" ca="1">_xlfn.LET(
_xlpm.確認観点2数, COUNTA($D$11:D19),
_xlpm.直近で確認観点2が空でないセルの行番号, MAX(INDEX((LEN($D$11:D19)&gt;0)*ROW($D$11:D19),0)),
_xlpm.確認観点3数, COUNTA(INDIRECT("E"&amp;_xlpm.直近で確認観点2が空でないセルの行番号):E19),
_xlpm.確認観点3数_空なら1,IF(_xlpm.確認観点3数=0,1,_xlpm.確認観点3数),
_xlpm.直近で確認観点3が空でないセルの行番号, MAX(INDEX((LEN($E$11:E19)&gt;0)*ROW($E$11:E19),0),_xlpm.直近で確認観点2が空でないセルの行番号),
_xlpm.テスト内容数, COUNTA(INDIRECT("I"&amp;_xlpm.直近で確認観点3が空でないセルの行番号):I19),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5-3-1</v>
      </c>
      <c r="B19" s="51"/>
      <c r="C19" s="51"/>
      <c r="D19" s="51"/>
      <c r="E19" s="61" t="s">
        <v>36</v>
      </c>
      <c r="F19" s="264"/>
      <c r="G19" s="194" t="s">
        <v>727</v>
      </c>
      <c r="H19" s="194" t="s">
        <v>728</v>
      </c>
      <c r="I19" s="54" t="s">
        <v>832</v>
      </c>
      <c r="J19" s="54" t="s">
        <v>48</v>
      </c>
      <c r="K19" s="55"/>
      <c r="L19" s="56"/>
      <c r="M19" s="56"/>
      <c r="N19" s="56"/>
      <c r="O19" s="56"/>
      <c r="P19" s="56"/>
      <c r="Q19" s="56"/>
    </row>
    <row r="20" spans="1:17" s="37" customFormat="1" ht="33">
      <c r="A20" s="74" t="str" cm="1">
        <f t="array" aca="1" ref="A20" ca="1">_xlfn.LET(
_xlpm.確認観点2数, COUNTA($D$11:D20),
_xlpm.直近で確認観点2が空でないセルの行番号, MAX(INDEX((LEN($D$11:D20)&gt;0)*ROW($D$11:D20),0)),
_xlpm.確認観点3数, COUNTA(INDIRECT("E"&amp;_xlpm.直近で確認観点2が空でないセルの行番号):E20),
_xlpm.確認観点3数_空なら1,IF(_xlpm.確認観点3数=0,1,_xlpm.確認観点3数),
_xlpm.直近で確認観点3が空でないセルの行番号, MAX(INDEX((LEN($E$11:E20)&gt;0)*ROW($E$11:E20),0),_xlpm.直近で確認観点2が空でないセルの行番号),
_xlpm.テスト内容数, COUNTA(INDIRECT("I"&amp;_xlpm.直近で確認観点3が空でないセルの行番号):I20),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5-3-2</v>
      </c>
      <c r="B20" s="51"/>
      <c r="C20" s="51"/>
      <c r="D20" s="51"/>
      <c r="E20" s="63"/>
      <c r="F20" s="265"/>
      <c r="G20" s="47"/>
      <c r="H20" s="47"/>
      <c r="I20" s="54" t="s">
        <v>833</v>
      </c>
      <c r="J20" s="54" t="s">
        <v>49</v>
      </c>
      <c r="K20" s="55"/>
      <c r="L20" s="56"/>
      <c r="M20" s="56"/>
      <c r="N20" s="56"/>
      <c r="O20" s="56"/>
      <c r="P20" s="56"/>
      <c r="Q20" s="56"/>
    </row>
    <row r="21" spans="1:17" s="37" customFormat="1">
      <c r="A21" s="74" t="str" cm="1">
        <f t="array" aca="1" ref="A21" ca="1">_xlfn.LET(
_xlpm.確認観点2数, COUNTA($D$11:D21),
_xlpm.直近で確認観点2が空でないセルの行番号, MAX(INDEX((LEN($D$11:D21)&gt;0)*ROW($D$11:D21),0)),
_xlpm.確認観点3数, COUNTA(INDIRECT("E"&amp;_xlpm.直近で確認観点2が空でないセルの行番号):E21),
_xlpm.確認観点3数_空なら1,IF(_xlpm.確認観点3数=0,1,_xlpm.確認観点3数),
_xlpm.直近で確認観点3が空でないセルの行番号, MAX(INDEX((LEN($E$11:E21)&gt;0)*ROW($E$11:E21),0),_xlpm.直近で確認観点2が空でないセルの行番号),
_xlpm.テスト内容数, COUNTA(INDIRECT("I"&amp;_xlpm.直近で確認観点3が空でないセルの行番号):I21),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5-4-1</v>
      </c>
      <c r="B21" s="51"/>
      <c r="C21" s="51"/>
      <c r="D21" s="63"/>
      <c r="E21" s="250" t="s">
        <v>40</v>
      </c>
      <c r="F21" s="125" t="s">
        <v>502</v>
      </c>
      <c r="G21" s="251"/>
      <c r="H21" s="251"/>
      <c r="I21" s="233"/>
      <c r="J21" s="233"/>
      <c r="K21" s="252"/>
      <c r="L21" s="253"/>
      <c r="M21" s="253"/>
      <c r="N21" s="253"/>
      <c r="O21" s="253"/>
      <c r="P21" s="253"/>
      <c r="Q21" s="253"/>
    </row>
    <row r="22" spans="1:17" s="37" customFormat="1" ht="22">
      <c r="A22" s="74" t="str" cm="1">
        <f t="array" aca="1" ref="A22" ca="1">_xlfn.LET(
_xlpm.確認観点2数, COUNTA($D$11:D22),
_xlpm.直近で確認観点2が空でないセルの行番号, MAX(INDEX((LEN($D$11:D22)&gt;0)*ROW($D$11:D22),0)),
_xlpm.確認観点3数, COUNTA(INDIRECT("E"&amp;_xlpm.直近で確認観点2が空でないセルの行番号):E22),
_xlpm.確認観点3数_空なら1,IF(_xlpm.確認観点3数=0,1,_xlpm.確認観点3数),
_xlpm.直近で確認観点3が空でないセルの行番号, MAX(INDEX((LEN($E$11:E22)&gt;0)*ROW($E$11:E22),0),_xlpm.直近で確認観点2が空でないセルの行番号),
_xlpm.テスト内容数, COUNTA(INDIRECT("I"&amp;_xlpm.直近で確認観点3が空でないセルの行番号):I22),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6-1-1</v>
      </c>
      <c r="B22" s="51"/>
      <c r="C22" s="51"/>
      <c r="D22" s="254" t="s">
        <v>41</v>
      </c>
      <c r="E22" s="255" t="s">
        <v>37</v>
      </c>
      <c r="F22" s="125" t="s">
        <v>502</v>
      </c>
      <c r="G22" s="251"/>
      <c r="H22" s="251"/>
      <c r="I22" s="233"/>
      <c r="J22" s="233"/>
      <c r="K22" s="252"/>
      <c r="L22" s="253"/>
      <c r="M22" s="253"/>
      <c r="N22" s="253"/>
      <c r="O22" s="253"/>
      <c r="P22" s="253"/>
      <c r="Q22" s="253"/>
    </row>
    <row r="23" spans="1:17" s="37" customFormat="1" ht="22">
      <c r="A23" s="74" t="str" cm="1">
        <f t="array" aca="1" ref="A23" ca="1">_xlfn.LET(
_xlpm.確認観点2数, COUNTA($D$11:D23),
_xlpm.直近で確認観点2が空でないセルの行番号, MAX(INDEX((LEN($D$11:D23)&gt;0)*ROW($D$11:D23),0)),
_xlpm.確認観点3数, COUNTA(INDIRECT("E"&amp;_xlpm.直近で確認観点2が空でないセルの行番号):E23),
_xlpm.確認観点3数_空なら1,IF(_xlpm.確認観点3数=0,1,_xlpm.確認観点3数),
_xlpm.直近で確認観点3が空でないセルの行番号, MAX(INDEX((LEN($E$11:E23)&gt;0)*ROW($E$11:E23),0),_xlpm.直近で確認観点2が空でないセルの行番号),
_xlpm.テスト内容数, COUNTA(INDIRECT("I"&amp;_xlpm.直近で確認観点3が空でないセルの行番号):I23),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7-1-1</v>
      </c>
      <c r="B23" s="51"/>
      <c r="C23" s="51"/>
      <c r="D23" s="40" t="s">
        <v>43</v>
      </c>
      <c r="E23" s="40" t="s">
        <v>42</v>
      </c>
      <c r="F23" s="264"/>
      <c r="G23" s="194" t="s">
        <v>727</v>
      </c>
      <c r="H23" s="194" t="s">
        <v>728</v>
      </c>
      <c r="I23" s="54" t="s">
        <v>834</v>
      </c>
      <c r="J23" s="54" t="s">
        <v>50</v>
      </c>
      <c r="K23" s="64"/>
      <c r="L23" s="65"/>
      <c r="M23" s="65"/>
      <c r="N23" s="65"/>
      <c r="O23" s="65"/>
      <c r="P23" s="65"/>
      <c r="Q23" s="65"/>
    </row>
    <row r="24" spans="1:17" s="37" customFormat="1" ht="22">
      <c r="A24" s="74" t="str" cm="1">
        <f t="array" aca="1" ref="A24" ca="1">_xlfn.LET(
_xlpm.確認観点2数, COUNTA($D$11:D24),
_xlpm.直近で確認観点2が空でないセルの行番号, MAX(INDEX((LEN($D$11:D24)&gt;0)*ROW($D$11:D24),0)),
_xlpm.確認観点3数, COUNTA(INDIRECT("E"&amp;_xlpm.直近で確認観点2が空でないセルの行番号):E24),
_xlpm.確認観点3数_空なら1,IF(_xlpm.確認観点3数=0,1,_xlpm.確認観点3数),
_xlpm.直近で確認観点3が空でないセルの行番号, MAX(INDEX((LEN($E$11:E24)&gt;0)*ROW($E$11:E24),0),_xlpm.直近で確認観点2が空でないセルの行番号),
_xlpm.テスト内容数, COUNTA(INDIRECT("I"&amp;_xlpm.直近で確認観点3が空でないセルの行番号):I24),
_xlpm.テスト内容数_空なら1, IF(OR(_xlpm.テスト内容数=0,_xlpm.直近で確認観点2が空でないセルの行番号&gt;_xlpm.直近で確認観点3が空でないセルの行番号),1,_xlpm.テスト内容数),
_xlpm.確認観点2数&amp;"-"&amp;_xlpm.確認観点3数_空なら1&amp;"-"&amp;_xlpm.テスト内容数_空なら1
)</f>
        <v>7-1-2</v>
      </c>
      <c r="B24" s="63"/>
      <c r="C24" s="63"/>
      <c r="D24" s="47"/>
      <c r="E24" s="47"/>
      <c r="F24" s="265"/>
      <c r="G24" s="47"/>
      <c r="H24" s="47"/>
      <c r="I24" s="54" t="s">
        <v>835</v>
      </c>
      <c r="J24" s="54" t="s">
        <v>51</v>
      </c>
      <c r="K24" s="64"/>
      <c r="L24" s="65"/>
      <c r="M24" s="65"/>
      <c r="N24" s="65"/>
      <c r="O24" s="65"/>
      <c r="P24" s="65"/>
      <c r="Q24" s="65"/>
    </row>
    <row r="25" spans="1:17" s="37" customFormat="1">
      <c r="D25" s="66"/>
      <c r="E25" s="66"/>
      <c r="F25" s="277"/>
    </row>
    <row r="26" spans="1:17" s="37" customFormat="1">
      <c r="D26" s="66"/>
      <c r="E26" s="66"/>
      <c r="F26" s="66"/>
    </row>
    <row r="27" spans="1:17" s="37" customFormat="1">
      <c r="D27" s="66"/>
      <c r="E27" s="66"/>
      <c r="F27" s="66"/>
    </row>
    <row r="28" spans="1:17" s="37" customFormat="1">
      <c r="D28" s="66"/>
      <c r="E28" s="66"/>
      <c r="F28" s="66"/>
    </row>
    <row r="29" spans="1:17" s="37" customFormat="1">
      <c r="D29" s="66"/>
      <c r="E29" s="66"/>
      <c r="F29" s="66"/>
    </row>
    <row r="30" spans="1:17" s="37" customFormat="1">
      <c r="D30" s="66"/>
      <c r="E30" s="66"/>
      <c r="F30" s="66"/>
    </row>
    <row r="31" spans="1:17" s="37" customFormat="1">
      <c r="D31" s="66"/>
      <c r="E31" s="66"/>
      <c r="F31" s="66"/>
    </row>
    <row r="32" spans="1:17" s="37" customFormat="1">
      <c r="D32" s="66"/>
      <c r="E32" s="66"/>
      <c r="F32" s="66"/>
    </row>
    <row r="33" spans="4:6" s="37" customFormat="1">
      <c r="D33" s="66"/>
      <c r="E33" s="66"/>
      <c r="F33" s="66"/>
    </row>
    <row r="34" spans="4:6" s="37" customFormat="1">
      <c r="D34" s="66"/>
      <c r="E34" s="66"/>
      <c r="F34" s="66"/>
    </row>
    <row r="35" spans="4:6" s="37" customFormat="1">
      <c r="D35" s="66"/>
      <c r="E35" s="66"/>
      <c r="F35" s="66"/>
    </row>
    <row r="36" spans="4:6" s="37" customFormat="1">
      <c r="D36" s="66"/>
      <c r="E36" s="66"/>
      <c r="F36" s="66"/>
    </row>
    <row r="37" spans="4:6" s="37" customFormat="1">
      <c r="D37" s="66"/>
      <c r="E37" s="66"/>
      <c r="F37" s="66"/>
    </row>
    <row r="38" spans="4:6" s="37" customFormat="1">
      <c r="D38" s="66"/>
      <c r="E38" s="66"/>
      <c r="F38" s="66"/>
    </row>
    <row r="39" spans="4:6" s="37" customFormat="1">
      <c r="D39" s="66"/>
      <c r="E39" s="66"/>
      <c r="F39" s="66"/>
    </row>
    <row r="40" spans="4:6" s="37" customFormat="1">
      <c r="D40" s="66"/>
      <c r="E40" s="66"/>
      <c r="F40" s="66"/>
    </row>
    <row r="41" spans="4:6">
      <c r="F41" s="66"/>
    </row>
    <row r="42" spans="4:6">
      <c r="F42" s="66"/>
    </row>
    <row r="43" spans="4:6">
      <c r="F43" s="66"/>
    </row>
    <row r="44" spans="4:6">
      <c r="F44" s="66"/>
    </row>
    <row r="45" spans="4:6">
      <c r="F45" s="66"/>
    </row>
    <row r="46" spans="4:6">
      <c r="F46" s="66"/>
    </row>
    <row r="47" spans="4:6">
      <c r="F47" s="66"/>
    </row>
    <row r="48" spans="4:6">
      <c r="F48" s="66"/>
    </row>
    <row r="49" spans="6:6">
      <c r="F49" s="66"/>
    </row>
    <row r="50" spans="6:6">
      <c r="F50" s="66"/>
    </row>
    <row r="51" spans="6:6">
      <c r="F51" s="66"/>
    </row>
    <row r="52" spans="6:6">
      <c r="F52" s="66"/>
    </row>
    <row r="53" spans="6:6">
      <c r="F53" s="66"/>
    </row>
    <row r="54" spans="6:6">
      <c r="F54" s="66"/>
    </row>
    <row r="55" spans="6:6">
      <c r="F55" s="66"/>
    </row>
    <row r="56" spans="6:6">
      <c r="F56" s="66"/>
    </row>
    <row r="57" spans="6:6">
      <c r="F57" s="66"/>
    </row>
    <row r="58" spans="6:6">
      <c r="F58" s="66"/>
    </row>
    <row r="59" spans="6:6">
      <c r="F59" s="66"/>
    </row>
    <row r="60" spans="6:6">
      <c r="F60" s="66"/>
    </row>
    <row r="61" spans="6:6">
      <c r="F61" s="66"/>
    </row>
    <row r="62" spans="6:6">
      <c r="F62" s="66"/>
    </row>
    <row r="63" spans="6:6">
      <c r="F63" s="66"/>
    </row>
    <row r="64" spans="6:6">
      <c r="F64" s="66"/>
    </row>
    <row r="65" spans="6:6">
      <c r="F65" s="66"/>
    </row>
    <row r="66" spans="6:6">
      <c r="F66" s="66"/>
    </row>
    <row r="67" spans="6:6">
      <c r="F67" s="66"/>
    </row>
    <row r="68" spans="6:6">
      <c r="F68" s="66"/>
    </row>
    <row r="69" spans="6:6">
      <c r="F69" s="66"/>
    </row>
    <row r="70" spans="6:6">
      <c r="F70" s="66"/>
    </row>
    <row r="71" spans="6:6">
      <c r="F71" s="66"/>
    </row>
    <row r="72" spans="6:6">
      <c r="F72" s="66"/>
    </row>
    <row r="73" spans="6:6">
      <c r="F73" s="66"/>
    </row>
    <row r="74" spans="6:6">
      <c r="F74" s="66"/>
    </row>
    <row r="75" spans="6:6">
      <c r="F75" s="66"/>
    </row>
    <row r="76" spans="6:6">
      <c r="F76" s="66"/>
    </row>
    <row r="77" spans="6:6">
      <c r="F77" s="66"/>
    </row>
    <row r="78" spans="6:6">
      <c r="F78" s="66"/>
    </row>
    <row r="79" spans="6:6">
      <c r="F79" s="66"/>
    </row>
    <row r="80" spans="6:6">
      <c r="F80" s="66"/>
    </row>
    <row r="81" spans="6:6">
      <c r="F81" s="66"/>
    </row>
    <row r="82" spans="6:6">
      <c r="F82" s="66"/>
    </row>
    <row r="83" spans="6:6">
      <c r="F83" s="66"/>
    </row>
    <row r="84" spans="6:6">
      <c r="F84" s="66"/>
    </row>
    <row r="85" spans="6:6">
      <c r="F85" s="66"/>
    </row>
    <row r="86" spans="6:6">
      <c r="F86" s="66"/>
    </row>
    <row r="87" spans="6:6">
      <c r="F87" s="66"/>
    </row>
    <row r="88" spans="6:6">
      <c r="F88" s="66"/>
    </row>
    <row r="89" spans="6:6">
      <c r="F89" s="66"/>
    </row>
    <row r="90" spans="6:6">
      <c r="F90" s="66"/>
    </row>
    <row r="91" spans="6:6">
      <c r="F91" s="66"/>
    </row>
    <row r="92" spans="6:6">
      <c r="F92" s="66"/>
    </row>
    <row r="93" spans="6:6">
      <c r="F93" s="66"/>
    </row>
    <row r="94" spans="6:6">
      <c r="F94" s="66"/>
    </row>
    <row r="95" spans="6:6">
      <c r="F95" s="66"/>
    </row>
    <row r="96" spans="6:6">
      <c r="F96" s="66"/>
    </row>
    <row r="97" spans="6:6">
      <c r="F97" s="66"/>
    </row>
    <row r="98" spans="6:6">
      <c r="F98" s="66"/>
    </row>
    <row r="99" spans="6:6">
      <c r="F99" s="66"/>
    </row>
    <row r="100" spans="6:6">
      <c r="F100" s="66"/>
    </row>
    <row r="101" spans="6:6">
      <c r="F101" s="66"/>
    </row>
    <row r="102" spans="6:6">
      <c r="F102" s="66"/>
    </row>
    <row r="103" spans="6:6">
      <c r="F103" s="66"/>
    </row>
    <row r="104" spans="6:6">
      <c r="F104" s="66"/>
    </row>
    <row r="105" spans="6:6">
      <c r="F105" s="66"/>
    </row>
    <row r="106" spans="6:6">
      <c r="F106" s="66"/>
    </row>
    <row r="107" spans="6:6">
      <c r="F107" s="66"/>
    </row>
    <row r="108" spans="6:6">
      <c r="F108" s="66"/>
    </row>
    <row r="109" spans="6:6">
      <c r="F109" s="66"/>
    </row>
    <row r="110" spans="6:6">
      <c r="F110" s="66"/>
    </row>
    <row r="111" spans="6:6">
      <c r="F111" s="66"/>
    </row>
    <row r="112" spans="6:6">
      <c r="F112" s="66"/>
    </row>
    <row r="113" spans="6:6">
      <c r="F113" s="66"/>
    </row>
    <row r="114" spans="6:6">
      <c r="F114" s="66"/>
    </row>
    <row r="115" spans="6:6">
      <c r="F115" s="66"/>
    </row>
    <row r="116" spans="6:6">
      <c r="F116" s="66"/>
    </row>
    <row r="117" spans="6:6">
      <c r="F117" s="66"/>
    </row>
    <row r="118" spans="6:6">
      <c r="F118" s="66"/>
    </row>
    <row r="119" spans="6:6">
      <c r="F119" s="66"/>
    </row>
    <row r="120" spans="6:6">
      <c r="F120" s="66"/>
    </row>
    <row r="121" spans="6:6">
      <c r="F121" s="66"/>
    </row>
    <row r="122" spans="6:6">
      <c r="F122" s="66"/>
    </row>
    <row r="123" spans="6:6">
      <c r="F123" s="66"/>
    </row>
    <row r="124" spans="6:6">
      <c r="F124" s="66"/>
    </row>
    <row r="125" spans="6:6">
      <c r="F125" s="66"/>
    </row>
    <row r="126" spans="6:6">
      <c r="F126" s="66"/>
    </row>
    <row r="127" spans="6:6">
      <c r="F127" s="66"/>
    </row>
    <row r="128" spans="6:6">
      <c r="F128" s="66"/>
    </row>
    <row r="129" spans="6:6">
      <c r="F129" s="66"/>
    </row>
    <row r="130" spans="6:6">
      <c r="F130" s="66"/>
    </row>
    <row r="131" spans="6:6">
      <c r="F131" s="66"/>
    </row>
    <row r="132" spans="6:6">
      <c r="F132" s="66"/>
    </row>
    <row r="133" spans="6:6">
      <c r="F133" s="66"/>
    </row>
    <row r="134" spans="6:6">
      <c r="F134" s="66"/>
    </row>
    <row r="135" spans="6:6">
      <c r="F135" s="66"/>
    </row>
    <row r="136" spans="6:6">
      <c r="F136" s="66"/>
    </row>
    <row r="137" spans="6:6">
      <c r="F137" s="66"/>
    </row>
    <row r="138" spans="6:6">
      <c r="F138" s="66"/>
    </row>
    <row r="139" spans="6:6">
      <c r="F139" s="66"/>
    </row>
    <row r="140" spans="6:6">
      <c r="F140" s="66"/>
    </row>
    <row r="141" spans="6:6">
      <c r="F141" s="66"/>
    </row>
    <row r="142" spans="6:6">
      <c r="F142" s="66"/>
    </row>
    <row r="143" spans="6:6">
      <c r="F143" s="66"/>
    </row>
    <row r="144" spans="6:6">
      <c r="F144" s="66"/>
    </row>
    <row r="145" spans="6:6">
      <c r="F145" s="66"/>
    </row>
    <row r="146" spans="6:6">
      <c r="F146" s="66"/>
    </row>
    <row r="147" spans="6:6">
      <c r="F147" s="66"/>
    </row>
    <row r="148" spans="6:6">
      <c r="F148" s="66"/>
    </row>
    <row r="149" spans="6:6">
      <c r="F149" s="66"/>
    </row>
    <row r="150" spans="6:6">
      <c r="F150" s="66"/>
    </row>
    <row r="151" spans="6:6">
      <c r="F151" s="66"/>
    </row>
    <row r="152" spans="6:6">
      <c r="F152" s="66"/>
    </row>
    <row r="153" spans="6:6">
      <c r="F153" s="66"/>
    </row>
    <row r="154" spans="6:6">
      <c r="F154" s="66"/>
    </row>
    <row r="155" spans="6:6">
      <c r="F155" s="66"/>
    </row>
    <row r="156" spans="6:6">
      <c r="F156" s="66"/>
    </row>
    <row r="157" spans="6:6">
      <c r="F157" s="66"/>
    </row>
    <row r="158" spans="6:6">
      <c r="F158" s="66"/>
    </row>
    <row r="159" spans="6:6">
      <c r="F159" s="66"/>
    </row>
    <row r="160" spans="6:6">
      <c r="F160" s="66"/>
    </row>
    <row r="161" spans="6:6">
      <c r="F161" s="66"/>
    </row>
    <row r="162" spans="6:6">
      <c r="F162" s="66"/>
    </row>
    <row r="163" spans="6:6">
      <c r="F163" s="66"/>
    </row>
    <row r="164" spans="6:6">
      <c r="F164" s="66"/>
    </row>
    <row r="165" spans="6:6">
      <c r="F165" s="66"/>
    </row>
    <row r="166" spans="6:6">
      <c r="F166" s="66"/>
    </row>
    <row r="167" spans="6:6">
      <c r="F167" s="66"/>
    </row>
    <row r="168" spans="6:6">
      <c r="F168" s="66"/>
    </row>
    <row r="169" spans="6:6">
      <c r="F169" s="66"/>
    </row>
    <row r="170" spans="6:6">
      <c r="F170" s="66"/>
    </row>
    <row r="171" spans="6:6">
      <c r="F171" s="66"/>
    </row>
    <row r="172" spans="6:6">
      <c r="F172" s="66"/>
    </row>
    <row r="173" spans="6:6">
      <c r="F173" s="66"/>
    </row>
    <row r="174" spans="6:6">
      <c r="F174" s="66"/>
    </row>
    <row r="175" spans="6:6">
      <c r="F175" s="66"/>
    </row>
    <row r="176" spans="6:6">
      <c r="F176" s="66"/>
    </row>
    <row r="177" spans="6:6">
      <c r="F177" s="66"/>
    </row>
    <row r="178" spans="6:6">
      <c r="F178" s="66"/>
    </row>
    <row r="179" spans="6:6">
      <c r="F179" s="66"/>
    </row>
    <row r="180" spans="6:6">
      <c r="F180" s="66"/>
    </row>
    <row r="181" spans="6:6">
      <c r="F181" s="66"/>
    </row>
    <row r="182" spans="6:6">
      <c r="F182" s="66"/>
    </row>
    <row r="183" spans="6:6">
      <c r="F183" s="66"/>
    </row>
    <row r="184" spans="6:6">
      <c r="F184" s="66"/>
    </row>
    <row r="185" spans="6:6">
      <c r="F185" s="66"/>
    </row>
    <row r="186" spans="6:6">
      <c r="F186" s="66"/>
    </row>
    <row r="187" spans="6:6">
      <c r="F187" s="66"/>
    </row>
    <row r="188" spans="6:6">
      <c r="F188" s="66"/>
    </row>
    <row r="189" spans="6:6">
      <c r="F189" s="66"/>
    </row>
    <row r="190" spans="6:6">
      <c r="F190" s="66"/>
    </row>
    <row r="191" spans="6:6">
      <c r="F191" s="66"/>
    </row>
    <row r="192" spans="6:6">
      <c r="F192" s="66"/>
    </row>
    <row r="193" spans="6:6">
      <c r="F193" s="66"/>
    </row>
    <row r="194" spans="6:6">
      <c r="F194" s="66"/>
    </row>
    <row r="195" spans="6:6">
      <c r="F195" s="66"/>
    </row>
    <row r="196" spans="6:6">
      <c r="F196" s="66"/>
    </row>
    <row r="197" spans="6:6">
      <c r="F197" s="66"/>
    </row>
    <row r="198" spans="6:6">
      <c r="F198" s="66"/>
    </row>
    <row r="199" spans="6:6">
      <c r="F199" s="66"/>
    </row>
    <row r="200" spans="6:6">
      <c r="F200" s="66"/>
    </row>
    <row r="201" spans="6:6">
      <c r="F201" s="66"/>
    </row>
    <row r="202" spans="6:6">
      <c r="F202" s="66"/>
    </row>
    <row r="203" spans="6:6">
      <c r="F203" s="66"/>
    </row>
    <row r="204" spans="6:6">
      <c r="F204" s="66"/>
    </row>
    <row r="205" spans="6:6">
      <c r="F205" s="66"/>
    </row>
    <row r="206" spans="6:6">
      <c r="F206" s="66"/>
    </row>
    <row r="207" spans="6:6">
      <c r="F207" s="66"/>
    </row>
    <row r="208" spans="6:6">
      <c r="F208" s="66"/>
    </row>
    <row r="209" spans="6:6">
      <c r="F209" s="66"/>
    </row>
    <row r="210" spans="6:6">
      <c r="F210" s="66"/>
    </row>
    <row r="211" spans="6:6">
      <c r="F211" s="66"/>
    </row>
    <row r="212" spans="6:6">
      <c r="F212" s="66"/>
    </row>
    <row r="213" spans="6:6">
      <c r="F213" s="66"/>
    </row>
    <row r="214" spans="6:6">
      <c r="F214" s="66"/>
    </row>
    <row r="215" spans="6:6">
      <c r="F215" s="66"/>
    </row>
    <row r="216" spans="6:6">
      <c r="F216" s="66"/>
    </row>
    <row r="217" spans="6:6">
      <c r="F217" s="66"/>
    </row>
    <row r="218" spans="6:6">
      <c r="F218" s="66"/>
    </row>
    <row r="219" spans="6:6">
      <c r="F219" s="66"/>
    </row>
    <row r="220" spans="6:6">
      <c r="F220" s="66"/>
    </row>
    <row r="221" spans="6:6">
      <c r="F221" s="66"/>
    </row>
    <row r="222" spans="6:6">
      <c r="F222" s="66"/>
    </row>
    <row r="223" spans="6:6">
      <c r="F223" s="66"/>
    </row>
    <row r="224" spans="6:6">
      <c r="F224" s="66"/>
    </row>
    <row r="225" spans="6:6">
      <c r="F225" s="66"/>
    </row>
    <row r="226" spans="6:6">
      <c r="F226" s="66"/>
    </row>
    <row r="227" spans="6:6">
      <c r="F227" s="66"/>
    </row>
    <row r="228" spans="6:6">
      <c r="F228" s="66"/>
    </row>
    <row r="229" spans="6:6">
      <c r="F229" s="66"/>
    </row>
    <row r="230" spans="6:6">
      <c r="F230" s="66"/>
    </row>
    <row r="231" spans="6:6">
      <c r="F231" s="66"/>
    </row>
    <row r="232" spans="6:6">
      <c r="F232" s="66"/>
    </row>
    <row r="233" spans="6:6">
      <c r="F233" s="66"/>
    </row>
    <row r="234" spans="6:6">
      <c r="F234" s="66"/>
    </row>
    <row r="235" spans="6:6">
      <c r="F235" s="66"/>
    </row>
    <row r="236" spans="6:6">
      <c r="F236" s="66"/>
    </row>
    <row r="237" spans="6:6">
      <c r="F237" s="66"/>
    </row>
    <row r="238" spans="6:6">
      <c r="F238" s="66"/>
    </row>
    <row r="239" spans="6:6">
      <c r="F239" s="66"/>
    </row>
    <row r="240" spans="6:6">
      <c r="F240" s="66"/>
    </row>
    <row r="241" spans="6:6">
      <c r="F241" s="66"/>
    </row>
    <row r="242" spans="6:6">
      <c r="F242" s="66"/>
    </row>
    <row r="243" spans="6:6">
      <c r="F243" s="66"/>
    </row>
    <row r="244" spans="6:6">
      <c r="F244" s="66"/>
    </row>
    <row r="245" spans="6:6">
      <c r="F245" s="66"/>
    </row>
    <row r="246" spans="6:6">
      <c r="F246" s="66"/>
    </row>
    <row r="247" spans="6:6">
      <c r="F247" s="66"/>
    </row>
    <row r="248" spans="6:6">
      <c r="F248" s="66"/>
    </row>
    <row r="249" spans="6:6">
      <c r="F249" s="66"/>
    </row>
    <row r="250" spans="6:6">
      <c r="F250" s="66"/>
    </row>
    <row r="251" spans="6:6">
      <c r="F251" s="66"/>
    </row>
    <row r="252" spans="6:6">
      <c r="F252" s="66"/>
    </row>
    <row r="253" spans="6:6">
      <c r="F253" s="66"/>
    </row>
    <row r="254" spans="6:6">
      <c r="F254" s="66"/>
    </row>
    <row r="255" spans="6:6">
      <c r="F255" s="66"/>
    </row>
    <row r="256" spans="6:6">
      <c r="F256" s="66"/>
    </row>
    <row r="257" spans="6:6">
      <c r="F257" s="66"/>
    </row>
    <row r="258" spans="6:6">
      <c r="F258" s="66"/>
    </row>
    <row r="259" spans="6:6">
      <c r="F259" s="66"/>
    </row>
    <row r="260" spans="6:6">
      <c r="F260" s="66"/>
    </row>
    <row r="261" spans="6:6">
      <c r="F261" s="66"/>
    </row>
    <row r="262" spans="6:6">
      <c r="F262" s="66"/>
    </row>
    <row r="263" spans="6:6">
      <c r="F263" s="66"/>
    </row>
    <row r="264" spans="6:6">
      <c r="F264" s="66"/>
    </row>
    <row r="265" spans="6:6">
      <c r="F265" s="66"/>
    </row>
    <row r="266" spans="6:6">
      <c r="F266" s="66"/>
    </row>
    <row r="267" spans="6:6">
      <c r="F267" s="66"/>
    </row>
    <row r="268" spans="6:6">
      <c r="F268" s="66"/>
    </row>
    <row r="269" spans="6:6">
      <c r="F269" s="66"/>
    </row>
    <row r="270" spans="6:6">
      <c r="F270" s="66"/>
    </row>
    <row r="271" spans="6:6">
      <c r="F271" s="66"/>
    </row>
    <row r="272" spans="6:6">
      <c r="F272" s="66"/>
    </row>
    <row r="273" spans="6:6">
      <c r="F273" s="66"/>
    </row>
    <row r="274" spans="6:6">
      <c r="F274" s="66"/>
    </row>
    <row r="275" spans="6:6">
      <c r="F275" s="66"/>
    </row>
    <row r="276" spans="6:6">
      <c r="F276" s="66"/>
    </row>
    <row r="277" spans="6:6">
      <c r="F277" s="66"/>
    </row>
    <row r="278" spans="6:6">
      <c r="F278" s="66"/>
    </row>
    <row r="279" spans="6:6">
      <c r="F279" s="66"/>
    </row>
    <row r="280" spans="6:6">
      <c r="F280" s="66"/>
    </row>
    <row r="281" spans="6:6">
      <c r="F281" s="66"/>
    </row>
    <row r="282" spans="6:6">
      <c r="F282" s="66"/>
    </row>
    <row r="283" spans="6:6">
      <c r="F283" s="66"/>
    </row>
    <row r="284" spans="6:6">
      <c r="F284" s="66"/>
    </row>
    <row r="285" spans="6:6">
      <c r="F285" s="66"/>
    </row>
    <row r="286" spans="6:6">
      <c r="F286" s="66"/>
    </row>
    <row r="287" spans="6:6">
      <c r="F287" s="66"/>
    </row>
    <row r="288" spans="6:6">
      <c r="F288" s="66"/>
    </row>
    <row r="289" spans="6:6">
      <c r="F289" s="66"/>
    </row>
    <row r="290" spans="6:6">
      <c r="F290" s="66"/>
    </row>
    <row r="291" spans="6:6">
      <c r="F291" s="66"/>
    </row>
    <row r="292" spans="6:6">
      <c r="F292" s="66"/>
    </row>
    <row r="293" spans="6:6">
      <c r="F293" s="66"/>
    </row>
    <row r="294" spans="6:6">
      <c r="F294" s="66"/>
    </row>
    <row r="295" spans="6:6">
      <c r="F295" s="66"/>
    </row>
    <row r="296" spans="6:6">
      <c r="F296" s="66"/>
    </row>
    <row r="297" spans="6:6">
      <c r="F297" s="66"/>
    </row>
    <row r="298" spans="6:6">
      <c r="F298" s="66"/>
    </row>
    <row r="299" spans="6:6">
      <c r="F299" s="66"/>
    </row>
    <row r="300" spans="6:6">
      <c r="F300" s="66"/>
    </row>
    <row r="301" spans="6:6">
      <c r="F301" s="66"/>
    </row>
    <row r="302" spans="6:6">
      <c r="F302" s="66"/>
    </row>
    <row r="303" spans="6:6">
      <c r="F303" s="66"/>
    </row>
    <row r="304" spans="6:6">
      <c r="F304" s="66"/>
    </row>
    <row r="305" spans="6:6">
      <c r="F305" s="66"/>
    </row>
    <row r="306" spans="6:6">
      <c r="F306" s="66"/>
    </row>
    <row r="307" spans="6:6">
      <c r="F307" s="66"/>
    </row>
    <row r="308" spans="6:6">
      <c r="F308" s="66"/>
    </row>
    <row r="309" spans="6:6">
      <c r="F309" s="66"/>
    </row>
    <row r="310" spans="6:6">
      <c r="F310" s="66"/>
    </row>
    <row r="311" spans="6:6">
      <c r="F311" s="66"/>
    </row>
    <row r="312" spans="6:6">
      <c r="F312" s="66"/>
    </row>
    <row r="313" spans="6:6">
      <c r="F313" s="66"/>
    </row>
    <row r="314" spans="6:6">
      <c r="F314" s="66"/>
    </row>
    <row r="315" spans="6:6">
      <c r="F315" s="66"/>
    </row>
    <row r="316" spans="6:6">
      <c r="F316" s="66"/>
    </row>
    <row r="317" spans="6:6">
      <c r="F317" s="66"/>
    </row>
    <row r="318" spans="6:6">
      <c r="F318" s="66"/>
    </row>
    <row r="319" spans="6:6">
      <c r="F319" s="66"/>
    </row>
    <row r="320" spans="6:6">
      <c r="F320" s="66"/>
    </row>
    <row r="321" spans="6:6">
      <c r="F321" s="66"/>
    </row>
    <row r="322" spans="6:6">
      <c r="F322" s="66"/>
    </row>
    <row r="323" spans="6:6">
      <c r="F323" s="66"/>
    </row>
    <row r="324" spans="6:6">
      <c r="F324" s="66"/>
    </row>
    <row r="325" spans="6:6">
      <c r="F325" s="66"/>
    </row>
    <row r="326" spans="6:6">
      <c r="F326" s="66"/>
    </row>
    <row r="327" spans="6:6">
      <c r="F327" s="66"/>
    </row>
    <row r="328" spans="6:6">
      <c r="F328" s="66"/>
    </row>
    <row r="329" spans="6:6">
      <c r="F329" s="66"/>
    </row>
    <row r="330" spans="6:6">
      <c r="F330" s="66"/>
    </row>
    <row r="331" spans="6:6">
      <c r="F331" s="66"/>
    </row>
    <row r="332" spans="6:6">
      <c r="F332" s="66"/>
    </row>
    <row r="333" spans="6:6">
      <c r="F333" s="66"/>
    </row>
    <row r="334" spans="6:6">
      <c r="F334" s="66"/>
    </row>
    <row r="335" spans="6:6">
      <c r="F335" s="66"/>
    </row>
    <row r="336" spans="6:6">
      <c r="F336" s="66"/>
    </row>
    <row r="337" spans="6:6">
      <c r="F337" s="66"/>
    </row>
    <row r="338" spans="6:6">
      <c r="F338" s="66"/>
    </row>
    <row r="339" spans="6:6">
      <c r="F339" s="66"/>
    </row>
    <row r="340" spans="6:6">
      <c r="F340" s="66"/>
    </row>
    <row r="341" spans="6:6">
      <c r="F341" s="66"/>
    </row>
    <row r="342" spans="6:6">
      <c r="F342" s="66"/>
    </row>
    <row r="343" spans="6:6">
      <c r="F343" s="66"/>
    </row>
    <row r="344" spans="6:6">
      <c r="F344" s="66"/>
    </row>
    <row r="345" spans="6:6">
      <c r="F345" s="66"/>
    </row>
    <row r="346" spans="6:6">
      <c r="F346" s="66"/>
    </row>
    <row r="347" spans="6:6">
      <c r="F347" s="66"/>
    </row>
    <row r="348" spans="6:6">
      <c r="F348" s="66"/>
    </row>
    <row r="349" spans="6:6">
      <c r="F349" s="66"/>
    </row>
    <row r="350" spans="6:6">
      <c r="F350" s="66"/>
    </row>
    <row r="351" spans="6:6">
      <c r="F351" s="66"/>
    </row>
    <row r="352" spans="6:6">
      <c r="F352" s="66"/>
    </row>
    <row r="353" spans="6:6">
      <c r="F353" s="66"/>
    </row>
    <row r="354" spans="6:6">
      <c r="F354" s="66"/>
    </row>
    <row r="355" spans="6:6">
      <c r="F355" s="66"/>
    </row>
    <row r="356" spans="6:6">
      <c r="F356" s="66"/>
    </row>
    <row r="357" spans="6:6">
      <c r="F357" s="66"/>
    </row>
    <row r="358" spans="6:6">
      <c r="F358" s="66"/>
    </row>
    <row r="359" spans="6:6">
      <c r="F359" s="66"/>
    </row>
    <row r="360" spans="6:6">
      <c r="F360" s="66"/>
    </row>
    <row r="361" spans="6:6">
      <c r="F361" s="66"/>
    </row>
    <row r="362" spans="6:6">
      <c r="F362" s="66"/>
    </row>
    <row r="363" spans="6:6">
      <c r="F363" s="66"/>
    </row>
    <row r="364" spans="6:6">
      <c r="F364" s="66"/>
    </row>
    <row r="365" spans="6:6">
      <c r="F365" s="66"/>
    </row>
    <row r="366" spans="6:6">
      <c r="F366" s="66"/>
    </row>
    <row r="367" spans="6:6">
      <c r="F367" s="66"/>
    </row>
    <row r="368" spans="6:6">
      <c r="F368" s="66"/>
    </row>
    <row r="369" spans="5:6">
      <c r="F369" s="66"/>
    </row>
    <row r="370" spans="5:6">
      <c r="F370" s="66"/>
    </row>
    <row r="371" spans="5:6">
      <c r="F371" s="66"/>
    </row>
    <row r="372" spans="5:6">
      <c r="F372" s="66"/>
    </row>
    <row r="373" spans="5:6">
      <c r="F373" s="66"/>
    </row>
    <row r="374" spans="5:6">
      <c r="E374" s="30"/>
      <c r="F374" s="30"/>
    </row>
    <row r="375" spans="5:6">
      <c r="E375" s="30"/>
      <c r="F375" s="30"/>
    </row>
    <row r="376" spans="5:6">
      <c r="E376" s="30"/>
      <c r="F376" s="30"/>
    </row>
    <row r="377" spans="5:6">
      <c r="E377" s="30"/>
      <c r="F377" s="30"/>
    </row>
    <row r="378" spans="5:6">
      <c r="E378" s="30"/>
      <c r="F378" s="30"/>
    </row>
    <row r="379" spans="5:6">
      <c r="E379" s="30"/>
      <c r="F379" s="30"/>
    </row>
    <row r="380" spans="5:6">
      <c r="E380" s="30"/>
      <c r="F380" s="30"/>
    </row>
    <row r="381" spans="5:6">
      <c r="E381" s="30"/>
      <c r="F381" s="30"/>
    </row>
    <row r="382" spans="5:6">
      <c r="E382" s="30"/>
      <c r="F382" s="30"/>
    </row>
    <row r="383" spans="5:6">
      <c r="E383" s="30"/>
      <c r="F383" s="30"/>
    </row>
    <row r="384" spans="5:6">
      <c r="E384" s="30"/>
      <c r="F384" s="30"/>
    </row>
    <row r="385" spans="5:6">
      <c r="E385" s="30"/>
      <c r="F385" s="30"/>
    </row>
    <row r="386" spans="5:6">
      <c r="E386" s="30"/>
      <c r="F386" s="30"/>
    </row>
    <row r="387" spans="5:6">
      <c r="E387" s="30"/>
      <c r="F387" s="30"/>
    </row>
    <row r="388" spans="5:6">
      <c r="E388" s="30"/>
      <c r="F388" s="30"/>
    </row>
    <row r="389" spans="5:6">
      <c r="E389" s="30"/>
      <c r="F389" s="30"/>
    </row>
    <row r="390" spans="5:6">
      <c r="E390" s="30"/>
      <c r="F390" s="30"/>
    </row>
    <row r="391" spans="5:6">
      <c r="E391" s="30"/>
      <c r="F391" s="30"/>
    </row>
    <row r="392" spans="5:6">
      <c r="E392" s="30"/>
      <c r="F392" s="30"/>
    </row>
    <row r="393" spans="5:6">
      <c r="E393" s="30"/>
      <c r="F393" s="30"/>
    </row>
    <row r="394" spans="5:6">
      <c r="E394" s="30"/>
      <c r="F394" s="30"/>
    </row>
    <row r="395" spans="5:6">
      <c r="E395" s="30"/>
      <c r="F395" s="30"/>
    </row>
    <row r="396" spans="5:6">
      <c r="E396" s="30"/>
      <c r="F396" s="30"/>
    </row>
    <row r="397" spans="5:6">
      <c r="E397" s="30"/>
      <c r="F397" s="30"/>
    </row>
    <row r="398" spans="5:6">
      <c r="E398" s="30"/>
      <c r="F398" s="30"/>
    </row>
    <row r="399" spans="5:6">
      <c r="E399" s="30"/>
      <c r="F399" s="30"/>
    </row>
    <row r="400" spans="5:6">
      <c r="E400" s="30"/>
      <c r="F400" s="30"/>
    </row>
    <row r="401" spans="5:6">
      <c r="E401" s="30"/>
      <c r="F401" s="30"/>
    </row>
    <row r="402" spans="5:6">
      <c r="E402" s="30"/>
      <c r="F402" s="30"/>
    </row>
    <row r="403" spans="5:6">
      <c r="E403" s="30"/>
      <c r="F403" s="30"/>
    </row>
    <row r="404" spans="5:6">
      <c r="E404" s="30"/>
      <c r="F404" s="30"/>
    </row>
    <row r="405" spans="5:6">
      <c r="E405" s="30"/>
      <c r="F405" s="30"/>
    </row>
    <row r="406" spans="5:6">
      <c r="E406" s="30"/>
      <c r="F406" s="30"/>
    </row>
    <row r="407" spans="5:6">
      <c r="E407" s="30"/>
      <c r="F407" s="30"/>
    </row>
    <row r="408" spans="5:6">
      <c r="E408" s="30"/>
      <c r="F408" s="30"/>
    </row>
    <row r="409" spans="5:6">
      <c r="E409" s="30"/>
      <c r="F409" s="30"/>
    </row>
    <row r="410" spans="5:6">
      <c r="E410" s="30"/>
      <c r="F410" s="30"/>
    </row>
    <row r="411" spans="5:6">
      <c r="E411" s="30"/>
      <c r="F411" s="30"/>
    </row>
    <row r="412" spans="5:6">
      <c r="E412" s="30"/>
      <c r="F412" s="30"/>
    </row>
    <row r="413" spans="5:6">
      <c r="E413" s="30"/>
      <c r="F413" s="30"/>
    </row>
    <row r="414" spans="5:6">
      <c r="E414" s="30"/>
      <c r="F414" s="30"/>
    </row>
    <row r="415" spans="5:6">
      <c r="E415" s="30"/>
      <c r="F415" s="30"/>
    </row>
    <row r="416" spans="5:6">
      <c r="E416" s="30"/>
      <c r="F416" s="30"/>
    </row>
    <row r="417" spans="5:6">
      <c r="E417" s="30"/>
      <c r="F417" s="30"/>
    </row>
    <row r="418" spans="5:6">
      <c r="E418" s="30"/>
      <c r="F418" s="30"/>
    </row>
    <row r="419" spans="5:6">
      <c r="E419" s="30"/>
      <c r="F419" s="30"/>
    </row>
    <row r="420" spans="5:6">
      <c r="E420" s="30"/>
      <c r="F420" s="30"/>
    </row>
    <row r="421" spans="5:6">
      <c r="E421" s="30"/>
      <c r="F421" s="30"/>
    </row>
    <row r="422" spans="5:6">
      <c r="E422" s="30"/>
      <c r="F422" s="30"/>
    </row>
    <row r="423" spans="5:6">
      <c r="E423" s="30"/>
      <c r="F423" s="30"/>
    </row>
    <row r="424" spans="5:6">
      <c r="E424" s="30"/>
      <c r="F424" s="30"/>
    </row>
    <row r="425" spans="5:6">
      <c r="E425" s="30"/>
      <c r="F425" s="30"/>
    </row>
    <row r="426" spans="5:6">
      <c r="E426" s="30"/>
      <c r="F426" s="30"/>
    </row>
    <row r="427" spans="5:6">
      <c r="E427" s="30"/>
      <c r="F427" s="30"/>
    </row>
    <row r="428" spans="5:6">
      <c r="E428" s="30"/>
      <c r="F428" s="30"/>
    </row>
    <row r="429" spans="5:6">
      <c r="E429" s="30"/>
      <c r="F429" s="30"/>
    </row>
    <row r="430" spans="5:6">
      <c r="E430" s="30"/>
      <c r="F430" s="30"/>
    </row>
    <row r="431" spans="5:6">
      <c r="E431" s="30"/>
      <c r="F431" s="30"/>
    </row>
    <row r="432" spans="5:6">
      <c r="E432" s="30"/>
      <c r="F432" s="30"/>
    </row>
    <row r="433" spans="5:6">
      <c r="E433" s="30"/>
      <c r="F433" s="30"/>
    </row>
    <row r="434" spans="5:6">
      <c r="E434" s="30"/>
      <c r="F434" s="30"/>
    </row>
    <row r="435" spans="5:6">
      <c r="E435" s="30"/>
      <c r="F435" s="30"/>
    </row>
    <row r="436" spans="5:6">
      <c r="E436" s="30"/>
      <c r="F436" s="30"/>
    </row>
    <row r="437" spans="5:6">
      <c r="E437" s="30"/>
      <c r="F437" s="30"/>
    </row>
    <row r="438" spans="5:6">
      <c r="E438" s="30"/>
      <c r="F438" s="30"/>
    </row>
    <row r="439" spans="5:6">
      <c r="E439" s="30"/>
      <c r="F439" s="30"/>
    </row>
    <row r="440" spans="5:6">
      <c r="E440" s="30"/>
      <c r="F440" s="30"/>
    </row>
    <row r="441" spans="5:6">
      <c r="E441" s="30"/>
      <c r="F441" s="30"/>
    </row>
    <row r="442" spans="5:6">
      <c r="E442" s="30"/>
      <c r="F442" s="30"/>
    </row>
    <row r="443" spans="5:6">
      <c r="E443" s="30"/>
      <c r="F443" s="30"/>
    </row>
    <row r="444" spans="5:6">
      <c r="E444" s="30"/>
      <c r="F444" s="30"/>
    </row>
    <row r="445" spans="5:6">
      <c r="E445" s="30"/>
      <c r="F445" s="30"/>
    </row>
    <row r="446" spans="5:6">
      <c r="E446" s="30"/>
      <c r="F446" s="30"/>
    </row>
    <row r="447" spans="5:6">
      <c r="E447" s="30"/>
      <c r="F447" s="30"/>
    </row>
    <row r="448" spans="5:6">
      <c r="E448" s="30"/>
      <c r="F448" s="30"/>
    </row>
    <row r="449" spans="5:6">
      <c r="E449" s="30"/>
      <c r="F449" s="30"/>
    </row>
    <row r="450" spans="5:6">
      <c r="E450" s="30"/>
      <c r="F450" s="30"/>
    </row>
    <row r="451" spans="5:6">
      <c r="E451" s="30"/>
      <c r="F451" s="30"/>
    </row>
    <row r="452" spans="5:6">
      <c r="E452" s="30"/>
      <c r="F452" s="30"/>
    </row>
    <row r="453" spans="5:6">
      <c r="E453" s="30"/>
      <c r="F453" s="30"/>
    </row>
    <row r="454" spans="5:6">
      <c r="E454" s="30"/>
      <c r="F454" s="30"/>
    </row>
    <row r="455" spans="5:6">
      <c r="E455" s="30"/>
      <c r="F455" s="30"/>
    </row>
    <row r="456" spans="5:6">
      <c r="E456" s="30"/>
      <c r="F456" s="30"/>
    </row>
    <row r="457" spans="5:6">
      <c r="E457" s="30"/>
      <c r="F457" s="30"/>
    </row>
    <row r="458" spans="5:6">
      <c r="E458" s="30"/>
      <c r="F458" s="30"/>
    </row>
    <row r="459" spans="5:6">
      <c r="E459" s="30"/>
      <c r="F459" s="30"/>
    </row>
    <row r="460" spans="5:6">
      <c r="E460" s="30"/>
      <c r="F460" s="30"/>
    </row>
    <row r="461" spans="5:6">
      <c r="E461" s="30"/>
      <c r="F461" s="30"/>
    </row>
    <row r="462" spans="5:6">
      <c r="E462" s="30"/>
      <c r="F462" s="30"/>
    </row>
    <row r="463" spans="5:6">
      <c r="E463" s="30"/>
      <c r="F463" s="30"/>
    </row>
    <row r="464" spans="5:6">
      <c r="E464" s="30"/>
      <c r="F464" s="30"/>
    </row>
    <row r="465" spans="5:6">
      <c r="E465" s="30"/>
      <c r="F465" s="30"/>
    </row>
    <row r="466" spans="5:6">
      <c r="E466" s="30"/>
      <c r="F466" s="30"/>
    </row>
    <row r="467" spans="5:6">
      <c r="E467" s="30"/>
      <c r="F467" s="30"/>
    </row>
    <row r="468" spans="5:6">
      <c r="E468" s="30"/>
      <c r="F468" s="30"/>
    </row>
    <row r="469" spans="5:6">
      <c r="E469" s="30"/>
      <c r="F469" s="30"/>
    </row>
    <row r="470" spans="5:6">
      <c r="E470" s="30"/>
      <c r="F470" s="30"/>
    </row>
    <row r="471" spans="5:6">
      <c r="E471" s="30"/>
      <c r="F471" s="30"/>
    </row>
    <row r="472" spans="5:6">
      <c r="E472" s="30"/>
      <c r="F472" s="30"/>
    </row>
    <row r="473" spans="5:6">
      <c r="E473" s="30"/>
      <c r="F473" s="30"/>
    </row>
    <row r="474" spans="5:6">
      <c r="E474" s="30"/>
      <c r="F474" s="30"/>
    </row>
    <row r="475" spans="5:6">
      <c r="E475" s="30"/>
      <c r="F475" s="30"/>
    </row>
    <row r="476" spans="5:6">
      <c r="E476" s="30"/>
      <c r="F476" s="30"/>
    </row>
    <row r="477" spans="5:6">
      <c r="E477" s="30"/>
      <c r="F477" s="30"/>
    </row>
    <row r="478" spans="5:6">
      <c r="E478" s="30"/>
      <c r="F478" s="30"/>
    </row>
    <row r="479" spans="5:6">
      <c r="E479" s="30"/>
      <c r="F479" s="30"/>
    </row>
    <row r="480" spans="5:6">
      <c r="E480" s="30"/>
      <c r="F480" s="30"/>
    </row>
    <row r="481" spans="5:6">
      <c r="E481" s="30"/>
      <c r="F481" s="30"/>
    </row>
    <row r="482" spans="5:6">
      <c r="E482" s="30"/>
      <c r="F482" s="30"/>
    </row>
    <row r="483" spans="5:6">
      <c r="E483" s="30"/>
      <c r="F483" s="30"/>
    </row>
    <row r="484" spans="5:6">
      <c r="E484" s="30"/>
      <c r="F484" s="30"/>
    </row>
    <row r="485" spans="5:6">
      <c r="E485" s="30"/>
      <c r="F485" s="30"/>
    </row>
    <row r="486" spans="5:6">
      <c r="E486" s="30"/>
      <c r="F486" s="30"/>
    </row>
    <row r="487" spans="5:6">
      <c r="E487" s="30"/>
      <c r="F487" s="30"/>
    </row>
    <row r="488" spans="5:6">
      <c r="E488" s="30"/>
      <c r="F488" s="30"/>
    </row>
    <row r="489" spans="5:6">
      <c r="E489" s="30"/>
      <c r="F489" s="30"/>
    </row>
    <row r="490" spans="5:6">
      <c r="E490" s="30"/>
      <c r="F490" s="30"/>
    </row>
    <row r="491" spans="5:6">
      <c r="E491" s="30"/>
      <c r="F491" s="30"/>
    </row>
    <row r="492" spans="5:6">
      <c r="E492" s="30"/>
      <c r="F492" s="30"/>
    </row>
    <row r="493" spans="5:6">
      <c r="E493" s="30"/>
      <c r="F493" s="30"/>
    </row>
    <row r="494" spans="5:6">
      <c r="E494" s="30"/>
      <c r="F494" s="30"/>
    </row>
    <row r="495" spans="5:6">
      <c r="E495" s="30"/>
      <c r="F495" s="30"/>
    </row>
    <row r="496" spans="5:6">
      <c r="E496" s="30"/>
      <c r="F496" s="30"/>
    </row>
    <row r="497" spans="5:6">
      <c r="E497" s="30"/>
      <c r="F497" s="30"/>
    </row>
    <row r="498" spans="5:6">
      <c r="E498" s="30"/>
      <c r="F498" s="30"/>
    </row>
    <row r="499" spans="5:6">
      <c r="E499" s="30"/>
      <c r="F499" s="30"/>
    </row>
    <row r="500" spans="5:6">
      <c r="E500" s="30"/>
      <c r="F500" s="30"/>
    </row>
    <row r="501" spans="5:6">
      <c r="E501" s="30"/>
      <c r="F501" s="30"/>
    </row>
    <row r="502" spans="5:6">
      <c r="E502" s="30"/>
      <c r="F502" s="30"/>
    </row>
    <row r="503" spans="5:6">
      <c r="E503" s="30"/>
      <c r="F503" s="30"/>
    </row>
    <row r="504" spans="5:6">
      <c r="E504" s="30"/>
      <c r="F504" s="30"/>
    </row>
    <row r="505" spans="5:6">
      <c r="E505" s="30"/>
      <c r="F505" s="30"/>
    </row>
    <row r="506" spans="5:6">
      <c r="E506" s="30"/>
      <c r="F506" s="30"/>
    </row>
    <row r="507" spans="5:6">
      <c r="E507" s="30"/>
      <c r="F507" s="30"/>
    </row>
    <row r="508" spans="5:6">
      <c r="E508" s="30"/>
      <c r="F508" s="30"/>
    </row>
    <row r="509" spans="5:6">
      <c r="E509" s="30"/>
      <c r="F509" s="30"/>
    </row>
    <row r="510" spans="5:6">
      <c r="E510" s="30"/>
      <c r="F510" s="30"/>
    </row>
    <row r="511" spans="5:6">
      <c r="E511" s="30"/>
      <c r="F511" s="30"/>
    </row>
    <row r="512" spans="5:6">
      <c r="E512" s="30"/>
      <c r="F512" s="30"/>
    </row>
    <row r="513" spans="5:6">
      <c r="E513" s="30"/>
      <c r="F513" s="30"/>
    </row>
    <row r="514" spans="5:6">
      <c r="E514" s="30"/>
      <c r="F514" s="30"/>
    </row>
    <row r="515" spans="5:6">
      <c r="E515" s="30"/>
      <c r="F515" s="30"/>
    </row>
    <row r="516" spans="5:6">
      <c r="E516" s="30"/>
      <c r="F516" s="30"/>
    </row>
    <row r="517" spans="5:6">
      <c r="E517" s="30"/>
      <c r="F517" s="30"/>
    </row>
    <row r="518" spans="5:6">
      <c r="E518" s="30"/>
      <c r="F518" s="30"/>
    </row>
    <row r="519" spans="5:6">
      <c r="E519" s="30"/>
      <c r="F519" s="30"/>
    </row>
    <row r="520" spans="5:6">
      <c r="E520" s="30"/>
      <c r="F520" s="30"/>
    </row>
    <row r="521" spans="5:6">
      <c r="E521" s="30"/>
      <c r="F521" s="30"/>
    </row>
    <row r="522" spans="5:6">
      <c r="E522" s="30"/>
      <c r="F522" s="30"/>
    </row>
    <row r="523" spans="5:6">
      <c r="E523" s="30"/>
      <c r="F523" s="30"/>
    </row>
    <row r="524" spans="5:6">
      <c r="E524" s="30"/>
      <c r="F524" s="30"/>
    </row>
    <row r="525" spans="5:6">
      <c r="E525" s="30"/>
      <c r="F525" s="30"/>
    </row>
    <row r="526" spans="5:6">
      <c r="E526" s="30"/>
      <c r="F526" s="30"/>
    </row>
    <row r="527" spans="5:6">
      <c r="E527" s="30"/>
      <c r="F527" s="30"/>
    </row>
    <row r="528" spans="5:6">
      <c r="E528" s="30"/>
      <c r="F528" s="30"/>
    </row>
    <row r="529" spans="5:6">
      <c r="E529" s="30"/>
      <c r="F529" s="30"/>
    </row>
    <row r="530" spans="5:6">
      <c r="E530" s="30"/>
      <c r="F530" s="30"/>
    </row>
    <row r="531" spans="5:6">
      <c r="E531" s="30"/>
      <c r="F531" s="30"/>
    </row>
    <row r="532" spans="5:6">
      <c r="E532" s="30"/>
      <c r="F532" s="30"/>
    </row>
    <row r="533" spans="5:6">
      <c r="E533" s="30"/>
      <c r="F533" s="30"/>
    </row>
    <row r="534" spans="5:6">
      <c r="E534" s="30"/>
      <c r="F534" s="30"/>
    </row>
    <row r="535" spans="5:6">
      <c r="E535" s="30"/>
      <c r="F535" s="30"/>
    </row>
    <row r="536" spans="5:6">
      <c r="E536" s="30"/>
      <c r="F536" s="30"/>
    </row>
    <row r="537" spans="5:6">
      <c r="E537" s="30"/>
      <c r="F537" s="30"/>
    </row>
    <row r="538" spans="5:6">
      <c r="E538" s="30"/>
      <c r="F538" s="30"/>
    </row>
    <row r="539" spans="5:6">
      <c r="E539" s="30"/>
      <c r="F539" s="30"/>
    </row>
    <row r="540" spans="5:6">
      <c r="E540" s="30"/>
      <c r="F540" s="30"/>
    </row>
    <row r="541" spans="5:6">
      <c r="E541" s="30"/>
      <c r="F541" s="30"/>
    </row>
    <row r="542" spans="5:6">
      <c r="E542" s="30"/>
      <c r="F542" s="30"/>
    </row>
    <row r="543" spans="5:6">
      <c r="E543" s="30"/>
      <c r="F543" s="30"/>
    </row>
    <row r="544" spans="5:6">
      <c r="E544" s="30"/>
      <c r="F544" s="30"/>
    </row>
    <row r="545" spans="5:6">
      <c r="E545" s="30"/>
      <c r="F545" s="30"/>
    </row>
    <row r="546" spans="5:6">
      <c r="E546" s="30"/>
      <c r="F546" s="30"/>
    </row>
    <row r="547" spans="5:6">
      <c r="E547" s="30"/>
      <c r="F547" s="30"/>
    </row>
    <row r="548" spans="5:6">
      <c r="E548" s="30"/>
      <c r="F548" s="30"/>
    </row>
    <row r="549" spans="5:6">
      <c r="E549" s="30"/>
      <c r="F549" s="30"/>
    </row>
    <row r="550" spans="5:6">
      <c r="E550" s="30"/>
      <c r="F550" s="30"/>
    </row>
    <row r="551" spans="5:6">
      <c r="E551" s="30"/>
      <c r="F551" s="30"/>
    </row>
  </sheetData>
  <phoneticPr fontId="2"/>
  <printOptions horizontalCentered="1"/>
  <pageMargins left="0.39370078740157483" right="0.39370078740157483" top="0.39370078740157483" bottom="0.39370078740157483" header="0.19685039370078741" footer="0.19685039370078741"/>
  <pageSetup paperSize="9" scale="50" fitToHeight="0" orientation="landscape" verticalDpi="300" r:id="rId1"/>
  <headerFooter alignWithMargins="0">
    <oddFooter>&amp;C&amp;"ＭＳ　明朝,標準"&amp;9- &amp;P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9</vt:i4>
      </vt:variant>
    </vt:vector>
  </HeadingPairs>
  <TitlesOfParts>
    <vt:vector size="14" baseType="lpstr">
      <vt:lpstr>表紙</vt:lpstr>
      <vt:lpstr>変更履歴</vt:lpstr>
      <vt:lpstr>XxxAction_クラス単体</vt:lpstr>
      <vt:lpstr>XXX_リクエスト単体</vt:lpstr>
      <vt:lpstr>取引単体</vt:lpstr>
      <vt:lpstr>XXX_リクエスト単体!Print_Area</vt:lpstr>
      <vt:lpstr>XxxAction_クラス単体!Print_Area</vt:lpstr>
      <vt:lpstr>取引単体!Print_Area</vt:lpstr>
      <vt:lpstr>表紙!Print_Area</vt:lpstr>
      <vt:lpstr>変更履歴!Print_Area</vt:lpstr>
      <vt:lpstr>XXX_リクエスト単体!Print_Titles</vt:lpstr>
      <vt:lpstr>XxxAction_クラス単体!Print_Titles</vt:lpstr>
      <vt:lpstr>取引単体!Print_Titles</vt:lpstr>
      <vt:lpstr>変更履歴!Print_Titles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
  <dcterms:created xsi:type="dcterms:W3CDTF">2018-09-28T14:45:55Z</dcterms:created>
  <dcterms:modified xsi:type="dcterms:W3CDTF">2024-08-01T06:17:59Z</dcterms:modified>
</cp:coreProperties>
</file>