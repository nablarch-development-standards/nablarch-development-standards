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xr:revisionPtr revIDLastSave="0" documentId="13_ncr:1_{0235CBC0-FE63-4301-8D9A-A5F83BBC5F1B}" xr6:coauthVersionLast="47" xr6:coauthVersionMax="47" xr10:uidLastSave="{00000000-0000-0000-0000-000000000000}"/>
  <bookViews>
    <workbookView xWindow="-120" yWindow="-120" windowWidth="38640" windowHeight="21240" tabRatio="641" xr2:uid="{00000000-000D-0000-FFFF-FFFF00000000}"/>
  </bookViews>
  <sheets>
    <sheet name="表紙" sheetId="33" r:id="rId1"/>
    <sheet name="変更履歴" sheetId="34" r:id="rId2"/>
    <sheet name="目次" sheetId="25" r:id="rId3"/>
    <sheet name="1" sheetId="54" r:id="rId4"/>
    <sheet name="2" sheetId="58" r:id="rId5"/>
    <sheet name="3" sheetId="71" r:id="rId6"/>
    <sheet name="4" sheetId="75" r:id="rId7"/>
  </sheets>
  <definedNames>
    <definedName name="DBアクセスを伴う精査">#REF!</definedName>
    <definedName name="_xlnm.Print_Area" localSheetId="3">'1'!$A$1:$AI$25</definedName>
    <definedName name="_xlnm.Print_Area" localSheetId="4">'2'!$A$1:$AI$74</definedName>
    <definedName name="_xlnm.Print_Area" localSheetId="5">'3'!$A$1:$AI$192</definedName>
    <definedName name="_xlnm.Print_Area" localSheetId="6">'4'!$A$1:$AI$160</definedName>
    <definedName name="_xlnm.Print_Area" localSheetId="2">目次!$A$1:$AI$39</definedName>
    <definedName name="_xlnm.Print_Titles" localSheetId="3">'1'!$1:$4</definedName>
    <definedName name="_xlnm.Print_Titles" localSheetId="4">'2'!$1:$4</definedName>
    <definedName name="_xlnm.Print_Titles" localSheetId="5">'3'!$1:$4</definedName>
    <definedName name="_xlnm.Print_Titles" localSheetId="6">'4'!$1:$4</definedName>
    <definedName name="_xlnm.Print_Titles" localSheetId="2">目次!$1:$4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34" l="1"/>
  <c r="AG1" i="34"/>
  <c r="AC1" i="34"/>
  <c r="AC2" i="34"/>
  <c r="AC3" i="75"/>
  <c r="AC2" i="58"/>
  <c r="E2" i="58"/>
  <c r="E1" i="54"/>
  <c r="AC3" i="54"/>
  <c r="I25" i="33"/>
  <c r="AG3" i="58"/>
  <c r="E3" i="25"/>
  <c r="E2" i="54"/>
  <c r="AG1" i="71"/>
  <c r="AG1" i="25"/>
  <c r="AG1" i="75"/>
  <c r="S1" i="25"/>
  <c r="E3" i="58"/>
  <c r="AG2" i="75"/>
  <c r="E1" i="25"/>
  <c r="E2" i="25"/>
  <c r="AG2" i="58"/>
  <c r="AC1" i="71"/>
  <c r="AC1" i="58"/>
  <c r="E2" i="71"/>
  <c r="AG1" i="54"/>
  <c r="AG2" i="25"/>
  <c r="AC2" i="71"/>
  <c r="S1" i="54"/>
  <c r="AC3" i="71"/>
  <c r="AC3" i="25"/>
  <c r="AC3" i="58"/>
  <c r="AC2" i="54"/>
  <c r="AG2" i="54"/>
  <c r="AC1" i="25"/>
  <c r="AG3" i="54"/>
  <c r="E1" i="58"/>
  <c r="E2" i="75"/>
  <c r="AG2" i="71"/>
  <c r="E3" i="75"/>
  <c r="AG3" i="75"/>
  <c r="E3" i="54"/>
  <c r="AC2" i="25"/>
  <c r="S1" i="71"/>
  <c r="S1" i="75"/>
  <c r="AC1" i="54"/>
  <c r="AG3" i="25"/>
  <c r="E1" i="71"/>
  <c r="E1" i="75"/>
  <c r="AG3" i="71"/>
  <c r="AG1" i="58"/>
  <c r="E3" i="71"/>
  <c r="AC2" i="75"/>
  <c r="S1" i="58"/>
  <c r="AC1" i="75"/>
</calcChain>
</file>

<file path=xl/sharedStrings.xml><?xml version="1.0" encoding="utf-8"?>
<sst xmlns="http://schemas.openxmlformats.org/spreadsheetml/2006/main" count="593" uniqueCount="368">
  <si>
    <t>更新</t>
    <rPh sb="0" eb="2">
      <t>コウシン</t>
    </rPh>
    <phoneticPr fontId="4"/>
  </si>
  <si>
    <t>詳細</t>
    <rPh sb="0" eb="2">
      <t>ショウサイ</t>
    </rPh>
    <phoneticPr fontId="4"/>
  </si>
  <si>
    <t>一覧照会（結果）</t>
    <rPh sb="0" eb="2">
      <t>イチラン</t>
    </rPh>
    <rPh sb="2" eb="4">
      <t>ショウカイ</t>
    </rPh>
    <rPh sb="5" eb="7">
      <t>ケッカ</t>
    </rPh>
    <phoneticPr fontId="4"/>
  </si>
  <si>
    <t>登録確認</t>
    <rPh sb="0" eb="2">
      <t>トウロク</t>
    </rPh>
    <rPh sb="2" eb="4">
      <t>カクニン</t>
    </rPh>
    <phoneticPr fontId="4"/>
  </si>
  <si>
    <t>登録完了</t>
    <rPh sb="0" eb="2">
      <t>トウロク</t>
    </rPh>
    <rPh sb="2" eb="4">
      <t>カンリョウ</t>
    </rPh>
    <phoneticPr fontId="4"/>
  </si>
  <si>
    <t>更新確認</t>
    <rPh sb="0" eb="2">
      <t>コウシン</t>
    </rPh>
    <rPh sb="2" eb="4">
      <t>カクニン</t>
    </rPh>
    <phoneticPr fontId="4"/>
  </si>
  <si>
    <t>更新完了</t>
    <rPh sb="0" eb="2">
      <t>コウシン</t>
    </rPh>
    <rPh sb="2" eb="4">
      <t>カンリョウ</t>
    </rPh>
    <phoneticPr fontId="4"/>
  </si>
  <si>
    <t>メッセージ処理フロー</t>
    <rPh sb="5" eb="7">
      <t>ショリ</t>
    </rPh>
    <phoneticPr fontId="15"/>
  </si>
  <si>
    <t>自動テスト</t>
    <rPh sb="0" eb="2">
      <t>ジドウ</t>
    </rPh>
    <phoneticPr fontId="15"/>
  </si>
  <si>
    <t>※通常、削除取引でエラーが発生するケースは処理の継続が行えないが、設計書に処理継続の仕様があればテストを行うこと。</t>
    <rPh sb="4" eb="6">
      <t>サクジョ</t>
    </rPh>
    <rPh sb="6" eb="8">
      <t>トリヒキ</t>
    </rPh>
    <rPh sb="13" eb="15">
      <t>ハッセイ</t>
    </rPh>
    <rPh sb="21" eb="23">
      <t>ショリ</t>
    </rPh>
    <rPh sb="24" eb="26">
      <t>ケイゾク</t>
    </rPh>
    <rPh sb="27" eb="28">
      <t>オコナ</t>
    </rPh>
    <rPh sb="33" eb="36">
      <t>セッケイショ</t>
    </rPh>
    <rPh sb="37" eb="39">
      <t>ショリ</t>
    </rPh>
    <rPh sb="39" eb="41">
      <t>ケイゾク</t>
    </rPh>
    <rPh sb="42" eb="44">
      <t>シヨウ</t>
    </rPh>
    <rPh sb="52" eb="53">
      <t>オコナ</t>
    </rPh>
    <phoneticPr fontId="4"/>
  </si>
  <si>
    <t>○</t>
    <phoneticPr fontId="4"/>
  </si>
  <si>
    <t>・</t>
    <phoneticPr fontId="4"/>
  </si>
  <si>
    <t>・</t>
    <phoneticPr fontId="4"/>
  </si>
  <si>
    <t>別紙</t>
    <rPh sb="0" eb="2">
      <t>ベッシ</t>
    </rPh>
    <phoneticPr fontId="15"/>
  </si>
  <si>
    <t>データバリエーション</t>
    <phoneticPr fontId="15"/>
  </si>
  <si>
    <t>※2</t>
    <phoneticPr fontId="4"/>
  </si>
  <si>
    <t>※3</t>
    <phoneticPr fontId="4"/>
  </si>
  <si>
    <t>3.2.</t>
    <phoneticPr fontId="4"/>
  </si>
  <si>
    <t>テストケースNoのフォルダ以下は、エビデンスが複数種類ある</t>
    <rPh sb="13" eb="15">
      <t>イカ</t>
    </rPh>
    <rPh sb="23" eb="25">
      <t>フクスウ</t>
    </rPh>
    <rPh sb="25" eb="27">
      <t>シュルイ</t>
    </rPh>
    <phoneticPr fontId="4"/>
  </si>
  <si>
    <t>場合はエビデンス種類ごとにフォルダを分けて格納する。</t>
    <rPh sb="0" eb="2">
      <t>バアイ</t>
    </rPh>
    <rPh sb="8" eb="10">
      <t>シュルイ</t>
    </rPh>
    <rPh sb="18" eb="19">
      <t>ワ</t>
    </rPh>
    <rPh sb="21" eb="23">
      <t>カクノウ</t>
    </rPh>
    <phoneticPr fontId="4"/>
  </si>
  <si>
    <t>(画面処理方式、画面・ディレード処理方式の場合のみ。他の入力処理方式の単体テストは全て自動テストで実施するためエビデンスの格納は不要)</t>
    <rPh sb="21" eb="23">
      <t>バアイ</t>
    </rPh>
    <rPh sb="26" eb="27">
      <t>ホカ</t>
    </rPh>
    <rPh sb="28" eb="34">
      <t>ニュウリョクショリホウシキ</t>
    </rPh>
    <rPh sb="35" eb="37">
      <t>タンタイ</t>
    </rPh>
    <rPh sb="41" eb="42">
      <t>スベ</t>
    </rPh>
    <rPh sb="43" eb="45">
      <t>ジドウ</t>
    </rPh>
    <rPh sb="49" eb="51">
      <t>ジッシ</t>
    </rPh>
    <rPh sb="61" eb="63">
      <t>カクノウ</t>
    </rPh>
    <rPh sb="64" eb="66">
      <t>フヨウ</t>
    </rPh>
    <phoneticPr fontId="4"/>
  </si>
  <si>
    <t>単体テスト仕様書および自動テストで実施するテストのエビデンスは格納不要。(リポジトリ上で管理する)</t>
    <rPh sb="0" eb="2">
      <t>タンタイ</t>
    </rPh>
    <rPh sb="5" eb="8">
      <t>シヨウショ</t>
    </rPh>
    <rPh sb="11" eb="13">
      <t>ジドウ</t>
    </rPh>
    <rPh sb="17" eb="19">
      <t>ジッシ</t>
    </rPh>
    <rPh sb="31" eb="35">
      <t>カクノウフヨウ</t>
    </rPh>
    <rPh sb="42" eb="43">
      <t>ジョウ</t>
    </rPh>
    <rPh sb="44" eb="46">
      <t>カンリ</t>
    </rPh>
    <phoneticPr fontId="4"/>
  </si>
  <si>
    <t>下記エビデンスは画面処理方式および画面・ディレード処理方式の場合のみ取得する。</t>
    <rPh sb="0" eb="2">
      <t>カキ</t>
    </rPh>
    <rPh sb="8" eb="10">
      <t>ガメン</t>
    </rPh>
    <rPh sb="10" eb="12">
      <t>ショリ</t>
    </rPh>
    <rPh sb="12" eb="14">
      <t>ホウシキ</t>
    </rPh>
    <rPh sb="17" eb="19">
      <t>ガメン</t>
    </rPh>
    <rPh sb="25" eb="27">
      <t>ショリ</t>
    </rPh>
    <rPh sb="27" eb="29">
      <t>ホウシキ</t>
    </rPh>
    <rPh sb="30" eb="32">
      <t>バアイ</t>
    </rPh>
    <rPh sb="34" eb="36">
      <t>シュトク</t>
    </rPh>
    <phoneticPr fontId="4"/>
  </si>
  <si>
    <t>画面ハードコピー</t>
    <rPh sb="0" eb="2">
      <t>ガメン</t>
    </rPh>
    <phoneticPr fontId="4"/>
  </si>
  <si>
    <t>画面処理方式、画面・ディレード処理方式の場合は下記のエビデンスを取得する。</t>
    <rPh sb="0" eb="2">
      <t>ガメン</t>
    </rPh>
    <rPh sb="2" eb="4">
      <t>ショリ</t>
    </rPh>
    <rPh sb="4" eb="6">
      <t>ホウシキ</t>
    </rPh>
    <rPh sb="7" eb="9">
      <t>ガメン</t>
    </rPh>
    <rPh sb="15" eb="17">
      <t>ショリ</t>
    </rPh>
    <rPh sb="17" eb="19">
      <t>ホウシキ</t>
    </rPh>
    <rPh sb="20" eb="22">
      <t>バアイ</t>
    </rPh>
    <rPh sb="23" eb="25">
      <t>カキ</t>
    </rPh>
    <rPh sb="32" eb="34">
      <t>シュトク</t>
    </rPh>
    <phoneticPr fontId="4"/>
  </si>
  <si>
    <t>画面処理方式、画面・ディレード処理方式以外の場合は、取得すべきエビデンスはリクエスト単体テストと同じ。</t>
    <rPh sb="26" eb="28">
      <t>シュトク</t>
    </rPh>
    <rPh sb="42" eb="44">
      <t>タンタイ</t>
    </rPh>
    <rPh sb="48" eb="49">
      <t>オナ</t>
    </rPh>
    <phoneticPr fontId="4"/>
  </si>
  <si>
    <t>ファイル、メール、帳票等、テスト対象の取引でアウトプットされるもの。</t>
    <rPh sb="9" eb="11">
      <t>チョウヒョウ</t>
    </rPh>
    <rPh sb="11" eb="12">
      <t>トウ</t>
    </rPh>
    <rPh sb="16" eb="18">
      <t>タイショウ</t>
    </rPh>
    <rPh sb="19" eb="21">
      <t>トリヒキ</t>
    </rPh>
    <phoneticPr fontId="4"/>
  </si>
  <si>
    <t>必須</t>
    <rPh sb="0" eb="2">
      <t>ヒッス</t>
    </rPh>
    <phoneticPr fontId="4"/>
  </si>
  <si>
    <t>単体テスト仕様書</t>
    <rPh sb="0" eb="2">
      <t>タンタイ</t>
    </rPh>
    <rPh sb="5" eb="8">
      <t>シヨウショ</t>
    </rPh>
    <phoneticPr fontId="4"/>
  </si>
  <si>
    <t>自動テストクラス</t>
    <rPh sb="0" eb="2">
      <t>ジドウ</t>
    </rPh>
    <phoneticPr fontId="4"/>
  </si>
  <si>
    <t>自動テストデータ</t>
    <rPh sb="0" eb="2">
      <t>ジドウ</t>
    </rPh>
    <phoneticPr fontId="4"/>
  </si>
  <si>
    <t>下記フォルダ構成で格納する。</t>
    <rPh sb="0" eb="2">
      <t>カキ</t>
    </rPh>
    <rPh sb="6" eb="8">
      <t>コウセイ</t>
    </rPh>
    <rPh sb="9" eb="11">
      <t>カクノウ</t>
    </rPh>
    <phoneticPr fontId="4"/>
  </si>
  <si>
    <t>│</t>
  </si>
  <si>
    <t>└──[リクエストID]</t>
  </si>
  <si>
    <t>└──[テストケースNo]</t>
  </si>
  <si>
    <t>テストケースNoごとにエビデンスファイルを作成する。</t>
    <rPh sb="21" eb="23">
      <t>サクセイ</t>
    </rPh>
    <phoneticPr fontId="4"/>
  </si>
  <si>
    <t>画面ハードコピーの格納場所。</t>
    <rPh sb="0" eb="2">
      <t>ガメン</t>
    </rPh>
    <rPh sb="9" eb="11">
      <t>カクノウ</t>
    </rPh>
    <rPh sb="11" eb="13">
      <t>バショ</t>
    </rPh>
    <phoneticPr fontId="4"/>
  </si>
  <si>
    <t>テストケースごとにフォルダを作成し、エビデンスを格納する。</t>
    <rPh sb="14" eb="16">
      <t>サクセイ</t>
    </rPh>
    <rPh sb="24" eb="26">
      <t>カクノウ</t>
    </rPh>
    <phoneticPr fontId="4"/>
  </si>
  <si>
    <t>画面処理方式、画面・ディレード処理方式のエビデンスのサンプルは下記を参照。</t>
    <rPh sb="0" eb="2">
      <t>ガメン</t>
    </rPh>
    <rPh sb="2" eb="4">
      <t>ショリ</t>
    </rPh>
    <rPh sb="4" eb="6">
      <t>ホウシキ</t>
    </rPh>
    <rPh sb="7" eb="9">
      <t>ガメン</t>
    </rPh>
    <rPh sb="15" eb="17">
      <t>ショリ</t>
    </rPh>
    <rPh sb="17" eb="19">
      <t>ホウシキ</t>
    </rPh>
    <rPh sb="31" eb="33">
      <t>カキ</t>
    </rPh>
    <rPh sb="34" eb="36">
      <t>サンショウ</t>
    </rPh>
    <phoneticPr fontId="4"/>
  </si>
  <si>
    <t>ファイル名の先頭にテストケースNoを付与すること。</t>
    <rPh sb="4" eb="5">
      <t>メイ</t>
    </rPh>
    <rPh sb="6" eb="8">
      <t>セントウ</t>
    </rPh>
    <rPh sb="18" eb="20">
      <t>フヨ</t>
    </rPh>
    <phoneticPr fontId="4"/>
  </si>
  <si>
    <t>ユーザ管理テーブルを更新する。</t>
    <rPh sb="3" eb="5">
      <t>カンリ</t>
    </rPh>
    <rPh sb="10" eb="12">
      <t>コウシン</t>
    </rPh>
    <phoneticPr fontId="11"/>
  </si>
  <si>
    <t>⇒使用コンポーネント：【CM114001：ユーザ管理テーブル更新：ユーザ管理テーブル主キー更新】</t>
  </si>
  <si>
    <t>⇒使用コンポーネント：【CM021011：ユーザ管理SS連携：ユーザ情報変更反映】</t>
    <rPh sb="24" eb="26">
      <t>カンリ</t>
    </rPh>
    <rPh sb="28" eb="30">
      <t>レンケイ</t>
    </rPh>
    <rPh sb="34" eb="36">
      <t>ジョウホウ</t>
    </rPh>
    <rPh sb="36" eb="38">
      <t>ヘンコウ</t>
    </rPh>
    <rPh sb="38" eb="40">
      <t>ハンエイ</t>
    </rPh>
    <phoneticPr fontId="11"/>
  </si>
  <si>
    <t>テスト対象の処理でアクセスする全てのテーブルの全データについて取得する。</t>
    <rPh sb="23" eb="24">
      <t>ゼン</t>
    </rPh>
    <phoneticPr fontId="11"/>
  </si>
  <si>
    <t>共通コンポーネントやフレームワークユーティリティで更新または参照するテーブルについては、</t>
    <rPh sb="30" eb="32">
      <t>サンショウ</t>
    </rPh>
    <phoneticPr fontId="11"/>
  </si>
  <si>
    <t>売上管理サブシステムにユーザ情報の変更を反映する。</t>
    <rPh sb="0" eb="4">
      <t>ウリアゲカンリ</t>
    </rPh>
    <rPh sb="14" eb="16">
      <t>ジョウホウ</t>
    </rPh>
    <rPh sb="17" eb="19">
      <t>ヘンコウ</t>
    </rPh>
    <rPh sb="20" eb="22">
      <t>ハンエイ</t>
    </rPh>
    <phoneticPr fontId="11"/>
  </si>
  <si>
    <t>画面ハードコピーのエビデンスのサンプルは下記を参照。</t>
    <rPh sb="0" eb="2">
      <t>ガメン</t>
    </rPh>
    <rPh sb="20" eb="22">
      <t>カキ</t>
    </rPh>
    <rPh sb="23" eb="25">
      <t>サンショウ</t>
    </rPh>
    <phoneticPr fontId="4"/>
  </si>
  <si>
    <t>エビデンスはテストケースごとに作成する。</t>
    <rPh sb="15" eb="17">
      <t>サクセイ</t>
    </rPh>
    <phoneticPr fontId="4"/>
  </si>
  <si>
    <t>1つのテストショットで複数のテストケースを実施した場合も</t>
    <rPh sb="11" eb="13">
      <t>フクスウ</t>
    </rPh>
    <rPh sb="21" eb="23">
      <t>ジッシ</t>
    </rPh>
    <rPh sb="25" eb="27">
      <t>バアイ</t>
    </rPh>
    <phoneticPr fontId="4"/>
  </si>
  <si>
    <t>1つのテストショットで複数のテストケースを実施した場合も、エビデンスはテストケースごとに作成する。</t>
    <rPh sb="11" eb="13">
      <t>フクスウ</t>
    </rPh>
    <rPh sb="21" eb="23">
      <t>ジッシ</t>
    </rPh>
    <rPh sb="25" eb="27">
      <t>バアイ</t>
    </rPh>
    <phoneticPr fontId="4"/>
  </si>
  <si>
    <t>アプリケーションプログラマが実施すべき単体テストの一覧は以下の通りである。（各テストの詳細は、Nablarchアプリケーション開発ガイドを参照）</t>
    <rPh sb="14" eb="16">
      <t>ジッシ</t>
    </rPh>
    <rPh sb="19" eb="21">
      <t>タンタイ</t>
    </rPh>
    <rPh sb="25" eb="27">
      <t>イチラン</t>
    </rPh>
    <rPh sb="28" eb="30">
      <t>イカ</t>
    </rPh>
    <rPh sb="31" eb="32">
      <t>トオ</t>
    </rPh>
    <rPh sb="38" eb="39">
      <t>カク</t>
    </rPh>
    <rPh sb="43" eb="45">
      <t>ショウサイ</t>
    </rPh>
    <rPh sb="63" eb="65">
      <t>カイハツ</t>
    </rPh>
    <rPh sb="69" eb="71">
      <t>サンショウ</t>
    </rPh>
    <phoneticPr fontId="4"/>
  </si>
  <si>
    <t>実施方法</t>
    <rPh sb="0" eb="2">
      <t>ジッシ</t>
    </rPh>
    <rPh sb="2" eb="4">
      <t>ホウホウ</t>
    </rPh>
    <phoneticPr fontId="4"/>
  </si>
  <si>
    <t>リクエスト単体テスト</t>
    <rPh sb="5" eb="7">
      <t>タンタイ</t>
    </rPh>
    <phoneticPr fontId="4"/>
  </si>
  <si>
    <t>変更履歴（ 1　/ 1 ）</t>
  </si>
  <si>
    <t>版数</t>
    <rPh sb="0" eb="2">
      <t>ハンスウ</t>
    </rPh>
    <phoneticPr fontId="4"/>
  </si>
  <si>
    <t>変更日</t>
    <rPh sb="0" eb="3">
      <t>ヘンコウビ</t>
    </rPh>
    <phoneticPr fontId="4"/>
  </si>
  <si>
    <t>区分</t>
    <rPh sb="0" eb="2">
      <t>クブン</t>
    </rPh>
    <phoneticPr fontId="4"/>
  </si>
  <si>
    <t>変更内容</t>
    <rPh sb="0" eb="2">
      <t>ヘンコウ</t>
    </rPh>
    <rPh sb="2" eb="4">
      <t>ナイヨウ</t>
    </rPh>
    <phoneticPr fontId="4"/>
  </si>
  <si>
    <t>担当者</t>
    <rPh sb="0" eb="3">
      <t>タントウシャ</t>
    </rPh>
    <phoneticPr fontId="4"/>
  </si>
  <si>
    <t>単体テスト体系</t>
    <rPh sb="0" eb="2">
      <t>タンタイ</t>
    </rPh>
    <rPh sb="5" eb="7">
      <t>タイケイ</t>
    </rPh>
    <phoneticPr fontId="4"/>
  </si>
  <si>
    <t>テスト名</t>
    <rPh sb="3" eb="4">
      <t>メイ</t>
    </rPh>
    <phoneticPr fontId="15"/>
  </si>
  <si>
    <t>説明</t>
    <rPh sb="0" eb="2">
      <t>セツメイ</t>
    </rPh>
    <phoneticPr fontId="15"/>
  </si>
  <si>
    <t>クラス単体テスト</t>
    <rPh sb="3" eb="5">
      <t>タンタイ</t>
    </rPh>
    <phoneticPr fontId="15"/>
  </si>
  <si>
    <t>リクエスト単体テスト</t>
    <rPh sb="5" eb="7">
      <t>タンタイ</t>
    </rPh>
    <phoneticPr fontId="15"/>
  </si>
  <si>
    <t>取引単体テスト</t>
    <rPh sb="0" eb="2">
      <t>トリヒキ</t>
    </rPh>
    <rPh sb="2" eb="4">
      <t>タンタイ</t>
    </rPh>
    <phoneticPr fontId="15"/>
  </si>
  <si>
    <t>自動テスト</t>
    <rPh sb="0" eb="2">
      <t>ジドウ</t>
    </rPh>
    <phoneticPr fontId="4"/>
  </si>
  <si>
    <t>確認観点1</t>
    <rPh sb="0" eb="2">
      <t>カクニン</t>
    </rPh>
    <rPh sb="2" eb="4">
      <t>カンテン</t>
    </rPh>
    <phoneticPr fontId="4"/>
  </si>
  <si>
    <t>確認観点2</t>
    <rPh sb="0" eb="2">
      <t>カクニン</t>
    </rPh>
    <rPh sb="2" eb="4">
      <t>カンテン</t>
    </rPh>
    <phoneticPr fontId="4"/>
  </si>
  <si>
    <t>対応設計書</t>
    <rPh sb="0" eb="2">
      <t>タイオウ</t>
    </rPh>
    <rPh sb="2" eb="4">
      <t>セッケイ</t>
    </rPh>
    <rPh sb="4" eb="5">
      <t>ショ</t>
    </rPh>
    <phoneticPr fontId="4"/>
  </si>
  <si>
    <t>対応箇所</t>
    <rPh sb="0" eb="2">
      <t>タイオウ</t>
    </rPh>
    <rPh sb="2" eb="4">
      <t>カショ</t>
    </rPh>
    <phoneticPr fontId="4"/>
  </si>
  <si>
    <t>テスト内容</t>
    <rPh sb="3" eb="5">
      <t>ナイヨウ</t>
    </rPh>
    <phoneticPr fontId="4"/>
  </si>
  <si>
    <t>システム機能一覧の入力処理方式と下記の表を照らし合わせ、テストの実施方法を確認すること。</t>
    <rPh sb="4" eb="6">
      <t>キノウ</t>
    </rPh>
    <rPh sb="6" eb="8">
      <t>イチラン</t>
    </rPh>
    <rPh sb="9" eb="11">
      <t>ニュウリョク</t>
    </rPh>
    <rPh sb="11" eb="13">
      <t>ショリ</t>
    </rPh>
    <rPh sb="13" eb="15">
      <t>ホウシキ</t>
    </rPh>
    <rPh sb="16" eb="18">
      <t>カキ</t>
    </rPh>
    <rPh sb="19" eb="20">
      <t>ヒョウ</t>
    </rPh>
    <rPh sb="21" eb="22">
      <t>テ</t>
    </rPh>
    <rPh sb="24" eb="25">
      <t>ア</t>
    </rPh>
    <rPh sb="32" eb="34">
      <t>ジッシ</t>
    </rPh>
    <rPh sb="34" eb="36">
      <t>ホウホウ</t>
    </rPh>
    <rPh sb="37" eb="39">
      <t>カクニン</t>
    </rPh>
    <phoneticPr fontId="4"/>
  </si>
  <si>
    <t>メッセージ同期応答・ディレード処理と、起動されるディレード処理(常駐バッチ処理)をつなぐテストは結合テストで実施する。</t>
    <rPh sb="5" eb="7">
      <t>ドウキ</t>
    </rPh>
    <rPh sb="7" eb="9">
      <t>オウトウ</t>
    </rPh>
    <rPh sb="15" eb="17">
      <t>ショリ</t>
    </rPh>
    <rPh sb="19" eb="21">
      <t>キドウ</t>
    </rPh>
    <rPh sb="29" eb="31">
      <t>ショリ</t>
    </rPh>
    <rPh sb="32" eb="34">
      <t>ジョウチュウ</t>
    </rPh>
    <rPh sb="37" eb="39">
      <t>ショリ</t>
    </rPh>
    <rPh sb="48" eb="50">
      <t>ケツゴウ</t>
    </rPh>
    <rPh sb="54" eb="56">
      <t>ジッシ</t>
    </rPh>
    <phoneticPr fontId="4"/>
  </si>
  <si>
    <t>画面・ディレード処理と、起動されるディレード処理(常駐バッチ処理)をつなぐテストは結合テストで実施する。</t>
    <rPh sb="0" eb="2">
      <t>ガメン</t>
    </rPh>
    <rPh sb="8" eb="10">
      <t>ショリ</t>
    </rPh>
    <rPh sb="12" eb="14">
      <t>キドウ</t>
    </rPh>
    <rPh sb="22" eb="24">
      <t>ショリ</t>
    </rPh>
    <rPh sb="25" eb="27">
      <t>ジョウチュウ</t>
    </rPh>
    <rPh sb="30" eb="32">
      <t>ショリ</t>
    </rPh>
    <rPh sb="41" eb="43">
      <t>ケツゴウ</t>
    </rPh>
    <rPh sb="47" eb="49">
      <t>ジッシ</t>
    </rPh>
    <phoneticPr fontId="4"/>
  </si>
  <si>
    <t>メッセージ無応答・ディレード処理は、基本的にビジネスロジックを実装しないため、単体テストは実施せず、結合テストで確認を行う。</t>
    <rPh sb="18" eb="21">
      <t>キホンテキ</t>
    </rPh>
    <rPh sb="31" eb="33">
      <t>ジッソウ</t>
    </rPh>
    <rPh sb="39" eb="41">
      <t>タンタイ</t>
    </rPh>
    <rPh sb="45" eb="47">
      <t>ジッシ</t>
    </rPh>
    <rPh sb="50" eb="52">
      <t>ケツゴウ</t>
    </rPh>
    <rPh sb="56" eb="58">
      <t>カクニン</t>
    </rPh>
    <rPh sb="59" eb="60">
      <t>オコナ</t>
    </rPh>
    <phoneticPr fontId="4"/>
  </si>
  <si>
    <t>メッセージ無応答・ディレード処理とディレード処理(常駐バッチ処理)をつなぐテストは結合テストで実施する。</t>
    <rPh sb="22" eb="24">
      <t>ショリ</t>
    </rPh>
    <rPh sb="25" eb="27">
      <t>ジョウチュウ</t>
    </rPh>
    <rPh sb="30" eb="32">
      <t>ショリ</t>
    </rPh>
    <rPh sb="41" eb="43">
      <t>ケツゴウ</t>
    </rPh>
    <rPh sb="47" eb="49">
      <t>ジッシ</t>
    </rPh>
    <phoneticPr fontId="4"/>
  </si>
  <si>
    <t>-</t>
    <phoneticPr fontId="4"/>
  </si>
  <si>
    <t>取引</t>
    <rPh sb="0" eb="2">
      <t>トリヒキ</t>
    </rPh>
    <phoneticPr fontId="4"/>
  </si>
  <si>
    <t>画面遷移の例</t>
    <rPh sb="0" eb="2">
      <t>ガメン</t>
    </rPh>
    <rPh sb="2" eb="4">
      <t>センイ</t>
    </rPh>
    <rPh sb="5" eb="6">
      <t>レイ</t>
    </rPh>
    <phoneticPr fontId="4"/>
  </si>
  <si>
    <t>詳細表示</t>
  </si>
  <si>
    <t>一覧照会</t>
  </si>
  <si>
    <t>登録完了</t>
  </si>
  <si>
    <t>登録確認</t>
  </si>
  <si>
    <t>更新完了</t>
  </si>
  <si>
    <t>更新確認</t>
  </si>
  <si>
    <t>削除完了</t>
  </si>
  <si>
    <t>一覧照会（結果）</t>
    <rPh sb="5" eb="7">
      <t>ケッカ</t>
    </rPh>
    <phoneticPr fontId="4"/>
  </si>
  <si>
    <t>登録</t>
    <rPh sb="0" eb="2">
      <t>トウロク</t>
    </rPh>
    <phoneticPr fontId="4"/>
  </si>
  <si>
    <t>詳細表示</t>
    <rPh sb="0" eb="2">
      <t>ショウサイ</t>
    </rPh>
    <rPh sb="2" eb="4">
      <t>ヒョウジ</t>
    </rPh>
    <phoneticPr fontId="4"/>
  </si>
  <si>
    <t>取引一連の処理を実行し、アウトプットが想定通り作成されることを確認する。</t>
    <rPh sb="0" eb="4">
      <t>トリヒキイチレン</t>
    </rPh>
    <rPh sb="5" eb="7">
      <t>ショリ</t>
    </rPh>
    <rPh sb="8" eb="10">
      <t>ジッコウ</t>
    </rPh>
    <rPh sb="19" eb="21">
      <t>ソウテイ</t>
    </rPh>
    <rPh sb="21" eb="22">
      <t>ドオ</t>
    </rPh>
    <rPh sb="23" eb="25">
      <t>サクセイ</t>
    </rPh>
    <rPh sb="31" eb="33">
      <t>カクニン</t>
    </rPh>
    <phoneticPr fontId="4"/>
  </si>
  <si>
    <t>取引内の全ての処理が正常終了するパターンをテストし、アウトプットが想定通り出力されることを確認する。</t>
    <rPh sb="0" eb="2">
      <t>トリヒキ</t>
    </rPh>
    <rPh sb="2" eb="3">
      <t>ナイ</t>
    </rPh>
    <rPh sb="4" eb="5">
      <t>スベ</t>
    </rPh>
    <rPh sb="7" eb="9">
      <t>ショリ</t>
    </rPh>
    <rPh sb="10" eb="12">
      <t>セイジョウ</t>
    </rPh>
    <rPh sb="12" eb="14">
      <t>シュウリョウ</t>
    </rPh>
    <rPh sb="33" eb="35">
      <t>ソウテイ</t>
    </rPh>
    <rPh sb="35" eb="36">
      <t>ドオ</t>
    </rPh>
    <rPh sb="37" eb="39">
      <t>シュツリョク</t>
    </rPh>
    <rPh sb="45" eb="47">
      <t>カクニン</t>
    </rPh>
    <phoneticPr fontId="4"/>
  </si>
  <si>
    <t>本書の目的は、単体テストのテスト方針および観点を明確にし、アプリケーションプログラマごとの品質のばらつきを抑制することである。</t>
    <rPh sb="21" eb="23">
      <t>カンテン</t>
    </rPh>
    <rPh sb="45" eb="47">
      <t>ヒンシツ</t>
    </rPh>
    <rPh sb="53" eb="55">
      <t>ヨクセイ</t>
    </rPh>
    <phoneticPr fontId="4"/>
  </si>
  <si>
    <t>本書では、本プロジェクトにおける単体テスト方針、単体テスト実施範囲、単体テスト観点に関して記述する。</t>
    <rPh sb="0" eb="2">
      <t>ホンショ</t>
    </rPh>
    <rPh sb="5" eb="6">
      <t>ホン</t>
    </rPh>
    <rPh sb="16" eb="18">
      <t>タンタイ</t>
    </rPh>
    <rPh sb="21" eb="23">
      <t>ホウシン</t>
    </rPh>
    <rPh sb="24" eb="26">
      <t>タンタイ</t>
    </rPh>
    <rPh sb="29" eb="31">
      <t>ジッシ</t>
    </rPh>
    <rPh sb="31" eb="33">
      <t>ハンイ</t>
    </rPh>
    <rPh sb="34" eb="36">
      <t>タンタイ</t>
    </rPh>
    <rPh sb="39" eb="41">
      <t>カンテン</t>
    </rPh>
    <rPh sb="42" eb="43">
      <t>カン</t>
    </rPh>
    <rPh sb="45" eb="47">
      <t>キジュツ</t>
    </rPh>
    <phoneticPr fontId="4"/>
  </si>
  <si>
    <t>クラス単体テスト、リクエスト単体テスト合わせて、カバレッジのC0（命令網羅）、C1（条件網羅）が100%であることを確認すること。</t>
    <phoneticPr fontId="4"/>
  </si>
  <si>
    <t>・</t>
    <phoneticPr fontId="4"/>
  </si>
  <si>
    <t>一連のリクエストから成る、業務的な意味を持つ最小単位。</t>
  </si>
  <si>
    <t>自動テスト ※4</t>
    <rPh sb="0" eb="2">
      <t>ジドウ</t>
    </rPh>
    <phoneticPr fontId="4"/>
  </si>
  <si>
    <t>クラス単体テスト</t>
    <rPh sb="3" eb="5">
      <t>タンタイ</t>
    </rPh>
    <phoneticPr fontId="4"/>
  </si>
  <si>
    <t>取引単体テスト</t>
    <rPh sb="0" eb="4">
      <t>トリヒキタンタイ</t>
    </rPh>
    <phoneticPr fontId="4"/>
  </si>
  <si>
    <t>打鍵テスト</t>
    <rPh sb="0" eb="2">
      <t>ダケン</t>
    </rPh>
    <phoneticPr fontId="4"/>
  </si>
  <si>
    <t>自動テスト
HTML画面確認</t>
    <rPh sb="0" eb="2">
      <t>ジドウ</t>
    </rPh>
    <rPh sb="10" eb="12">
      <t>ガメン</t>
    </rPh>
    <rPh sb="12" eb="14">
      <t>カクニン</t>
    </rPh>
    <phoneticPr fontId="4"/>
  </si>
  <si>
    <t>入力処理方式ごとのテストの実施方法について下記に記載する。</t>
    <rPh sb="0" eb="6">
      <t>ニュウリョクショリホウシキ</t>
    </rPh>
    <rPh sb="13" eb="17">
      <t>ジッシホウホウ</t>
    </rPh>
    <rPh sb="21" eb="23">
      <t>カキ</t>
    </rPh>
    <rPh sb="24" eb="26">
      <t>キサイ</t>
    </rPh>
    <phoneticPr fontId="4"/>
  </si>
  <si>
    <t>[会社名]</t>
    <rPh sb="1" eb="4">
      <t>カイシャメイ</t>
    </rPh>
    <phoneticPr fontId="8"/>
  </si>
  <si>
    <t>正常取引</t>
    <rPh sb="0" eb="2">
      <t>セイジョウ</t>
    </rPh>
    <rPh sb="2" eb="4">
      <t>トリヒキ</t>
    </rPh>
    <phoneticPr fontId="15"/>
  </si>
  <si>
    <t>システム機能設計書</t>
    <rPh sb="4" eb="6">
      <t>キノウ</t>
    </rPh>
    <rPh sb="6" eb="9">
      <t>セッケイショ</t>
    </rPh>
    <phoneticPr fontId="15"/>
  </si>
  <si>
    <t>バッチ処理フロー</t>
    <rPh sb="3" eb="5">
      <t>ショリ</t>
    </rPh>
    <phoneticPr fontId="15"/>
  </si>
  <si>
    <t>単体テスト仕様書作成単位</t>
    <rPh sb="0" eb="2">
      <t>タンタイ</t>
    </rPh>
    <rPh sb="5" eb="8">
      <t>シヨウショ</t>
    </rPh>
    <rPh sb="8" eb="10">
      <t>サクセイ</t>
    </rPh>
    <rPh sb="10" eb="12">
      <t>タンイ</t>
    </rPh>
    <phoneticPr fontId="15"/>
  </si>
  <si>
    <t>＜設計書の記述例＞</t>
    <rPh sb="1" eb="4">
      <t>セッケイショ</t>
    </rPh>
    <rPh sb="5" eb="7">
      <t>キジュツ</t>
    </rPh>
    <rPh sb="7" eb="8">
      <t>レイ</t>
    </rPh>
    <phoneticPr fontId="11"/>
  </si>
  <si>
    <t>単体テストで取得すべきエビデンスについて説明する。</t>
    <rPh sb="0" eb="2">
      <t>タンタイ</t>
    </rPh>
    <rPh sb="6" eb="8">
      <t>シュトク</t>
    </rPh>
    <rPh sb="20" eb="22">
      <t>セツメイ</t>
    </rPh>
    <phoneticPr fontId="15"/>
  </si>
  <si>
    <t>テスト対象のシステム機能設計書に記載があるテーブルを取得対象とする。</t>
    <rPh sb="3" eb="5">
      <t>タイショウ</t>
    </rPh>
    <phoneticPr fontId="4"/>
  </si>
  <si>
    <t>例1)DBの参照や更新を目的として共通コンポーネントを呼び出している場合</t>
    <rPh sb="6" eb="8">
      <t>サンショウ</t>
    </rPh>
    <rPh sb="9" eb="11">
      <t>コウシン</t>
    </rPh>
    <rPh sb="12" eb="14">
      <t>モクテキ</t>
    </rPh>
    <rPh sb="17" eb="19">
      <t>キョウツウ</t>
    </rPh>
    <rPh sb="27" eb="28">
      <t>ヨ</t>
    </rPh>
    <rPh sb="29" eb="30">
      <t>ダ</t>
    </rPh>
    <rPh sb="34" eb="36">
      <t>バアイ</t>
    </rPh>
    <phoneticPr fontId="4"/>
  </si>
  <si>
    <t>DBの更新を行う処理の場合は、更新前後のDBダンプとその差分をエビデンスとして取得する。</t>
    <rPh sb="3" eb="5">
      <t>コウシン</t>
    </rPh>
    <rPh sb="6" eb="7">
      <t>オコナ</t>
    </rPh>
    <rPh sb="8" eb="10">
      <t>ショリ</t>
    </rPh>
    <rPh sb="11" eb="13">
      <t>バアイ</t>
    </rPh>
    <rPh sb="15" eb="17">
      <t>コウシン</t>
    </rPh>
    <rPh sb="17" eb="19">
      <t>ゼンゴ</t>
    </rPh>
    <rPh sb="28" eb="30">
      <t>サブン</t>
    </rPh>
    <rPh sb="39" eb="41">
      <t>シュトク</t>
    </rPh>
    <phoneticPr fontId="4"/>
  </si>
  <si>
    <t>ファイル名は任意とする。</t>
    <rPh sb="4" eb="5">
      <t>メイ</t>
    </rPh>
    <rPh sb="6" eb="8">
      <t>ニンイ</t>
    </rPh>
    <phoneticPr fontId="4"/>
  </si>
  <si>
    <t>例2)呼び出した共通コンポーネントがどのテーブルの更新や参照をしているのかを、呼び出し側で</t>
    <rPh sb="3" eb="4">
      <t>ヨ</t>
    </rPh>
    <rPh sb="5" eb="6">
      <t>ダ</t>
    </rPh>
    <rPh sb="8" eb="10">
      <t>キョウツウ</t>
    </rPh>
    <rPh sb="25" eb="27">
      <t>コウシン</t>
    </rPh>
    <rPh sb="28" eb="30">
      <t>サンショウ</t>
    </rPh>
    <rPh sb="39" eb="40">
      <t>ヨ</t>
    </rPh>
    <rPh sb="41" eb="42">
      <t>ダ</t>
    </rPh>
    <rPh sb="43" eb="44">
      <t>ガワ</t>
    </rPh>
    <phoneticPr fontId="4"/>
  </si>
  <si>
    <t>　意識しなくて良い場合は、テーブルのダンプを取得する必要はない。</t>
    <rPh sb="1" eb="3">
      <t>イシキ</t>
    </rPh>
    <phoneticPr fontId="4"/>
  </si>
  <si>
    <t>クラス単体テストで取得すべきエビデンスは下記の通り。</t>
    <rPh sb="3" eb="5">
      <t>タンタイ</t>
    </rPh>
    <rPh sb="9" eb="11">
      <t>シュトク</t>
    </rPh>
    <rPh sb="20" eb="22">
      <t>カキ</t>
    </rPh>
    <rPh sb="23" eb="24">
      <t>トオ</t>
    </rPh>
    <phoneticPr fontId="15"/>
  </si>
  <si>
    <t>エビデンス名</t>
    <rPh sb="5" eb="6">
      <t>メイ</t>
    </rPh>
    <phoneticPr fontId="4"/>
  </si>
  <si>
    <t>説明</t>
    <rPh sb="0" eb="2">
      <t>セツメイ</t>
    </rPh>
    <phoneticPr fontId="4"/>
  </si>
  <si>
    <t>自動テストを実行するためのクラス。</t>
    <rPh sb="0" eb="2">
      <t>ジドウ</t>
    </rPh>
    <rPh sb="6" eb="8">
      <t>ジッコウ</t>
    </rPh>
    <phoneticPr fontId="4"/>
  </si>
  <si>
    <t>リクエスト単体テストで取得すべきエビデンスは下記の通り。</t>
    <rPh sb="5" eb="7">
      <t>タンタイ</t>
    </rPh>
    <rPh sb="11" eb="13">
      <t>シュトク</t>
    </rPh>
    <rPh sb="22" eb="24">
      <t>カキ</t>
    </rPh>
    <rPh sb="25" eb="26">
      <t>トオ</t>
    </rPh>
    <phoneticPr fontId="4"/>
  </si>
  <si>
    <t>2.1.</t>
    <phoneticPr fontId="4"/>
  </si>
  <si>
    <t>※1</t>
    <phoneticPr fontId="4"/>
  </si>
  <si>
    <t>※4</t>
    <phoneticPr fontId="4"/>
  </si>
  <si>
    <t>1取引1リクエスト処理の場合は実施不要。</t>
    <phoneticPr fontId="4"/>
  </si>
  <si>
    <t>3.1.</t>
    <phoneticPr fontId="4"/>
  </si>
  <si>
    <t>No</t>
    <phoneticPr fontId="15"/>
  </si>
  <si>
    <t>単体テストのエビデンスは、テストの実施内容とテスト結果が確認できるように取得すること。</t>
    <phoneticPr fontId="4"/>
  </si>
  <si>
    <t>自動テスト用のデータシートが記述されたExcelファイル。</t>
    <phoneticPr fontId="4"/>
  </si>
  <si>
    <t>カバレッジレポート</t>
    <phoneticPr fontId="4"/>
  </si>
  <si>
    <t>画面HTML</t>
    <phoneticPr fontId="4"/>
  </si>
  <si>
    <t>ログ</t>
    <phoneticPr fontId="4"/>
  </si>
  <si>
    <t>DBダンプ</t>
    <phoneticPr fontId="4"/>
  </si>
  <si>
    <t>　(システム機能設計書に下記のような記述がある場合)は、対象テーブルのDBダンプを取得する。</t>
    <rPh sb="28" eb="30">
      <t>タイショウ</t>
    </rPh>
    <rPh sb="41" eb="43">
      <t>シュトク</t>
    </rPh>
    <phoneticPr fontId="4"/>
  </si>
  <si>
    <t>インプットデータ</t>
    <phoneticPr fontId="4"/>
  </si>
  <si>
    <t>[root]</t>
    <phoneticPr fontId="15"/>
  </si>
  <si>
    <t>└──[取引ID]</t>
    <phoneticPr fontId="15"/>
  </si>
  <si>
    <t>├──リクエスト単体テスト</t>
    <phoneticPr fontId="4"/>
  </si>
  <si>
    <t>…</t>
    <phoneticPr fontId="4"/>
  </si>
  <si>
    <t>└──取引単体テスト</t>
    <phoneticPr fontId="15"/>
  </si>
  <si>
    <t>検索取引</t>
    <phoneticPr fontId="4"/>
  </si>
  <si>
    <t>一覧照会（検索）</t>
    <phoneticPr fontId="4"/>
  </si>
  <si>
    <t>→</t>
    <phoneticPr fontId="4"/>
  </si>
  <si>
    <t>一覧照会（結果）</t>
    <phoneticPr fontId="4"/>
  </si>
  <si>
    <t>登録取引</t>
    <phoneticPr fontId="4"/>
  </si>
  <si>
    <t>登録</t>
    <phoneticPr fontId="4"/>
  </si>
  <si>
    <t>更新取引</t>
    <phoneticPr fontId="4"/>
  </si>
  <si>
    <t>更新</t>
    <phoneticPr fontId="4"/>
  </si>
  <si>
    <t>削除取引</t>
    <phoneticPr fontId="4"/>
  </si>
  <si>
    <t>削除確認</t>
    <phoneticPr fontId="4"/>
  </si>
  <si>
    <t>詳細表示[※戻る]</t>
    <rPh sb="6" eb="7">
      <t>モド</t>
    </rPh>
    <phoneticPr fontId="4"/>
  </si>
  <si>
    <t>⇒</t>
    <phoneticPr fontId="4"/>
  </si>
  <si>
    <t>登録確認[※戻る]</t>
    <phoneticPr fontId="4"/>
  </si>
  <si>
    <t>更新[※戻る]</t>
    <phoneticPr fontId="4"/>
  </si>
  <si>
    <t>更新確認[※戻る]</t>
    <rPh sb="2" eb="4">
      <t>カクニン</t>
    </rPh>
    <phoneticPr fontId="4"/>
  </si>
  <si>
    <t>削除確認[※戻る]</t>
    <phoneticPr fontId="4"/>
  </si>
  <si>
    <t>一覧照会[※エラー]</t>
    <phoneticPr fontId="4"/>
  </si>
  <si>
    <t>登録[※エラー]</t>
    <rPh sb="0" eb="2">
      <t>トウロク</t>
    </rPh>
    <phoneticPr fontId="4"/>
  </si>
  <si>
    <t>更新[※エラー]</t>
    <rPh sb="0" eb="2">
      <t>コウシン</t>
    </rPh>
    <phoneticPr fontId="4"/>
  </si>
  <si>
    <t>システム機能設計書の別紙に記載されたデータバリエーションを網羅すること。</t>
    <rPh sb="4" eb="9">
      <t>キノウセッケイショ</t>
    </rPh>
    <rPh sb="10" eb="12">
      <t>ベッシ</t>
    </rPh>
    <rPh sb="13" eb="15">
      <t>キサイ</t>
    </rPh>
    <rPh sb="29" eb="31">
      <t>モウラ</t>
    </rPh>
    <phoneticPr fontId="4"/>
  </si>
  <si>
    <t>すべての単体テストケースが実施済みであり、結果がすべて合格であること。</t>
    <rPh sb="13" eb="15">
      <t>ジッシ</t>
    </rPh>
    <rPh sb="15" eb="16">
      <t>ズ</t>
    </rPh>
    <rPh sb="21" eb="23">
      <t>ケッカ</t>
    </rPh>
    <rPh sb="27" eb="29">
      <t>ゴウカク</t>
    </rPh>
    <phoneticPr fontId="4"/>
  </si>
  <si>
    <t>単体テストの終了条件は以下の通りとする。</t>
    <rPh sb="0" eb="2">
      <t>タンタイ</t>
    </rPh>
    <rPh sb="6" eb="8">
      <t>シュウリョウ</t>
    </rPh>
    <rPh sb="8" eb="10">
      <t>ジョウケン</t>
    </rPh>
    <rPh sb="11" eb="13">
      <t>イカ</t>
    </rPh>
    <rPh sb="14" eb="15">
      <t>トオ</t>
    </rPh>
    <phoneticPr fontId="4"/>
  </si>
  <si>
    <t>カバレッジが100%に到達しない場合は、その理由を明確にして問題がないことを確認する。</t>
    <rPh sb="22" eb="24">
      <t>リユウ</t>
    </rPh>
    <rPh sb="25" eb="27">
      <t>メイカク</t>
    </rPh>
    <rPh sb="30" eb="32">
      <t>モンダイ</t>
    </rPh>
    <rPh sb="38" eb="40">
      <t>カクニン</t>
    </rPh>
    <phoneticPr fontId="4"/>
  </si>
  <si>
    <t>単体テスト観点概要</t>
    <rPh sb="0" eb="2">
      <t>タンタイ</t>
    </rPh>
    <rPh sb="5" eb="7">
      <t>カンテン</t>
    </rPh>
    <rPh sb="7" eb="9">
      <t>ガイヨウ</t>
    </rPh>
    <phoneticPr fontId="4"/>
  </si>
  <si>
    <t>単体テスト結果レビューにおける指摘事項がすべて修正済みであり、確認結果が合格であること。</t>
    <rPh sb="0" eb="2">
      <t>タンタイ</t>
    </rPh>
    <rPh sb="5" eb="7">
      <t>ケッカ</t>
    </rPh>
    <rPh sb="15" eb="17">
      <t>シテキ</t>
    </rPh>
    <rPh sb="17" eb="19">
      <t>ジコウ</t>
    </rPh>
    <rPh sb="23" eb="25">
      <t>シュウセイ</t>
    </rPh>
    <rPh sb="25" eb="26">
      <t>ズ</t>
    </rPh>
    <rPh sb="31" eb="33">
      <t>カクニン</t>
    </rPh>
    <rPh sb="33" eb="35">
      <t>ケッカ</t>
    </rPh>
    <rPh sb="36" eb="38">
      <t>ゴウカク</t>
    </rPh>
    <phoneticPr fontId="4"/>
  </si>
  <si>
    <t>画面遷移図
画面イベント一覧</t>
    <rPh sb="0" eb="5">
      <t>ガメンセンイズ</t>
    </rPh>
    <phoneticPr fontId="4"/>
  </si>
  <si>
    <t>画面</t>
    <rPh sb="0" eb="2">
      <t>ガメン</t>
    </rPh>
    <phoneticPr fontId="4"/>
  </si>
  <si>
    <t>画面・ディレード　※1</t>
    <rPh sb="0" eb="2">
      <t>ガメン</t>
    </rPh>
    <phoneticPr fontId="4"/>
  </si>
  <si>
    <t>都度起動バッチ</t>
    <rPh sb="0" eb="4">
      <t>ツドキドウ</t>
    </rPh>
    <phoneticPr fontId="4"/>
  </si>
  <si>
    <t>常駐バッチ
(ディレード)</t>
    <rPh sb="0" eb="2">
      <t>ジョウチュウ</t>
    </rPh>
    <phoneticPr fontId="4"/>
  </si>
  <si>
    <t>メッセージ同期応答</t>
    <rPh sb="5" eb="7">
      <t>ドウキ</t>
    </rPh>
    <rPh sb="7" eb="9">
      <t>オウトウ</t>
    </rPh>
    <phoneticPr fontId="4"/>
  </si>
  <si>
    <t>メッセージ無応答・ディレード
※3</t>
    <rPh sb="5" eb="8">
      <t>ムオウトウ</t>
    </rPh>
    <phoneticPr fontId="4"/>
  </si>
  <si>
    <t>メッセージ同期応答・ディレード
※2</t>
    <rPh sb="5" eb="7">
      <t>ドウキ</t>
    </rPh>
    <rPh sb="7" eb="9">
      <t>オウトウ</t>
    </rPh>
    <phoneticPr fontId="4"/>
  </si>
  <si>
    <t>確認観点3</t>
    <rPh sb="0" eb="2">
      <t>カクニン</t>
    </rPh>
    <rPh sb="2" eb="4">
      <t>カンテン</t>
    </rPh>
    <phoneticPr fontId="4"/>
  </si>
  <si>
    <t>取引実行確認</t>
    <rPh sb="0" eb="2">
      <t>トリヒキ</t>
    </rPh>
    <rPh sb="2" eb="4">
      <t>ジッコウ</t>
    </rPh>
    <rPh sb="4" eb="6">
      <t>カクニン</t>
    </rPh>
    <phoneticPr fontId="20"/>
  </si>
  <si>
    <t>正常取引</t>
    <rPh sb="0" eb="2">
      <t>セイジョウ</t>
    </rPh>
    <rPh sb="2" eb="4">
      <t>トリヒキ</t>
    </rPh>
    <phoneticPr fontId="20"/>
  </si>
  <si>
    <t>戻るイベント</t>
    <rPh sb="0" eb="1">
      <t>モド</t>
    </rPh>
    <phoneticPr fontId="20"/>
  </si>
  <si>
    <t>検索結果0件</t>
    <rPh sb="0" eb="2">
      <t>ケンサク</t>
    </rPh>
    <rPh sb="2" eb="4">
      <t>ケッカ</t>
    </rPh>
    <rPh sb="5" eb="6">
      <t>ケン</t>
    </rPh>
    <phoneticPr fontId="20"/>
  </si>
  <si>
    <t>サブウィンドウ連携</t>
    <rPh sb="7" eb="9">
      <t>レンケイ</t>
    </rPh>
    <phoneticPr fontId="20"/>
  </si>
  <si>
    <t>異常取引</t>
    <rPh sb="0" eb="2">
      <t>イジョウ</t>
    </rPh>
    <rPh sb="2" eb="4">
      <t>トリヒキ</t>
    </rPh>
    <phoneticPr fontId="20"/>
  </si>
  <si>
    <t>精査エラー</t>
    <rPh sb="0" eb="2">
      <t>セイサ</t>
    </rPh>
    <phoneticPr fontId="20"/>
  </si>
  <si>
    <t>検索結果上限超過エラー</t>
    <rPh sb="0" eb="2">
      <t>ケンサク</t>
    </rPh>
    <rPh sb="2" eb="4">
      <t>ケッカ</t>
    </rPh>
    <rPh sb="4" eb="6">
      <t>ジョウゲン</t>
    </rPh>
    <rPh sb="6" eb="8">
      <t>チョウカ</t>
    </rPh>
    <phoneticPr fontId="20"/>
  </si>
  <si>
    <t>排他制御エラー</t>
    <rPh sb="0" eb="2">
      <t>ハイタ</t>
    </rPh>
    <rPh sb="2" eb="4">
      <t>セイギョ</t>
    </rPh>
    <phoneticPr fontId="20"/>
  </si>
  <si>
    <t>ページング処理、ソート処理　など</t>
    <rPh sb="11" eb="13">
      <t>ショリ</t>
    </rPh>
    <phoneticPr fontId="20"/>
  </si>
  <si>
    <t>画面遷移図
システム機能設計書</t>
    <phoneticPr fontId="4"/>
  </si>
  <si>
    <t>打鍵テスト</t>
    <phoneticPr fontId="15"/>
  </si>
  <si>
    <t>リクエスト結合</t>
    <rPh sb="5" eb="7">
      <t>ケツゴウ</t>
    </rPh>
    <phoneticPr fontId="15"/>
  </si>
  <si>
    <t>※1</t>
    <phoneticPr fontId="4"/>
  </si>
  <si>
    <t>取引実行確認</t>
    <rPh sb="0" eb="2">
      <t>トリヒキ</t>
    </rPh>
    <rPh sb="2" eb="4">
      <t>ジッコウ</t>
    </rPh>
    <rPh sb="4" eb="6">
      <t>カクニン</t>
    </rPh>
    <phoneticPr fontId="15"/>
  </si>
  <si>
    <t>その他エラー</t>
    <rPh sb="2" eb="3">
      <t>タ</t>
    </rPh>
    <phoneticPr fontId="20"/>
  </si>
  <si>
    <t>画面遷移パターン</t>
    <rPh sb="0" eb="2">
      <t>ガメン</t>
    </rPh>
    <rPh sb="2" eb="4">
      <t>センイ</t>
    </rPh>
    <phoneticPr fontId="20"/>
  </si>
  <si>
    <t>取引を通して正常に処理が実行されていることを確認するために、各リクエストでの処理結果（画面ダンプ、DBダンプなど）を取得する。</t>
    <rPh sb="0" eb="2">
      <t>トリヒキ</t>
    </rPh>
    <rPh sb="3" eb="4">
      <t>トオ</t>
    </rPh>
    <rPh sb="6" eb="8">
      <t>セイジョウ</t>
    </rPh>
    <rPh sb="9" eb="11">
      <t>ショリ</t>
    </rPh>
    <rPh sb="12" eb="14">
      <t>ジッコウ</t>
    </rPh>
    <rPh sb="22" eb="24">
      <t>カクニン</t>
    </rPh>
    <rPh sb="38" eb="40">
      <t>ショリ</t>
    </rPh>
    <rPh sb="40" eb="42">
      <t>ケッカ</t>
    </rPh>
    <rPh sb="43" eb="45">
      <t>ガメン</t>
    </rPh>
    <rPh sb="58" eb="60">
      <t>シュトク</t>
    </rPh>
    <phoneticPr fontId="4"/>
  </si>
  <si>
    <t>一覧検索などの検索処理を行う取引で、検索結果が0件となった場合を含む画面遷移パターン。</t>
    <rPh sb="0" eb="2">
      <t>イチラン</t>
    </rPh>
    <rPh sb="2" eb="4">
      <t>ケンサク</t>
    </rPh>
    <rPh sb="7" eb="9">
      <t>ケンサク</t>
    </rPh>
    <rPh sb="9" eb="11">
      <t>ショリ</t>
    </rPh>
    <rPh sb="12" eb="13">
      <t>オコナ</t>
    </rPh>
    <rPh sb="14" eb="16">
      <t>トリヒキ</t>
    </rPh>
    <rPh sb="18" eb="20">
      <t>ケンサク</t>
    </rPh>
    <rPh sb="20" eb="22">
      <t>ケッカ</t>
    </rPh>
    <rPh sb="24" eb="25">
      <t>ケン</t>
    </rPh>
    <rPh sb="29" eb="31">
      <t>バアイ</t>
    </rPh>
    <rPh sb="32" eb="33">
      <t>フク</t>
    </rPh>
    <rPh sb="34" eb="36">
      <t>ガメン</t>
    </rPh>
    <rPh sb="36" eb="38">
      <t>センイ</t>
    </rPh>
    <phoneticPr fontId="4"/>
  </si>
  <si>
    <t>取引の画面遷移中に、戻る処理を含む画面遷移パターン。</t>
    <rPh sb="0" eb="2">
      <t>トリヒキ</t>
    </rPh>
    <rPh sb="3" eb="5">
      <t>ガメン</t>
    </rPh>
    <rPh sb="5" eb="7">
      <t>センイ</t>
    </rPh>
    <rPh sb="7" eb="8">
      <t>チュウ</t>
    </rPh>
    <rPh sb="10" eb="11">
      <t>モド</t>
    </rPh>
    <rPh sb="12" eb="14">
      <t>ショリ</t>
    </rPh>
    <rPh sb="15" eb="16">
      <t>フク</t>
    </rPh>
    <rPh sb="17" eb="19">
      <t>ガメン</t>
    </rPh>
    <rPh sb="19" eb="21">
      <t>センイ</t>
    </rPh>
    <phoneticPr fontId="4"/>
  </si>
  <si>
    <t>取引の画面遷移中に、サブウィンドウでの処理の実行を含む画面遷移パターン。</t>
    <rPh sb="0" eb="2">
      <t>トリヒキ</t>
    </rPh>
    <rPh sb="3" eb="5">
      <t>ガメン</t>
    </rPh>
    <rPh sb="5" eb="7">
      <t>センイ</t>
    </rPh>
    <rPh sb="7" eb="8">
      <t>チュウ</t>
    </rPh>
    <rPh sb="19" eb="21">
      <t>ショリ</t>
    </rPh>
    <rPh sb="22" eb="24">
      <t>ジッコウ</t>
    </rPh>
    <rPh sb="25" eb="26">
      <t>フク</t>
    </rPh>
    <rPh sb="27" eb="29">
      <t>ガメン</t>
    </rPh>
    <rPh sb="29" eb="31">
      <t>センイ</t>
    </rPh>
    <phoneticPr fontId="4"/>
  </si>
  <si>
    <t>検証を行うこと。</t>
    <rPh sb="0" eb="2">
      <t>ケンショウ</t>
    </rPh>
    <rPh sb="3" eb="4">
      <t>オコナ</t>
    </rPh>
    <phoneticPr fontId="4"/>
  </si>
  <si>
    <t>特に、サブウィンドウの開閉時に親ウィンドウとサブウィンドウ間での情報の連携が正しく行われているかどうかについても</t>
    <rPh sb="0" eb="1">
      <t>トク</t>
    </rPh>
    <rPh sb="11" eb="13">
      <t>カイヘイ</t>
    </rPh>
    <rPh sb="13" eb="14">
      <t>ジ</t>
    </rPh>
    <rPh sb="15" eb="16">
      <t>オヤ</t>
    </rPh>
    <rPh sb="29" eb="30">
      <t>カン</t>
    </rPh>
    <rPh sb="32" eb="34">
      <t>ジョウホウ</t>
    </rPh>
    <rPh sb="35" eb="37">
      <t>レンケイ</t>
    </rPh>
    <rPh sb="38" eb="39">
      <t>タダ</t>
    </rPh>
    <rPh sb="41" eb="42">
      <t>オコナ</t>
    </rPh>
    <phoneticPr fontId="4"/>
  </si>
  <si>
    <t>エラーや戻るイベントが発生せずに取引を完了する画面遷移パターン。</t>
    <rPh sb="4" eb="5">
      <t>モド</t>
    </rPh>
    <rPh sb="11" eb="13">
      <t>ハッセイ</t>
    </rPh>
    <rPh sb="16" eb="18">
      <t>トリヒキ</t>
    </rPh>
    <rPh sb="19" eb="21">
      <t>カンリョウ</t>
    </rPh>
    <rPh sb="23" eb="25">
      <t>ガメン</t>
    </rPh>
    <rPh sb="25" eb="27">
      <t>センイ</t>
    </rPh>
    <phoneticPr fontId="4"/>
  </si>
  <si>
    <t>取引の画面遷移中に、以下のようなエラーが発生する場合を含む画面遷移パターン。</t>
    <rPh sb="0" eb="2">
      <t>トリヒキ</t>
    </rPh>
    <rPh sb="3" eb="5">
      <t>ガメン</t>
    </rPh>
    <rPh sb="5" eb="7">
      <t>センイ</t>
    </rPh>
    <rPh sb="7" eb="8">
      <t>チュウ</t>
    </rPh>
    <rPh sb="10" eb="12">
      <t>イカ</t>
    </rPh>
    <rPh sb="20" eb="22">
      <t>ハッセイ</t>
    </rPh>
    <rPh sb="24" eb="26">
      <t>バアイ</t>
    </rPh>
    <rPh sb="27" eb="28">
      <t>フク</t>
    </rPh>
    <rPh sb="29" eb="31">
      <t>ガメン</t>
    </rPh>
    <rPh sb="31" eb="33">
      <t>センイ</t>
    </rPh>
    <phoneticPr fontId="4"/>
  </si>
  <si>
    <t>精査エラー</t>
    <rPh sb="0" eb="2">
      <t>セイサ</t>
    </rPh>
    <phoneticPr fontId="4"/>
  </si>
  <si>
    <t>検索結果上限超過エラー</t>
    <rPh sb="0" eb="2">
      <t>ケンサク</t>
    </rPh>
    <rPh sb="2" eb="4">
      <t>ケッカ</t>
    </rPh>
    <rPh sb="4" eb="6">
      <t>ジョウゲン</t>
    </rPh>
    <rPh sb="6" eb="8">
      <t>チョウカ</t>
    </rPh>
    <phoneticPr fontId="4"/>
  </si>
  <si>
    <t>排他制御エラー</t>
    <rPh sb="0" eb="2">
      <t>ハイタ</t>
    </rPh>
    <rPh sb="2" eb="4">
      <t>セイギョ</t>
    </rPh>
    <phoneticPr fontId="4"/>
  </si>
  <si>
    <t>上記以外にも、業務的に発生しうるエラーが存在する場合には、それらのエラーが発生するパターンについても確認する。</t>
    <rPh sb="0" eb="2">
      <t>ジョウキ</t>
    </rPh>
    <rPh sb="2" eb="4">
      <t>イガイ</t>
    </rPh>
    <rPh sb="7" eb="10">
      <t>ギョウムテキ</t>
    </rPh>
    <rPh sb="11" eb="13">
      <t>ハッセイ</t>
    </rPh>
    <rPh sb="20" eb="22">
      <t>ソンザイ</t>
    </rPh>
    <rPh sb="24" eb="26">
      <t>バアイ</t>
    </rPh>
    <rPh sb="37" eb="39">
      <t>ハッセイ</t>
    </rPh>
    <rPh sb="50" eb="52">
      <t>カクニン</t>
    </rPh>
    <phoneticPr fontId="4"/>
  </si>
  <si>
    <t>取引の画面遷移中に、一覧検索結果のページングやソートなど、上記以外のイベントを含む画面遷移パターン。</t>
    <rPh sb="0" eb="2">
      <t>トリヒキ</t>
    </rPh>
    <rPh sb="3" eb="5">
      <t>ガメン</t>
    </rPh>
    <rPh sb="5" eb="7">
      <t>センイ</t>
    </rPh>
    <rPh sb="7" eb="8">
      <t>チュウ</t>
    </rPh>
    <rPh sb="10" eb="12">
      <t>イチラン</t>
    </rPh>
    <rPh sb="12" eb="14">
      <t>ケンサク</t>
    </rPh>
    <rPh sb="14" eb="16">
      <t>ケッカ</t>
    </rPh>
    <rPh sb="29" eb="31">
      <t>ジョウキ</t>
    </rPh>
    <rPh sb="31" eb="33">
      <t>イガイ</t>
    </rPh>
    <rPh sb="39" eb="40">
      <t>フク</t>
    </rPh>
    <rPh sb="41" eb="43">
      <t>ガメン</t>
    </rPh>
    <rPh sb="43" eb="45">
      <t>センイ</t>
    </rPh>
    <phoneticPr fontId="4"/>
  </si>
  <si>
    <t>&lt;&lt;画面遷移パターンの例&gt;&gt;</t>
    <rPh sb="2" eb="4">
      <t>ガメン</t>
    </rPh>
    <rPh sb="4" eb="6">
      <t>センイ</t>
    </rPh>
    <rPh sb="11" eb="12">
      <t>レイ</t>
    </rPh>
    <phoneticPr fontId="4"/>
  </si>
  <si>
    <t>また、クラス単体テストおよびリクエスト単体テストの単体テスト仕様書の作成要否については、アーキテクトの指示に従うこと。</t>
    <rPh sb="6" eb="8">
      <t>タンタイ</t>
    </rPh>
    <rPh sb="19" eb="21">
      <t>タンタイ</t>
    </rPh>
    <rPh sb="25" eb="27">
      <t>タンタイ</t>
    </rPh>
    <rPh sb="30" eb="33">
      <t>シヨウショ</t>
    </rPh>
    <rPh sb="34" eb="36">
      <t>サクセイ</t>
    </rPh>
    <rPh sb="36" eb="38">
      <t>ヨウヒ</t>
    </rPh>
    <rPh sb="51" eb="53">
      <t>シジ</t>
    </rPh>
    <rPh sb="54" eb="55">
      <t>シタガ</t>
    </rPh>
    <phoneticPr fontId="4"/>
  </si>
  <si>
    <t>なお、本書で記述する単体テスト観点は最低限考慮すべき観点である。</t>
    <rPh sb="3" eb="5">
      <t>ホンショ</t>
    </rPh>
    <rPh sb="6" eb="8">
      <t>キジュツ</t>
    </rPh>
    <rPh sb="10" eb="12">
      <t>タンタイ</t>
    </rPh>
    <rPh sb="15" eb="17">
      <t>カンテン</t>
    </rPh>
    <rPh sb="18" eb="21">
      <t>サイテイゲン</t>
    </rPh>
    <rPh sb="21" eb="23">
      <t>コウリョ</t>
    </rPh>
    <rPh sb="26" eb="28">
      <t>カンテン</t>
    </rPh>
    <phoneticPr fontId="4"/>
  </si>
  <si>
    <t>機能によって追加で確認が必要な観点があれば追加してテストを実施すること。</t>
    <rPh sb="9" eb="11">
      <t>カクニン</t>
    </rPh>
    <rPh sb="21" eb="23">
      <t>ツイカ</t>
    </rPh>
    <rPh sb="29" eb="31">
      <t>ジッシ</t>
    </rPh>
    <phoneticPr fontId="4"/>
  </si>
  <si>
    <t>1つのシステム機能設計書あるいは共通コンポーネント設計書に対し1つの単体テスト仕様書を作成する。</t>
    <rPh sb="7" eb="9">
      <t>キノウ</t>
    </rPh>
    <rPh sb="9" eb="12">
      <t>セッケイショ</t>
    </rPh>
    <rPh sb="16" eb="18">
      <t>キョウツウ</t>
    </rPh>
    <rPh sb="25" eb="28">
      <t>セッケイショ</t>
    </rPh>
    <rPh sb="29" eb="30">
      <t>タイ</t>
    </rPh>
    <rPh sb="34" eb="36">
      <t>タンタイ</t>
    </rPh>
    <rPh sb="39" eb="42">
      <t>シヨウショ</t>
    </rPh>
    <rPh sb="43" eb="45">
      <t>サクセイ</t>
    </rPh>
    <phoneticPr fontId="15"/>
  </si>
  <si>
    <t>なお、Formクラスの単体テストについては、クラス単体テストケースで網羅性の確認を行えるため、単体テスト仕様書は作成しない。</t>
    <rPh sb="11" eb="13">
      <t>タンタイ</t>
    </rPh>
    <rPh sb="25" eb="27">
      <t>タンタイ</t>
    </rPh>
    <rPh sb="34" eb="37">
      <t>モウラセイ</t>
    </rPh>
    <rPh sb="38" eb="40">
      <t>カクニン</t>
    </rPh>
    <rPh sb="41" eb="42">
      <t>オコナ</t>
    </rPh>
    <rPh sb="47" eb="49">
      <t>タンタイ</t>
    </rPh>
    <rPh sb="52" eb="55">
      <t>シヨウショ</t>
    </rPh>
    <rPh sb="56" eb="58">
      <t>サクセイ</t>
    </rPh>
    <phoneticPr fontId="4"/>
  </si>
  <si>
    <t>①権限を持たないユーザのアクセス(認可)</t>
    <rPh sb="1" eb="3">
      <t>ケンゲン</t>
    </rPh>
    <rPh sb="4" eb="5">
      <t>モ</t>
    </rPh>
    <phoneticPr fontId="15"/>
  </si>
  <si>
    <t>③画面遷移以外の方法でアクセス(URLの直打ち等)</t>
    <phoneticPr fontId="4"/>
  </si>
  <si>
    <t>対応設計書</t>
    <phoneticPr fontId="4"/>
  </si>
  <si>
    <t>取引全体を通して、仕様通りに取引内の処理が実行されることを確認する。</t>
    <rPh sb="0" eb="2">
      <t>トリヒキ</t>
    </rPh>
    <rPh sb="2" eb="4">
      <t>ゼンタイ</t>
    </rPh>
    <rPh sb="5" eb="6">
      <t>トオ</t>
    </rPh>
    <rPh sb="9" eb="11">
      <t>シヨウ</t>
    </rPh>
    <rPh sb="11" eb="12">
      <t>ドオ</t>
    </rPh>
    <rPh sb="14" eb="16">
      <t>トリヒキ</t>
    </rPh>
    <rPh sb="16" eb="17">
      <t>ナイ</t>
    </rPh>
    <rPh sb="18" eb="20">
      <t>ショリ</t>
    </rPh>
    <rPh sb="21" eb="23">
      <t>ジッコウ</t>
    </rPh>
    <rPh sb="29" eb="31">
      <t>カクニン</t>
    </rPh>
    <phoneticPr fontId="4"/>
  </si>
  <si>
    <t>画面遷移パターンごとに、取引が仕様通りに実行されることを確認する。</t>
    <rPh sb="0" eb="2">
      <t>ガメン</t>
    </rPh>
    <rPh sb="2" eb="4">
      <t>センイ</t>
    </rPh>
    <rPh sb="12" eb="14">
      <t>トリヒキ</t>
    </rPh>
    <rPh sb="15" eb="17">
      <t>シヨウ</t>
    </rPh>
    <rPh sb="17" eb="18">
      <t>ドオ</t>
    </rPh>
    <rPh sb="20" eb="22">
      <t>ジッコウ</t>
    </rPh>
    <rPh sb="28" eb="30">
      <t>カクニン</t>
    </rPh>
    <phoneticPr fontId="4"/>
  </si>
  <si>
    <t>また、各画面での表示内容および画面間でのウィンドウスコープやhiddenタグを使用した情報の引継ぎが仕様通りに行われていることを確認する。</t>
    <rPh sb="39" eb="41">
      <t>シヨウ</t>
    </rPh>
    <rPh sb="52" eb="53">
      <t>ドオ</t>
    </rPh>
    <phoneticPr fontId="4"/>
  </si>
  <si>
    <t>上記の画面遷移パターンを組み合わせた場合にも、取引が仕様通りに実行されることを確認する。</t>
    <rPh sb="0" eb="2">
      <t>ジョウキ</t>
    </rPh>
    <rPh sb="3" eb="5">
      <t>ガメン</t>
    </rPh>
    <rPh sb="5" eb="7">
      <t>センイ</t>
    </rPh>
    <rPh sb="12" eb="13">
      <t>ク</t>
    </rPh>
    <rPh sb="14" eb="15">
      <t>ア</t>
    </rPh>
    <rPh sb="18" eb="20">
      <t>バアイ</t>
    </rPh>
    <rPh sb="23" eb="25">
      <t>トリヒキ</t>
    </rPh>
    <rPh sb="26" eb="28">
      <t>シヨウ</t>
    </rPh>
    <rPh sb="28" eb="29">
      <t>ドオ</t>
    </rPh>
    <rPh sb="31" eb="33">
      <t>ジッコウ</t>
    </rPh>
    <rPh sb="39" eb="41">
      <t>カクニン</t>
    </rPh>
    <phoneticPr fontId="4"/>
  </si>
  <si>
    <t>※リクエスト単体テストごとにテスト仕様書を作成すると、総合的にテストケースが十分かの確認がしづらいためである。</t>
    <phoneticPr fontId="15"/>
  </si>
  <si>
    <t>※水色のセル列は、テスト仕様書(リクエスト・取引単体テスト)の同列へ転記すること</t>
    <rPh sb="1" eb="3">
      <t>ミズイロ</t>
    </rPh>
    <rPh sb="2" eb="3">
      <t>イロ</t>
    </rPh>
    <rPh sb="6" eb="7">
      <t>レツ</t>
    </rPh>
    <rPh sb="12" eb="15">
      <t>シヨウショ</t>
    </rPh>
    <rPh sb="22" eb="24">
      <t>トリヒキ</t>
    </rPh>
    <rPh sb="24" eb="26">
      <t>タンタイ</t>
    </rPh>
    <rPh sb="31" eb="33">
      <t>ドウレツ</t>
    </rPh>
    <rPh sb="34" eb="36">
      <t>テンキ</t>
    </rPh>
    <phoneticPr fontId="15"/>
  </si>
  <si>
    <t>取引全体を通した処理内容、画面遷移が仕様通りであることを確認</t>
    <rPh sb="0" eb="2">
      <t>トリヒキ</t>
    </rPh>
    <rPh sb="2" eb="4">
      <t>ゼンタイ</t>
    </rPh>
    <rPh sb="5" eb="6">
      <t>トオ</t>
    </rPh>
    <rPh sb="8" eb="10">
      <t>ショリ</t>
    </rPh>
    <rPh sb="10" eb="12">
      <t>ナイヨウ</t>
    </rPh>
    <rPh sb="13" eb="15">
      <t>ガメン</t>
    </rPh>
    <rPh sb="15" eb="17">
      <t>センイ</t>
    </rPh>
    <rPh sb="18" eb="20">
      <t>シヨウ</t>
    </rPh>
    <rPh sb="20" eb="21">
      <t>ドオ</t>
    </rPh>
    <rPh sb="28" eb="30">
      <t>カクニン</t>
    </rPh>
    <phoneticPr fontId="20"/>
  </si>
  <si>
    <t>取引内のすべての処理が正常終了することを確認</t>
    <rPh sb="0" eb="3">
      <t>トリヒキナイ</t>
    </rPh>
    <rPh sb="8" eb="10">
      <t>ショリ</t>
    </rPh>
    <rPh sb="11" eb="15">
      <t>セイジョウシュウリョウ</t>
    </rPh>
    <rPh sb="20" eb="22">
      <t>カクニン</t>
    </rPh>
    <phoneticPr fontId="15"/>
  </si>
  <si>
    <t>取引のインプットデータからアウトプットデータが正しく作成されることを確認
（システム機能設計書の別紙にデータバリエーションが記載されている場合に実施する。）</t>
    <rPh sb="0" eb="2">
      <t>トリヒキ</t>
    </rPh>
    <rPh sb="23" eb="24">
      <t>タダ</t>
    </rPh>
    <rPh sb="26" eb="28">
      <t>サクセイ</t>
    </rPh>
    <rPh sb="34" eb="36">
      <t>カクニン</t>
    </rPh>
    <rPh sb="42" eb="44">
      <t>キノウ</t>
    </rPh>
    <rPh sb="44" eb="47">
      <t>セッケイショ</t>
    </rPh>
    <rPh sb="48" eb="50">
      <t>ベッシ</t>
    </rPh>
    <rPh sb="62" eb="64">
      <t>キサイ</t>
    </rPh>
    <rPh sb="69" eb="71">
      <t>バアイ</t>
    </rPh>
    <rPh sb="72" eb="74">
      <t>ジッシ</t>
    </rPh>
    <phoneticPr fontId="15"/>
  </si>
  <si>
    <t>ただし、Formクラスのアクセサについてはカバレッジが100%にならないとしても、問題なしとする。</t>
    <rPh sb="41" eb="43">
      <t>モンダイ</t>
    </rPh>
    <phoneticPr fontId="15"/>
  </si>
  <si>
    <t>　(Formの場合はリクエスト単体テストで通過しないsetterはどこからも呼ばれることが無いため、通過していなくても問題なしとする)</t>
    <rPh sb="7" eb="9">
      <t>バアイ</t>
    </rPh>
    <rPh sb="15" eb="17">
      <t>タンタイ</t>
    </rPh>
    <phoneticPr fontId="15"/>
  </si>
  <si>
    <t>取引の連続実行</t>
    <rPh sb="0" eb="2">
      <t>トリヒキ</t>
    </rPh>
    <rPh sb="3" eb="5">
      <t>レンゾク</t>
    </rPh>
    <rPh sb="5" eb="7">
      <t>ジッコウ</t>
    </rPh>
    <phoneticPr fontId="20"/>
  </si>
  <si>
    <t>[部門名]</t>
    <rPh sb="1" eb="4">
      <t>ブモンメイ</t>
    </rPh>
    <phoneticPr fontId="8"/>
  </si>
  <si>
    <t>PJ名</t>
  </si>
  <si>
    <t>成果物名</t>
  </si>
  <si>
    <t>作成</t>
  </si>
  <si>
    <t>システム名</t>
  </si>
  <si>
    <t>変更</t>
  </si>
  <si>
    <t>サブシステム名</t>
  </si>
  <si>
    <t>成果物名</t>
    <phoneticPr fontId="15"/>
  </si>
  <si>
    <t>作成</t>
    <rPh sb="0" eb="2">
      <t>サクセイ</t>
    </rPh>
    <phoneticPr fontId="15"/>
  </si>
  <si>
    <t>変更</t>
    <rPh sb="0" eb="2">
      <t>ヘンコウ</t>
    </rPh>
    <phoneticPr fontId="15"/>
  </si>
  <si>
    <t>No.</t>
    <phoneticPr fontId="4"/>
  </si>
  <si>
    <t>変更箇所（項番等）</t>
    <rPh sb="0" eb="2">
      <t>ヘンコウ</t>
    </rPh>
    <rPh sb="2" eb="4">
      <t>カショ</t>
    </rPh>
    <rPh sb="5" eb="8">
      <t>コウバンナド</t>
    </rPh>
    <phoneticPr fontId="4"/>
  </si>
  <si>
    <t>成果物名</t>
    <phoneticPr fontId="15"/>
  </si>
  <si>
    <r>
      <t>1.</t>
    </r>
    <r>
      <rPr>
        <sz val="9"/>
        <rFont val="ＭＳ 明朝"/>
        <family val="1"/>
        <charset val="128"/>
      </rPr>
      <t xml:space="preserve"> 本書について</t>
    </r>
    <phoneticPr fontId="4"/>
  </si>
  <si>
    <r>
      <t>2</t>
    </r>
    <r>
      <rPr>
        <sz val="9"/>
        <rFont val="ＭＳ 明朝"/>
        <family val="1"/>
        <charset val="128"/>
      </rPr>
      <t xml:space="preserve">. </t>
    </r>
    <r>
      <rPr>
        <sz val="9"/>
        <rFont val="ＭＳ 明朝"/>
        <family val="1"/>
        <charset val="128"/>
      </rPr>
      <t>単体テスト方針</t>
    </r>
    <phoneticPr fontId="4"/>
  </si>
  <si>
    <r>
      <t>1.1.</t>
    </r>
    <r>
      <rPr>
        <sz val="9"/>
        <rFont val="ＭＳ 明朝"/>
        <family val="1"/>
        <charset val="128"/>
      </rPr>
      <t xml:space="preserve"> </t>
    </r>
    <r>
      <rPr>
        <sz val="9"/>
        <rFont val="ＭＳ 明朝"/>
        <family val="1"/>
        <charset val="128"/>
      </rPr>
      <t>本書の位置付けと目的</t>
    </r>
    <phoneticPr fontId="4"/>
  </si>
  <si>
    <r>
      <t>2.2.</t>
    </r>
    <r>
      <rPr>
        <sz val="9"/>
        <rFont val="ＭＳ 明朝"/>
        <family val="1"/>
        <charset val="128"/>
      </rPr>
      <t xml:space="preserve"> </t>
    </r>
    <r>
      <rPr>
        <sz val="9"/>
        <rFont val="ＭＳ 明朝"/>
        <family val="1"/>
        <charset val="128"/>
      </rPr>
      <t>単体テスト実施環境</t>
    </r>
    <phoneticPr fontId="4"/>
  </si>
  <si>
    <r>
      <t>2.3.</t>
    </r>
    <r>
      <rPr>
        <sz val="9"/>
        <rFont val="ＭＳ 明朝"/>
        <family val="1"/>
        <charset val="128"/>
      </rPr>
      <t xml:space="preserve"> </t>
    </r>
    <r>
      <rPr>
        <sz val="9"/>
        <rFont val="ＭＳ 明朝"/>
        <family val="1"/>
        <charset val="128"/>
      </rPr>
      <t>単体テスト終了条件</t>
    </r>
    <phoneticPr fontId="4"/>
  </si>
  <si>
    <r>
      <t>3.1.</t>
    </r>
    <r>
      <rPr>
        <sz val="9"/>
        <rFont val="ＭＳ 明朝"/>
        <family val="1"/>
        <charset val="128"/>
      </rPr>
      <t xml:space="preserve"> </t>
    </r>
    <r>
      <rPr>
        <sz val="9"/>
        <rFont val="ＭＳ 明朝"/>
        <family val="1"/>
        <charset val="128"/>
      </rPr>
      <t>単体テスト仕様書作成単位</t>
    </r>
    <phoneticPr fontId="4"/>
  </si>
  <si>
    <r>
      <t>3.2.</t>
    </r>
    <r>
      <rPr>
        <sz val="9"/>
        <rFont val="ＭＳ 明朝"/>
        <family val="1"/>
        <charset val="128"/>
      </rPr>
      <t xml:space="preserve"> </t>
    </r>
    <r>
      <rPr>
        <sz val="9"/>
        <rFont val="ＭＳ 明朝"/>
        <family val="1"/>
        <charset val="128"/>
      </rPr>
      <t>単体テスト観点概要</t>
    </r>
    <phoneticPr fontId="4"/>
  </si>
  <si>
    <r>
      <t>3.3.</t>
    </r>
    <r>
      <rPr>
        <sz val="9"/>
        <rFont val="ＭＳ 明朝"/>
        <family val="1"/>
        <charset val="128"/>
      </rPr>
      <t xml:space="preserve"> </t>
    </r>
    <r>
      <rPr>
        <sz val="9"/>
        <rFont val="ＭＳ 明朝"/>
        <family val="1"/>
        <charset val="128"/>
      </rPr>
      <t>単体テストのエビデンス</t>
    </r>
    <phoneticPr fontId="4"/>
  </si>
  <si>
    <r>
      <t>1</t>
    </r>
    <r>
      <rPr>
        <sz val="9"/>
        <rFont val="ＭＳ 明朝"/>
        <family val="1"/>
        <charset val="128"/>
      </rPr>
      <t>. 本書について</t>
    </r>
    <phoneticPr fontId="4"/>
  </si>
  <si>
    <r>
      <t>1.1.</t>
    </r>
    <r>
      <rPr>
        <sz val="9"/>
        <rFont val="ＭＳ 明朝"/>
        <family val="1"/>
        <charset val="128"/>
      </rPr>
      <t xml:space="preserve"> </t>
    </r>
    <r>
      <rPr>
        <sz val="9"/>
        <rFont val="ＭＳ 明朝"/>
        <family val="1"/>
        <charset val="128"/>
      </rPr>
      <t>本書の位置付けと目的</t>
    </r>
    <rPh sb="13" eb="15">
      <t>モクテキ</t>
    </rPh>
    <phoneticPr fontId="4"/>
  </si>
  <si>
    <r>
      <t>2</t>
    </r>
    <r>
      <rPr>
        <sz val="9"/>
        <rFont val="ＭＳ 明朝"/>
        <family val="1"/>
        <charset val="128"/>
      </rPr>
      <t xml:space="preserve">. </t>
    </r>
    <r>
      <rPr>
        <sz val="9"/>
        <rFont val="ＭＳ 明朝"/>
        <family val="1"/>
        <charset val="128"/>
      </rPr>
      <t>単体テスト方針</t>
    </r>
    <rPh sb="3" eb="5">
      <t>タンタイ</t>
    </rPh>
    <rPh sb="8" eb="10">
      <t>ホウシン</t>
    </rPh>
    <phoneticPr fontId="4"/>
  </si>
  <si>
    <t>　　　入力処理方式
テスト名</t>
    <rPh sb="3" eb="5">
      <t>ニュウリョク</t>
    </rPh>
    <rPh sb="5" eb="7">
      <t>ショリ</t>
    </rPh>
    <rPh sb="7" eb="9">
      <t>ホウシキ</t>
    </rPh>
    <rPh sb="14" eb="15">
      <t>メイ</t>
    </rPh>
    <phoneticPr fontId="4"/>
  </si>
  <si>
    <r>
      <t>2.3.</t>
    </r>
    <r>
      <rPr>
        <sz val="9"/>
        <rFont val="ＭＳ 明朝"/>
        <family val="1"/>
        <charset val="128"/>
      </rPr>
      <t xml:space="preserve"> 単体テスト終了条件</t>
    </r>
    <phoneticPr fontId="4"/>
  </si>
  <si>
    <t>No.</t>
    <phoneticPr fontId="15"/>
  </si>
  <si>
    <t>テストケースを記載したドキュメント。
テストの実施結果を記入すること。</t>
    <rPh sb="7" eb="9">
      <t>キサイ</t>
    </rPh>
    <phoneticPr fontId="4"/>
  </si>
  <si>
    <t>命令網羅率と分岐網羅率のレポート。
カバレッジが100%に到達しない場合、テストを通過していなくても問題ない理由の説明をつけること。</t>
    <rPh sb="0" eb="5">
      <t>メイレイモウラリツ</t>
    </rPh>
    <rPh sb="6" eb="11">
      <t>ブンキモウラリツ</t>
    </rPh>
    <phoneticPr fontId="4"/>
  </si>
  <si>
    <t>自動テストで生成されるHTMLファイル。
詳細はNablarch単体テストガイドの「自動テストフレームワークの使用方法（画面オンライン処理）」を参照。</t>
    <rPh sb="0" eb="2">
      <t>ジドウ</t>
    </rPh>
    <rPh sb="6" eb="8">
      <t>セイセイ</t>
    </rPh>
    <phoneticPr fontId="4"/>
  </si>
  <si>
    <t>テスト対象の画面のキャプチャ。電子媒体で保存する。
自動テストで生成されたHTMLファイルについて、目視による確認が必要なテストケースについては、確認結果を
反映した画面ハードコピーを取得する。
UI標準で定義されているディスプレイサイズでハードコピーを取得すること。
1つのテストショットで複数のテストケースを実施した場合も、エビデンスはテストケースごとに作成する。</t>
    <rPh sb="3" eb="5">
      <t>タイショウ</t>
    </rPh>
    <rPh sb="6" eb="8">
      <t>ガメン</t>
    </rPh>
    <rPh sb="15" eb="17">
      <t>デンシ</t>
    </rPh>
    <rPh sb="17" eb="19">
      <t>バイタイ</t>
    </rPh>
    <rPh sb="20" eb="22">
      <t>ホゾン</t>
    </rPh>
    <phoneticPr fontId="4"/>
  </si>
  <si>
    <t>テスト対象の画面のキャプチャ。電子媒体で保存する。
確認内容が分かるように適宜コメントをつける。
UI標準で定義されているディスプレイサイズでハードコピーを取得すること。</t>
    <rPh sb="3" eb="5">
      <t>タイショウ</t>
    </rPh>
    <rPh sb="6" eb="8">
      <t>ガメン</t>
    </rPh>
    <phoneticPr fontId="4"/>
  </si>
  <si>
    <t>テスト対象の画面のキャプチャ。電子媒体で保存する。
基本的に画面遷移の直前と直後のハードコピーを取得する。
テストで実施した操作が分かるように適宜コメントをつける。
UI標準で定義されているディスプレイサイズでハードコピーを取得すること。</t>
    <rPh sb="3" eb="5">
      <t>タイショウ</t>
    </rPh>
    <rPh sb="6" eb="8">
      <t>ガメン</t>
    </rPh>
    <phoneticPr fontId="4"/>
  </si>
  <si>
    <t>Webサーバログとアプリケーションログの2つ。想定外のログ(FATALおよびERRORレベルのログ)が
出力されていないことを確認する。
テスト対象の取引のログのみ抽出する。</t>
    <phoneticPr fontId="4"/>
  </si>
  <si>
    <t>テスト対象の処理のインプットとなるデータ(DB以外)。
インプットとなるデータが無い場合は取得不要。</t>
    <rPh sb="3" eb="5">
      <t>タイショウ</t>
    </rPh>
    <rPh sb="6" eb="8">
      <t>ショリ</t>
    </rPh>
    <rPh sb="23" eb="25">
      <t>イガイ</t>
    </rPh>
    <phoneticPr fontId="4"/>
  </si>
  <si>
    <t>処理によってアウトプットされるもの</t>
    <rPh sb="0" eb="2">
      <t>ショリ</t>
    </rPh>
    <phoneticPr fontId="4"/>
  </si>
  <si>
    <t>目次</t>
    <rPh sb="0" eb="2">
      <t>モクジ</t>
    </rPh>
    <phoneticPr fontId="4"/>
  </si>
  <si>
    <t>3. 単体テスト概要</t>
    <phoneticPr fontId="4"/>
  </si>
  <si>
    <t>※ 不適切なアクセスについて：以下の不適切なアクセスは、FWの機能でアクセスを防止する。このため単体テストでは確認を必要としない。</t>
    <rPh sb="2" eb="5">
      <t>フテキセツ</t>
    </rPh>
    <rPh sb="15" eb="17">
      <t>イカ</t>
    </rPh>
    <rPh sb="18" eb="21">
      <t>フテキセツ</t>
    </rPh>
    <rPh sb="39" eb="41">
      <t>ボウシ</t>
    </rPh>
    <rPh sb="48" eb="50">
      <t>タンタイ</t>
    </rPh>
    <rPh sb="55" eb="57">
      <t>カクニン</t>
    </rPh>
    <rPh sb="58" eb="60">
      <t>ヒツヨウ</t>
    </rPh>
    <phoneticPr fontId="15"/>
  </si>
  <si>
    <t>単体テストは開発者ローカルPC上に構築する開発環境上で実施する。</t>
    <phoneticPr fontId="4"/>
  </si>
  <si>
    <t>異常取引→正常取引　など</t>
    <phoneticPr fontId="20"/>
  </si>
  <si>
    <t>その他のイベント</t>
    <phoneticPr fontId="20"/>
  </si>
  <si>
    <t>1.0版</t>
    <phoneticPr fontId="19"/>
  </si>
  <si>
    <t>新規</t>
    <rPh sb="0" eb="2">
      <t>シンキ</t>
    </rPh>
    <phoneticPr fontId="19"/>
  </si>
  <si>
    <t>-</t>
    <phoneticPr fontId="19"/>
  </si>
  <si>
    <t>(新規作成)</t>
    <phoneticPr fontId="19"/>
  </si>
  <si>
    <t>TIS</t>
    <phoneticPr fontId="19"/>
  </si>
  <si>
    <t>サンプルプロジェクト</t>
    <phoneticPr fontId="19"/>
  </si>
  <si>
    <t>サンプルシステム</t>
    <phoneticPr fontId="19"/>
  </si>
  <si>
    <t>単体テスト標準</t>
    <rPh sb="0" eb="2">
      <t>タンタイ</t>
    </rPh>
    <rPh sb="5" eb="7">
      <t>ヒョウジュン</t>
    </rPh>
    <phoneticPr fontId="4"/>
  </si>
  <si>
    <t>3.3. 単体テストのエビデンス</t>
    <rPh sb="5" eb="7">
      <t>タンタイ</t>
    </rPh>
    <phoneticPr fontId="4"/>
  </si>
  <si>
    <t>3.3.1. クラス単体テストのエビデンス</t>
    <rPh sb="10" eb="12">
      <t>タンタイ</t>
    </rPh>
    <phoneticPr fontId="15"/>
  </si>
  <si>
    <t>3.3.2. リクエスト単体テストのエビデンス</t>
    <rPh sb="12" eb="14">
      <t>タンタイ</t>
    </rPh>
    <phoneticPr fontId="15"/>
  </si>
  <si>
    <t>(1) 入力処理方式共通</t>
    <phoneticPr fontId="4"/>
  </si>
  <si>
    <t>(2) 画面処理方式、画面・ディレード処理方式のみ</t>
    <phoneticPr fontId="4"/>
  </si>
  <si>
    <t>3.3.3. 取引単体テストのエビデンス</t>
    <rPh sb="7" eb="9">
      <t>トリヒキ</t>
    </rPh>
    <rPh sb="9" eb="11">
      <t>タンタイ</t>
    </rPh>
    <phoneticPr fontId="15"/>
  </si>
  <si>
    <t>(1) 画面処理方式、画面・ディレード処理方式(表示制御観点)のテストのエビデンス</t>
    <phoneticPr fontId="4"/>
  </si>
  <si>
    <t>(2) 画面処理方式、画面・ディレード処理方式(取引確認観点)のテストのエビデンス</t>
    <phoneticPr fontId="4"/>
  </si>
  <si>
    <t>3.3.4. エビデンスの格納方法</t>
    <rPh sb="13" eb="15">
      <t>カクノウ</t>
    </rPh>
    <rPh sb="15" eb="17">
      <t>ホウホウ</t>
    </rPh>
    <phoneticPr fontId="4"/>
  </si>
  <si>
    <t>Webサービス</t>
    <phoneticPr fontId="4"/>
  </si>
  <si>
    <t>処理フロー</t>
    <rPh sb="0" eb="2">
      <t>ショリ</t>
    </rPh>
    <phoneticPr fontId="15"/>
  </si>
  <si>
    <t>1.2.</t>
    <phoneticPr fontId="4"/>
  </si>
  <si>
    <t>参照ドキュメント</t>
    <rPh sb="0" eb="2">
      <t>サンショウ</t>
    </rPh>
    <phoneticPr fontId="4"/>
  </si>
  <si>
    <t>本書では以下のドキュメントに依拠してテスト方針、観点を策定している。</t>
    <rPh sb="0" eb="2">
      <t>ホンショ</t>
    </rPh>
    <rPh sb="4" eb="6">
      <t>イカ</t>
    </rPh>
    <rPh sb="14" eb="16">
      <t>イキョ</t>
    </rPh>
    <rPh sb="21" eb="23">
      <t>ホウシン</t>
    </rPh>
    <rPh sb="24" eb="26">
      <t>カンテン</t>
    </rPh>
    <rPh sb="27" eb="29">
      <t>サクテイ</t>
    </rPh>
    <phoneticPr fontId="4"/>
  </si>
  <si>
    <t>・テスト観点カタログ</t>
    <rPh sb="4" eb="6">
      <t>カンテン</t>
    </rPh>
    <phoneticPr fontId="4"/>
  </si>
  <si>
    <t>・テスト種別カタログ</t>
    <rPh sb="4" eb="6">
      <t>シュベツ</t>
    </rPh>
    <phoneticPr fontId="4"/>
  </si>
  <si>
    <t>いずれも次のURLより入手可能である。必要に応じて参照すること。</t>
    <rPh sb="4" eb="5">
      <t>ツギ</t>
    </rPh>
    <rPh sb="11" eb="13">
      <t>ニュウシュ</t>
    </rPh>
    <rPh sb="13" eb="15">
      <t>カノウ</t>
    </rPh>
    <rPh sb="19" eb="21">
      <t>ヒツヨウ</t>
    </rPh>
    <rPh sb="22" eb="23">
      <t>オウ</t>
    </rPh>
    <rPh sb="25" eb="27">
      <t>サンショウ</t>
    </rPh>
    <phoneticPr fontId="4"/>
  </si>
  <si>
    <t>https://fintan.jp/page/1456/</t>
    <phoneticPr fontId="4"/>
  </si>
  <si>
    <t>基本方針</t>
    <rPh sb="0" eb="4">
      <t>キホンホウシン</t>
    </rPh>
    <phoneticPr fontId="15"/>
  </si>
  <si>
    <t>リクエスト単位のテスト。
クラス単体テストでForm、Entity、Actionおよび一部の共通コンポーネントの品質を確保したのち、それらのクラスを組み合わせ、
ひとつの処理リクエストを受け取って正しく動作するかを確認する。
テスト種別カタログにおける「画面・バッチ単位」に該当する。</t>
    <phoneticPr fontId="4"/>
  </si>
  <si>
    <t>業務的な取引(※1)単位のテスト。
リクエスト単体テストで個々の品質を確保したのち、それらのリクエストを繋ぎ合せ業務的な取引として動作させた場合に
正しく動作するかを確認する。
テスト種別カタログにおける「ユースケース単位」に該当する。</t>
    <phoneticPr fontId="4"/>
  </si>
  <si>
    <t>2.2.</t>
    <phoneticPr fontId="4"/>
  </si>
  <si>
    <t>2.3. 単体テスト実施環境</t>
    <phoneticPr fontId="4"/>
  </si>
  <si>
    <t>https://nablarch.github.io/docs/LATEST/doc/development_tools/testing_framework/index.html</t>
    <phoneticPr fontId="4"/>
  </si>
  <si>
    <t>本プロジェクトでは、NTFの定義に従って単体テストをクラス単体テスト、リクエスト単体テスト、取引単体テストの3つに分類して実施する。</t>
    <rPh sb="0" eb="1">
      <t>ホン</t>
    </rPh>
    <rPh sb="14" eb="16">
      <t>テイギ</t>
    </rPh>
    <phoneticPr fontId="4"/>
  </si>
  <si>
    <t>単体テスト仕様書には、該当取引に含まれるクラス単体テストケース、リクエスト単体テストケース、取引単体テストケースを記述する。</t>
    <rPh sb="0" eb="2">
      <t>タンタイ</t>
    </rPh>
    <rPh sb="5" eb="8">
      <t>シヨウショ</t>
    </rPh>
    <rPh sb="11" eb="13">
      <t>ガイトウ</t>
    </rPh>
    <rPh sb="13" eb="15">
      <t>トリヒキ</t>
    </rPh>
    <rPh sb="16" eb="17">
      <t>フク</t>
    </rPh>
    <phoneticPr fontId="4"/>
  </si>
  <si>
    <t>本プロジェクトにおける単体テスト仕様書フォーマットは、テスト観点カタログと単体テスト標準に基づいて作成されている。</t>
    <rPh sb="0" eb="1">
      <t>ホン</t>
    </rPh>
    <rPh sb="11" eb="13">
      <t>タンタイ</t>
    </rPh>
    <rPh sb="16" eb="19">
      <t>シヨウショ</t>
    </rPh>
    <rPh sb="30" eb="32">
      <t>カンテン</t>
    </rPh>
    <rPh sb="37" eb="39">
      <t>タンタイ</t>
    </rPh>
    <rPh sb="42" eb="44">
      <t>ヒョウジュン</t>
    </rPh>
    <rPh sb="45" eb="46">
      <t>モト</t>
    </rPh>
    <rPh sb="49" eb="51">
      <t>サクセイ</t>
    </rPh>
    <phoneticPr fontId="4"/>
  </si>
  <si>
    <t>これに業務的なテスト観点を追加してテスト仕様書を作成する。</t>
    <phoneticPr fontId="15"/>
  </si>
  <si>
    <t>個別の業務要件</t>
    <rPh sb="0" eb="2">
      <t>コベツ</t>
    </rPh>
    <rPh sb="3" eb="5">
      <t>ギョウム</t>
    </rPh>
    <rPh sb="5" eb="7">
      <t>ヨウケン</t>
    </rPh>
    <phoneticPr fontId="4"/>
  </si>
  <si>
    <t>テスト仕様書フォーマットには、テスト種別ごとに以下のシートが用意されている。</t>
    <rPh sb="3" eb="6">
      <t>シヨウショ</t>
    </rPh>
    <rPh sb="18" eb="20">
      <t>シュベツ</t>
    </rPh>
    <rPh sb="23" eb="25">
      <t>イカ</t>
    </rPh>
    <rPh sb="30" eb="32">
      <t>ヨウイ</t>
    </rPh>
    <phoneticPr fontId="15"/>
  </si>
  <si>
    <t>・クラス単体テスト</t>
    <rPh sb="4" eb="6">
      <t>タンタイ</t>
    </rPh>
    <phoneticPr fontId="15"/>
  </si>
  <si>
    <t>・リクエスト単体テスト</t>
    <rPh sb="6" eb="8">
      <t>タンタイ</t>
    </rPh>
    <phoneticPr fontId="15"/>
  </si>
  <si>
    <t>・取引単体テスト</t>
    <rPh sb="1" eb="5">
      <t>トリヒキタンタイ</t>
    </rPh>
    <phoneticPr fontId="15"/>
  </si>
  <si>
    <t>NTFを用いた単体テストの実施方法については、Nablarch解説書の『単体テスト実施方法』を参照すること。</t>
    <rPh sb="4" eb="5">
      <t>モチ</t>
    </rPh>
    <rPh sb="7" eb="9">
      <t>タンタイ</t>
    </rPh>
    <rPh sb="13" eb="15">
      <t>ジッシ</t>
    </rPh>
    <rPh sb="15" eb="17">
      <t>ホウホウ</t>
    </rPh>
    <rPh sb="31" eb="34">
      <t>カイセツショ</t>
    </rPh>
    <phoneticPr fontId="4"/>
  </si>
  <si>
    <t>このうち、クラス単体テストとリクエスト単体テストは、テスト観点カタログに記載されているテスト観点を元にして作成している。</t>
    <rPh sb="8" eb="10">
      <t>タンタイ</t>
    </rPh>
    <rPh sb="19" eb="21">
      <t>タンタイ</t>
    </rPh>
    <rPh sb="29" eb="31">
      <t>カンテン</t>
    </rPh>
    <rPh sb="36" eb="38">
      <t>キサイ</t>
    </rPh>
    <rPh sb="46" eb="48">
      <t>カンテン</t>
    </rPh>
    <rPh sb="49" eb="50">
      <t>モト</t>
    </rPh>
    <rPh sb="53" eb="55">
      <t>サクセイ</t>
    </rPh>
    <phoneticPr fontId="15"/>
  </si>
  <si>
    <t>以下に、クラス単体テストとリクエスト単体テストのシートと、元になったテスト観点カタログのシートとの対応を示す。</t>
    <rPh sb="0" eb="2">
      <t>イカ</t>
    </rPh>
    <rPh sb="7" eb="9">
      <t>タンタイ</t>
    </rPh>
    <rPh sb="18" eb="20">
      <t>タンタイ</t>
    </rPh>
    <rPh sb="29" eb="30">
      <t>モト</t>
    </rPh>
    <rPh sb="37" eb="39">
      <t>カンテン</t>
    </rPh>
    <rPh sb="49" eb="51">
      <t>タイオウ</t>
    </rPh>
    <rPh sb="52" eb="53">
      <t>シメ</t>
    </rPh>
    <phoneticPr fontId="15"/>
  </si>
  <si>
    <t>処理方式</t>
    <rPh sb="0" eb="4">
      <t>ショリホウシキ</t>
    </rPh>
    <phoneticPr fontId="15"/>
  </si>
  <si>
    <t>シート</t>
    <phoneticPr fontId="15"/>
  </si>
  <si>
    <t>元となったテスト観点カタログのシート</t>
    <rPh sb="0" eb="1">
      <t>モト</t>
    </rPh>
    <rPh sb="8" eb="10">
      <t>カンテン</t>
    </rPh>
    <phoneticPr fontId="15"/>
  </si>
  <si>
    <t>画面</t>
    <rPh sb="0" eb="2">
      <t>ガメン</t>
    </rPh>
    <phoneticPr fontId="15"/>
  </si>
  <si>
    <t>機能テスト【共通】</t>
    <rPh sb="0" eb="2">
      <t>キノウ</t>
    </rPh>
    <rPh sb="6" eb="8">
      <t>キョウツウ</t>
    </rPh>
    <phoneticPr fontId="15"/>
  </si>
  <si>
    <t>機能テスト【共通】、機能テスト【ウェブアプリケーション】</t>
    <rPh sb="0" eb="2">
      <t>キノウ</t>
    </rPh>
    <rPh sb="6" eb="8">
      <t>キョウツウ</t>
    </rPh>
    <rPh sb="10" eb="12">
      <t>キノウ</t>
    </rPh>
    <phoneticPr fontId="15"/>
  </si>
  <si>
    <t>REST</t>
    <phoneticPr fontId="15"/>
  </si>
  <si>
    <t>機能テスト【共通】、機能テスト【ウェブサービス】</t>
    <rPh sb="0" eb="2">
      <t>キノウ</t>
    </rPh>
    <rPh sb="6" eb="8">
      <t>キョウツウ</t>
    </rPh>
    <rPh sb="10" eb="12">
      <t>キノウ</t>
    </rPh>
    <phoneticPr fontId="15"/>
  </si>
  <si>
    <t>バッチ</t>
    <phoneticPr fontId="15"/>
  </si>
  <si>
    <t>機能テスト【共通】、機能テスト【バッチアプリケーション】</t>
    <rPh sb="0" eb="2">
      <t>キノウ</t>
    </rPh>
    <rPh sb="6" eb="8">
      <t>キョウツウ</t>
    </rPh>
    <rPh sb="10" eb="12">
      <t>キノウ</t>
    </rPh>
    <phoneticPr fontId="15"/>
  </si>
  <si>
    <t>テスト仕様書フォーマットの観点は、テスト観点カタログに記載のものを全て転記している。</t>
    <rPh sb="3" eb="6">
      <t>シヨウショ</t>
    </rPh>
    <rPh sb="13" eb="15">
      <t>カンテン</t>
    </rPh>
    <rPh sb="20" eb="22">
      <t>カンテン</t>
    </rPh>
    <rPh sb="27" eb="29">
      <t>キサイ</t>
    </rPh>
    <rPh sb="33" eb="34">
      <t>スベ</t>
    </rPh>
    <rPh sb="35" eb="37">
      <t>テンキ</t>
    </rPh>
    <phoneticPr fontId="15"/>
  </si>
  <si>
    <t>しかし、処理方式・テスト種別によってテストが不要と判断できるものに関しては、あらかじめ項目をグレーアウトしている。</t>
    <rPh sb="33" eb="34">
      <t>カン</t>
    </rPh>
    <rPh sb="43" eb="45">
      <t>コウモク</t>
    </rPh>
    <phoneticPr fontId="15"/>
  </si>
  <si>
    <t>あらかじめグレーアウトしている項目については、不要と判断した理由を「対象外理由」列に記載している。</t>
    <rPh sb="15" eb="17">
      <t>コウモク</t>
    </rPh>
    <rPh sb="23" eb="25">
      <t>フヨウ</t>
    </rPh>
    <rPh sb="26" eb="28">
      <t>ハンダン</t>
    </rPh>
    <rPh sb="30" eb="32">
      <t>リユウ</t>
    </rPh>
    <rPh sb="34" eb="37">
      <t>タイショウガイ</t>
    </rPh>
    <rPh sb="37" eb="39">
      <t>リユウ</t>
    </rPh>
    <rPh sb="40" eb="41">
      <t>レツ</t>
    </rPh>
    <rPh sb="42" eb="44">
      <t>キサイ</t>
    </rPh>
    <phoneticPr fontId="15"/>
  </si>
  <si>
    <t>業務的なテスト観点に照らして個別にテスト不要と判断できるものがある場合は、項目をグレーアウトしたうえで「テスト内容」列に</t>
    <rPh sb="0" eb="3">
      <t>ギョウムテキ</t>
    </rPh>
    <rPh sb="7" eb="9">
      <t>カンテン</t>
    </rPh>
    <rPh sb="10" eb="11">
      <t>テ</t>
    </rPh>
    <rPh sb="14" eb="16">
      <t>コベツ</t>
    </rPh>
    <rPh sb="20" eb="22">
      <t>フヨウ</t>
    </rPh>
    <rPh sb="23" eb="25">
      <t>ハンダン</t>
    </rPh>
    <rPh sb="33" eb="35">
      <t>バアイ</t>
    </rPh>
    <rPh sb="37" eb="39">
      <t>コウモク</t>
    </rPh>
    <rPh sb="55" eb="57">
      <t>ナイヨウ</t>
    </rPh>
    <rPh sb="58" eb="59">
      <t>レツ</t>
    </rPh>
    <phoneticPr fontId="15"/>
  </si>
  <si>
    <t>不要と判断した理由を記載すること（あらかじめグレーアウトされているものと区別できるようにするため）。</t>
    <rPh sb="0" eb="2">
      <t>フヨウ</t>
    </rPh>
    <rPh sb="3" eb="5">
      <t>ハンダン</t>
    </rPh>
    <rPh sb="7" eb="9">
      <t>リユウ</t>
    </rPh>
    <rPh sb="10" eb="12">
      <t>キサイ</t>
    </rPh>
    <rPh sb="36" eb="38">
      <t>クベツ</t>
    </rPh>
    <phoneticPr fontId="15"/>
  </si>
  <si>
    <t>取引単体テストについては、独自に検討したテスト観点を元にして作成している。</t>
    <rPh sb="0" eb="2">
      <t>トリヒキ</t>
    </rPh>
    <rPh sb="2" eb="4">
      <t>タンタイ</t>
    </rPh>
    <rPh sb="13" eb="15">
      <t>ドクジ</t>
    </rPh>
    <rPh sb="16" eb="18">
      <t>ケントウ</t>
    </rPh>
    <rPh sb="23" eb="25">
      <t>カンテン</t>
    </rPh>
    <rPh sb="26" eb="27">
      <t>モト</t>
    </rPh>
    <rPh sb="30" eb="32">
      <t>サクセイ</t>
    </rPh>
    <phoneticPr fontId="4"/>
  </si>
  <si>
    <t>テスト観点の詳細については後述する。</t>
    <rPh sb="3" eb="5">
      <t>カンテン</t>
    </rPh>
    <rPh sb="6" eb="8">
      <t>ショウサイ</t>
    </rPh>
    <rPh sb="13" eb="15">
      <t>コウジュツ</t>
    </rPh>
    <phoneticPr fontId="4"/>
  </si>
  <si>
    <t>単体テストエビデンスサンプル/W11AC03/リクエスト単体テスト/RW11AC0201/1-1-1_画面レイアウト.png</t>
    <phoneticPr fontId="4"/>
  </si>
  <si>
    <t>単体テストエビデンスサンプル/W11AC03/取引単体テスト/1-1-1</t>
    <phoneticPr fontId="4"/>
  </si>
  <si>
    <t>4. 取引単体テスト観点</t>
    <rPh sb="3" eb="5">
      <t>トリヒキ</t>
    </rPh>
    <rPh sb="5" eb="7">
      <t>タンタイ</t>
    </rPh>
    <rPh sb="10" eb="12">
      <t>カンテン</t>
    </rPh>
    <phoneticPr fontId="4"/>
  </si>
  <si>
    <t>下記観点のテストを実施する。</t>
  </si>
  <si>
    <t>4.1. 画面処理方式、画面・ディレード処理方式</t>
    <rPh sb="5" eb="7">
      <t>ガメン</t>
    </rPh>
    <rPh sb="7" eb="9">
      <t>ショリ</t>
    </rPh>
    <rPh sb="9" eb="11">
      <t>ホウシキ</t>
    </rPh>
    <rPh sb="12" eb="14">
      <t>ガメン</t>
    </rPh>
    <rPh sb="20" eb="22">
      <t>ショリ</t>
    </rPh>
    <rPh sb="22" eb="24">
      <t>ホウシキ</t>
    </rPh>
    <phoneticPr fontId="4"/>
  </si>
  <si>
    <t>4.2. 都度起動バッチ処理方式、常駐バッチ処理方式</t>
    <rPh sb="5" eb="7">
      <t>ツド</t>
    </rPh>
    <rPh sb="7" eb="9">
      <t>キドウ</t>
    </rPh>
    <rPh sb="12" eb="14">
      <t>ショリ</t>
    </rPh>
    <rPh sb="14" eb="16">
      <t>ホウシキ</t>
    </rPh>
    <rPh sb="17" eb="19">
      <t>ジョウチュウ</t>
    </rPh>
    <rPh sb="22" eb="24">
      <t>ショリ</t>
    </rPh>
    <rPh sb="24" eb="26">
      <t>ホウシキ</t>
    </rPh>
    <phoneticPr fontId="4"/>
  </si>
  <si>
    <t>4.3. メッセージ同期応答処理方式、メッセージ同期応答・ディレード処理方式</t>
    <rPh sb="10" eb="12">
      <t>ドウキ</t>
    </rPh>
    <rPh sb="12" eb="14">
      <t>オウトウ</t>
    </rPh>
    <rPh sb="14" eb="16">
      <t>ショリ</t>
    </rPh>
    <rPh sb="16" eb="18">
      <t>ホウシキ</t>
    </rPh>
    <rPh sb="24" eb="26">
      <t>ドウキ</t>
    </rPh>
    <rPh sb="26" eb="28">
      <t>オウトウ</t>
    </rPh>
    <rPh sb="34" eb="36">
      <t>ショリ</t>
    </rPh>
    <rPh sb="36" eb="38">
      <t>ホウシキ</t>
    </rPh>
    <phoneticPr fontId="4"/>
  </si>
  <si>
    <t>4.4. Webサービス処理方式</t>
    <rPh sb="12" eb="14">
      <t>ショリ</t>
    </rPh>
    <rPh sb="14" eb="16">
      <t>ホウシキ</t>
    </rPh>
    <phoneticPr fontId="4"/>
  </si>
  <si>
    <t>取引単体テスト観点</t>
    <rPh sb="0" eb="2">
      <t>トリヒキ</t>
    </rPh>
    <rPh sb="2" eb="4">
      <t>タンタイ</t>
    </rPh>
    <rPh sb="7" eb="9">
      <t>カンテン</t>
    </rPh>
    <phoneticPr fontId="4"/>
  </si>
  <si>
    <t>4.1. 画面処理方式、画面・ディレード処理方式</t>
    <phoneticPr fontId="4"/>
  </si>
  <si>
    <t>4.2. 都度起動バッチ処理方式、常駐バッチ処理方式</t>
    <rPh sb="14" eb="16">
      <t>ホウシキ</t>
    </rPh>
    <rPh sb="24" eb="26">
      <t>ホウシキ</t>
    </rPh>
    <phoneticPr fontId="4"/>
  </si>
  <si>
    <t>4.3. メッセージ同期応答処理方式、</t>
    <rPh sb="16" eb="18">
      <t>ホウシキ</t>
    </rPh>
    <phoneticPr fontId="4"/>
  </si>
  <si>
    <t>4.4. Webサービス処理方式、</t>
    <rPh sb="14" eb="16">
      <t>ホウシキ</t>
    </rPh>
    <phoneticPr fontId="4"/>
  </si>
  <si>
    <t>2.4. 単体テスト終了条件</t>
    <phoneticPr fontId="4"/>
  </si>
  <si>
    <t>2.1. 基本方針</t>
    <rPh sb="5" eb="7">
      <t>キホン</t>
    </rPh>
    <rPh sb="7" eb="9">
      <t>ホウシン</t>
    </rPh>
    <phoneticPr fontId="4"/>
  </si>
  <si>
    <t>3. 単体テスト概要</t>
    <rPh sb="8" eb="10">
      <t>ガイヨウ</t>
    </rPh>
    <phoneticPr fontId="4"/>
  </si>
  <si>
    <t>本プロジェクトでは NTF(Nablarch Testing Framework)を用いて単体テストを実施する。</t>
    <rPh sb="0" eb="1">
      <t>ホン</t>
    </rPh>
    <rPh sb="42" eb="43">
      <t>モチ</t>
    </rPh>
    <rPh sb="45" eb="47">
      <t>タンタイ</t>
    </rPh>
    <rPh sb="51" eb="53">
      <t>ジッシ</t>
    </rPh>
    <phoneticPr fontId="4"/>
  </si>
  <si>
    <t>クラス単体でのテスト。
それぞれのクラスが単体で正しく動作することを確認する。
各Formクラス、Entityクラス、Actionクラス、共通コンポーネントクラスを対象としてステレオタイプごとにテストを行う。
テスト種別カタログにおける「モジュール単位」に該当する。</t>
    <phoneticPr fontId="4"/>
  </si>
  <si>
    <t>②未認証でのアクセス</t>
    <rPh sb="1" eb="4">
      <t>ミニンショウ</t>
    </rPh>
    <phoneticPr fontId="4"/>
  </si>
  <si>
    <t>4.1.1. テスト観点</t>
    <rPh sb="10" eb="12">
      <t>カンテン</t>
    </rPh>
    <phoneticPr fontId="15"/>
  </si>
  <si>
    <t>4.1.2. テスト観点詳細</t>
    <rPh sb="10" eb="12">
      <t>カンテン</t>
    </rPh>
    <rPh sb="12" eb="14">
      <t>ショウサイ</t>
    </rPh>
    <phoneticPr fontId="15"/>
  </si>
  <si>
    <t>(1)取引実行確認</t>
    <phoneticPr fontId="4"/>
  </si>
  <si>
    <t>(1-2)画面遷移パターン</t>
    <rPh sb="5" eb="7">
      <t>ガメン</t>
    </rPh>
    <rPh sb="7" eb="9">
      <t>センイ</t>
    </rPh>
    <phoneticPr fontId="4"/>
  </si>
  <si>
    <t>(1-2-1)正常取引</t>
    <rPh sb="7" eb="9">
      <t>セイジョウ</t>
    </rPh>
    <rPh sb="9" eb="11">
      <t>トリヒキ</t>
    </rPh>
    <phoneticPr fontId="4"/>
  </si>
  <si>
    <t>(1-2-2)戻るイベント</t>
    <rPh sb="7" eb="8">
      <t>モド</t>
    </rPh>
    <phoneticPr fontId="4"/>
  </si>
  <si>
    <t>(1-2-3)検索結果0件</t>
    <rPh sb="7" eb="9">
      <t>ケンサク</t>
    </rPh>
    <rPh sb="9" eb="11">
      <t>ケッカ</t>
    </rPh>
    <rPh sb="12" eb="13">
      <t>ケン</t>
    </rPh>
    <phoneticPr fontId="4"/>
  </si>
  <si>
    <t>(1-2-4)サブウィンドウ連携</t>
    <rPh sb="14" eb="16">
      <t>レンケイ</t>
    </rPh>
    <phoneticPr fontId="4"/>
  </si>
  <si>
    <t>(1-2-5)異常取引</t>
    <rPh sb="7" eb="9">
      <t>イジョウ</t>
    </rPh>
    <rPh sb="9" eb="11">
      <t>トリヒキ</t>
    </rPh>
    <phoneticPr fontId="4"/>
  </si>
  <si>
    <t>(1-2-6)その他イベント</t>
    <rPh sb="9" eb="10">
      <t>タ</t>
    </rPh>
    <phoneticPr fontId="4"/>
  </si>
  <si>
    <t>(1-2-7)複数の画面遷移パターンの組み合わせ</t>
    <rPh sb="7" eb="9">
      <t>フクスウ</t>
    </rPh>
    <rPh sb="10" eb="12">
      <t>ガメン</t>
    </rPh>
    <rPh sb="12" eb="14">
      <t>センイ</t>
    </rPh>
    <rPh sb="19" eb="20">
      <t>ク</t>
    </rPh>
    <rPh sb="21" eb="22">
      <t>ア</t>
    </rPh>
    <phoneticPr fontId="4"/>
  </si>
  <si>
    <t>4.2.1. テスト観点</t>
    <phoneticPr fontId="15"/>
  </si>
  <si>
    <t>4.2.2. テスト観点詳細</t>
    <rPh sb="12" eb="14">
      <t>ショウサイ</t>
    </rPh>
    <phoneticPr fontId="15"/>
  </si>
  <si>
    <t>(1)取引確認</t>
    <phoneticPr fontId="4"/>
  </si>
  <si>
    <t>(1-1)正常取引</t>
    <rPh sb="5" eb="7">
      <t>セイジョウ</t>
    </rPh>
    <rPh sb="7" eb="9">
      <t>トリヒキ</t>
    </rPh>
    <phoneticPr fontId="4"/>
  </si>
  <si>
    <t>(1-2)データバリエーション</t>
    <phoneticPr fontId="4"/>
  </si>
  <si>
    <t>4.3.1. テスト観点</t>
    <phoneticPr fontId="15"/>
  </si>
  <si>
    <t>4.3.2. テスト観点詳細</t>
    <rPh sb="10" eb="14">
      <t>カ</t>
    </rPh>
    <phoneticPr fontId="15"/>
  </si>
  <si>
    <t>4.4.1. テスト観点</t>
    <phoneticPr fontId="15"/>
  </si>
  <si>
    <t>4.4.2. テスト観点詳細</t>
    <phoneticPr fontId="15"/>
  </si>
  <si>
    <t>第１．０版</t>
    <rPh sb="0" eb="1">
      <t>ダイ</t>
    </rPh>
    <rPh sb="4" eb="5">
      <t>ハン</t>
    </rPh>
    <phoneticPr fontId="8"/>
  </si>
  <si>
    <t>1.2. 参照ドキュメント</t>
    <rPh sb="5" eb="7">
      <t>サンショウ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</si>
</sst>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第&quot;0.00&quot;版&quot;"/>
    <numFmt numFmtId="177" formatCode="yyyy/mm/dd"/>
  </numFmts>
  <fonts count="24" x14ac:knownFonts="1">
    <font>
      <sz val="9"/>
      <name val="ＭＳ 明朝"/>
      <family val="1"/>
      <charset val="128"/>
    </font>
    <font>
      <sz val="9"/>
      <name val="ＭＳ 明朝"/>
      <family val="1"/>
      <charset val="128"/>
    </font>
    <font>
      <u/>
      <sz val="9"/>
      <color indexed="12"/>
      <name val="ＭＳ 明朝"/>
      <family val="1"/>
      <charset val="128"/>
    </font>
    <font>
      <sz val="11"/>
      <name val="ＭＳ Ｐゴシック"/>
      <family val="3"/>
      <charset val="128"/>
    </font>
    <font>
      <sz val="10"/>
      <name val="ＭＳ 明朝"/>
      <family val="1"/>
      <charset val="128"/>
    </font>
    <font>
      <sz val="12"/>
      <name val="ＭＳ 明朝"/>
      <family val="1"/>
      <charset val="128"/>
    </font>
    <font>
      <i/>
      <sz val="9"/>
      <name val="ＭＳ 明朝"/>
      <family val="1"/>
      <charset val="128"/>
    </font>
    <font>
      <sz val="9"/>
      <name val="ＭＳ 明朝"/>
      <family val="1"/>
      <charset val="128"/>
    </font>
    <font>
      <sz val="18"/>
      <name val="ＭＳ Ｐゴシック"/>
      <family val="3"/>
      <charset val="128"/>
    </font>
    <font>
      <u/>
      <sz val="14"/>
      <name val="ＭＳ 明朝"/>
      <family val="1"/>
      <charset val="128"/>
    </font>
    <font>
      <sz val="14"/>
      <name val="ＭＳ 明朝"/>
      <family val="1"/>
      <charset val="128"/>
    </font>
    <font>
      <sz val="11"/>
      <name val="ＭＳ 明朝"/>
      <family val="1"/>
      <charset val="128"/>
    </font>
    <font>
      <sz val="18"/>
      <name val="ＭＳ 明朝"/>
      <family val="1"/>
      <charset val="128"/>
    </font>
    <font>
      <b/>
      <sz val="20"/>
      <name val="ＭＳ 明朝"/>
      <family val="1"/>
      <charset val="128"/>
    </font>
    <font>
      <sz val="16"/>
      <name val="ＭＳ 明朝"/>
      <family val="1"/>
      <charset val="128"/>
    </font>
    <font>
      <sz val="6"/>
      <name val="ＭＳ 明朝"/>
      <family val="1"/>
      <charset val="128"/>
    </font>
    <font>
      <sz val="9"/>
      <name val="ＭＳ 明朝"/>
      <family val="1"/>
      <charset val="128"/>
    </font>
    <font>
      <sz val="8"/>
      <name val="ＭＳ 明朝"/>
      <family val="1"/>
      <charset val="128"/>
    </font>
    <font>
      <sz val="13"/>
      <name val="ＭＳ 明朝"/>
      <family val="1"/>
      <charset val="128"/>
    </font>
    <font>
      <sz val="6"/>
      <name val="ＭＳ Ｐゴシック"/>
      <family val="3"/>
      <charset val="128"/>
    </font>
    <font>
      <sz val="6"/>
      <name val="ＭＳ Ｐゴシック"/>
      <family val="3"/>
      <charset val="128"/>
    </font>
    <font>
      <sz val="9"/>
      <color rgb="FF000000"/>
      <name val="ＭＳ 明朝"/>
      <family val="1"/>
      <charset val="128"/>
    </font>
    <font>
      <sz val="9"/>
      <color theme="1"/>
      <name val="ＭＳ 明朝"/>
      <family val="1"/>
      <charset val="128"/>
    </font>
    <font>
      <strike/>
      <sz val="9"/>
      <name val="ＭＳ 明朝"/>
      <family val="1"/>
      <charset val="128"/>
    </font>
  </fonts>
  <fills count="5">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theme="0" tint="-0.249977111117893"/>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dotted">
        <color indexed="64"/>
      </right>
      <top/>
      <bottom/>
      <diagonal/>
    </border>
    <border>
      <left style="thin">
        <color indexed="64"/>
      </left>
      <right/>
      <top style="thin">
        <color indexed="0"/>
      </top>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right style="thin">
        <color indexed="0"/>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0"/>
      </top>
      <bottom/>
      <diagonal/>
    </border>
    <border>
      <left/>
      <right style="thin">
        <color indexed="64"/>
      </right>
      <top style="thin">
        <color indexed="0"/>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right style="thin">
        <color indexed="0"/>
      </right>
      <top style="thin">
        <color indexed="64"/>
      </top>
      <bottom/>
      <diagonal/>
    </border>
    <border>
      <left/>
      <right style="thin">
        <color indexed="0"/>
      </right>
      <top/>
      <bottom/>
      <diagonal/>
    </border>
    <border>
      <left style="thin">
        <color indexed="64"/>
      </left>
      <right style="thin">
        <color indexed="64"/>
      </right>
      <top style="thin">
        <color indexed="64"/>
      </top>
      <bottom style="double">
        <color indexed="64"/>
      </bottom>
      <diagonal/>
    </border>
    <border>
      <left/>
      <right style="thin">
        <color indexed="0"/>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0" fontId="7" fillId="0" borderId="0"/>
    <xf numFmtId="0" fontId="3" fillId="0" borderId="0"/>
    <xf numFmtId="0" fontId="3" fillId="0" borderId="0"/>
    <xf numFmtId="0" fontId="4" fillId="0" borderId="0"/>
    <xf numFmtId="0" fontId="1" fillId="0" borderId="0"/>
    <xf numFmtId="0" fontId="1" fillId="0" borderId="0"/>
    <xf numFmtId="0" fontId="1" fillId="0" borderId="0"/>
  </cellStyleXfs>
  <cellXfs count="283">
    <xf numFmtId="0" fontId="0" fillId="0" borderId="0" xfId="0"/>
    <xf numFmtId="0" fontId="1" fillId="0" borderId="0" xfId="0" applyFont="1" applyAlignment="1">
      <alignment vertical="center"/>
    </xf>
    <xf numFmtId="0" fontId="6" fillId="0" borderId="0" xfId="0" applyFont="1" applyAlignment="1">
      <alignment horizontal="right" vertical="center"/>
    </xf>
    <xf numFmtId="0" fontId="7" fillId="0" borderId="0" xfId="0" applyFont="1" applyAlignment="1">
      <alignment horizontal="left" vertical="center"/>
    </xf>
    <xf numFmtId="0" fontId="9" fillId="0" borderId="0" xfId="3" applyFont="1"/>
    <xf numFmtId="0" fontId="10" fillId="0" borderId="0" xfId="3" applyFont="1"/>
    <xf numFmtId="0" fontId="10" fillId="0" borderId="0" xfId="0" applyFont="1"/>
    <xf numFmtId="0" fontId="11" fillId="0" borderId="0" xfId="3" applyFont="1"/>
    <xf numFmtId="0" fontId="12" fillId="0" borderId="0" xfId="3" applyFont="1"/>
    <xf numFmtId="0" fontId="13" fillId="0" borderId="0" xfId="3" applyFont="1"/>
    <xf numFmtId="0" fontId="14" fillId="0" borderId="0" xfId="3" applyFont="1"/>
    <xf numFmtId="31" fontId="14" fillId="0" borderId="0" xfId="3" applyNumberFormat="1" applyFont="1"/>
    <xf numFmtId="0" fontId="5" fillId="0" borderId="0" xfId="3" applyFont="1" applyAlignment="1">
      <alignment horizontal="center"/>
    </xf>
    <xf numFmtId="0" fontId="16" fillId="0" borderId="0" xfId="0" applyFont="1" applyAlignment="1">
      <alignment vertical="top"/>
    </xf>
    <xf numFmtId="0" fontId="16" fillId="0" borderId="0" xfId="0" applyFont="1" applyAlignment="1">
      <alignment vertical="center"/>
    </xf>
    <xf numFmtId="0" fontId="1" fillId="0" borderId="0" xfId="0" applyFont="1" applyAlignment="1">
      <alignment horizontal="right" vertical="center"/>
    </xf>
    <xf numFmtId="0" fontId="17" fillId="0" borderId="0" xfId="0" applyFont="1" applyAlignment="1">
      <alignment vertical="center"/>
    </xf>
    <xf numFmtId="0" fontId="4" fillId="0" borderId="0" xfId="0" applyFont="1"/>
    <xf numFmtId="49" fontId="1" fillId="0" borderId="0" xfId="0" applyNumberFormat="1" applyFont="1" applyAlignment="1">
      <alignment vertical="center"/>
    </xf>
    <xf numFmtId="0" fontId="16" fillId="0" borderId="0" xfId="0" applyFont="1" applyAlignment="1">
      <alignment horizontal="left" vertical="center"/>
    </xf>
    <xf numFmtId="176" fontId="10" fillId="0" borderId="0" xfId="6" quotePrefix="1" applyNumberFormat="1" applyFont="1" applyAlignment="1">
      <alignment horizontal="center"/>
    </xf>
    <xf numFmtId="0" fontId="16" fillId="0" borderId="0" xfId="0" applyFont="1" applyAlignment="1">
      <alignment horizontal="right" vertical="center"/>
    </xf>
    <xf numFmtId="0" fontId="7" fillId="0" borderId="0" xfId="0" applyFont="1" applyAlignment="1">
      <alignment vertical="top"/>
    </xf>
    <xf numFmtId="0" fontId="1" fillId="0" borderId="0" xfId="0" applyFont="1" applyAlignment="1">
      <alignment horizontal="left" vertical="top" wrapText="1"/>
    </xf>
    <xf numFmtId="0" fontId="0" fillId="0" borderId="0" xfId="0" applyAlignment="1">
      <alignment vertical="center"/>
    </xf>
    <xf numFmtId="0" fontId="21" fillId="0" borderId="0" xfId="0" applyFont="1" applyAlignment="1">
      <alignment vertical="center"/>
    </xf>
    <xf numFmtId="49" fontId="21" fillId="0" borderId="0" xfId="0" applyNumberFormat="1" applyFont="1" applyAlignment="1">
      <alignment vertical="center"/>
    </xf>
    <xf numFmtId="0" fontId="21" fillId="0" borderId="0" xfId="0" applyFont="1"/>
    <xf numFmtId="0" fontId="17" fillId="0" borderId="0" xfId="0" applyFont="1"/>
    <xf numFmtId="0" fontId="21" fillId="0" borderId="0" xfId="0" applyFont="1" applyAlignment="1">
      <alignment vertical="top" wrapText="1"/>
    </xf>
    <xf numFmtId="0" fontId="21" fillId="0" borderId="0" xfId="0" applyFont="1" applyAlignment="1">
      <alignment vertical="top"/>
    </xf>
    <xf numFmtId="0" fontId="21" fillId="0" borderId="0" xfId="0" applyFont="1" applyAlignment="1">
      <alignment horizontal="left" vertical="center"/>
    </xf>
    <xf numFmtId="0" fontId="11" fillId="0" borderId="0" xfId="3" applyFont="1" applyAlignment="1">
      <alignment horizontal="center" vertical="center"/>
    </xf>
    <xf numFmtId="0" fontId="11" fillId="0" borderId="0" xfId="2" applyFont="1"/>
    <xf numFmtId="0" fontId="18" fillId="0" borderId="0" xfId="2" applyFont="1" applyAlignment="1">
      <alignment horizontal="center"/>
    </xf>
    <xf numFmtId="0" fontId="5" fillId="0" borderId="0" xfId="2" applyFont="1" applyAlignment="1">
      <alignment horizontal="center"/>
    </xf>
    <xf numFmtId="0" fontId="1" fillId="0" borderId="0" xfId="0" applyFont="1" applyAlignment="1">
      <alignment vertical="top"/>
    </xf>
    <xf numFmtId="0" fontId="1" fillId="0" borderId="0" xfId="0" applyFont="1"/>
    <xf numFmtId="0" fontId="1" fillId="0" borderId="0" xfId="0" applyFont="1" applyAlignment="1">
      <alignment horizontal="right"/>
    </xf>
    <xf numFmtId="0" fontId="1" fillId="0" borderId="0" xfId="0" applyFont="1" applyAlignment="1">
      <alignment horizontal="center" vertical="center"/>
    </xf>
    <xf numFmtId="0" fontId="1" fillId="0" borderId="0" xfId="0" quotePrefix="1" applyFont="1" applyAlignment="1">
      <alignment vertical="center"/>
    </xf>
    <xf numFmtId="0" fontId="1" fillId="0" borderId="0" xfId="0" applyFont="1" applyAlignment="1">
      <alignment horizontal="left" vertical="center"/>
    </xf>
    <xf numFmtId="0" fontId="1" fillId="0" borderId="0" xfId="1" applyFont="1" applyBorder="1" applyAlignment="1" applyProtection="1"/>
    <xf numFmtId="0" fontId="1" fillId="0" borderId="6" xfId="0" applyFont="1" applyBorder="1" applyAlignment="1">
      <alignment vertical="center"/>
    </xf>
    <xf numFmtId="0" fontId="1" fillId="0" borderId="7" xfId="0" applyFont="1" applyBorder="1" applyAlignment="1">
      <alignment vertical="center"/>
    </xf>
    <xf numFmtId="0" fontId="1" fillId="0" borderId="20" xfId="0" applyFont="1" applyBorder="1"/>
    <xf numFmtId="0" fontId="1" fillId="0" borderId="21" xfId="0" applyFont="1" applyBorder="1"/>
    <xf numFmtId="0" fontId="1" fillId="0" borderId="21" xfId="0" applyFont="1" applyBorder="1" applyAlignment="1">
      <alignment vertical="center"/>
    </xf>
    <xf numFmtId="0" fontId="1" fillId="0" borderId="22" xfId="0" applyFont="1" applyBorder="1" applyAlignment="1">
      <alignment vertical="center"/>
    </xf>
    <xf numFmtId="0" fontId="1" fillId="0" borderId="23" xfId="0" applyFont="1" applyBorder="1"/>
    <xf numFmtId="0" fontId="1" fillId="0" borderId="24" xfId="0" applyFont="1" applyBorder="1" applyAlignment="1">
      <alignment vertical="center"/>
    </xf>
    <xf numFmtId="0" fontId="1" fillId="0" borderId="23" xfId="0" applyFont="1" applyBorder="1" applyAlignment="1">
      <alignment vertical="center"/>
    </xf>
    <xf numFmtId="0" fontId="1" fillId="0" borderId="25" xfId="0" applyFont="1" applyBorder="1" applyAlignment="1">
      <alignment vertical="center"/>
    </xf>
    <xf numFmtId="0" fontId="1" fillId="0" borderId="26" xfId="0" applyFont="1" applyBorder="1" applyAlignment="1">
      <alignment vertical="center"/>
    </xf>
    <xf numFmtId="0" fontId="1" fillId="0" borderId="27" xfId="0" applyFont="1" applyBorder="1" applyAlignment="1">
      <alignment vertical="center"/>
    </xf>
    <xf numFmtId="0" fontId="1" fillId="0" borderId="38" xfId="0" applyFont="1" applyBorder="1" applyAlignment="1">
      <alignment horizontal="center" vertical="center"/>
    </xf>
    <xf numFmtId="0" fontId="1" fillId="0" borderId="1" xfId="0" applyFont="1" applyBorder="1" applyAlignment="1">
      <alignment horizontal="right" vertical="top"/>
    </xf>
    <xf numFmtId="0" fontId="1" fillId="0" borderId="14" xfId="8" applyBorder="1"/>
    <xf numFmtId="49" fontId="0" fillId="0" borderId="0" xfId="0" applyNumberFormat="1" applyAlignment="1">
      <alignment vertical="center"/>
    </xf>
    <xf numFmtId="0" fontId="0" fillId="0" borderId="0" xfId="0" applyAlignment="1">
      <alignment horizontal="left" vertical="center"/>
    </xf>
    <xf numFmtId="0" fontId="0" fillId="0" borderId="0" xfId="0" applyAlignment="1">
      <alignment vertical="top"/>
    </xf>
    <xf numFmtId="0" fontId="10" fillId="0" borderId="0" xfId="8" applyFont="1"/>
    <xf numFmtId="0" fontId="21" fillId="0" borderId="1" xfId="0" applyFont="1" applyBorder="1" applyAlignment="1">
      <alignment wrapText="1"/>
    </xf>
    <xf numFmtId="0" fontId="21" fillId="2" borderId="1" xfId="0" applyFont="1" applyFill="1" applyBorder="1" applyAlignment="1">
      <alignment wrapText="1"/>
    </xf>
    <xf numFmtId="0" fontId="1" fillId="2" borderId="1" xfId="0" applyFont="1" applyFill="1" applyBorder="1" applyAlignment="1">
      <alignment wrapText="1"/>
    </xf>
    <xf numFmtId="0" fontId="1" fillId="0" borderId="5" xfId="2" applyFont="1" applyBorder="1" applyAlignment="1">
      <alignment horizontal="center" vertical="top"/>
    </xf>
    <xf numFmtId="0" fontId="1" fillId="0" borderId="1" xfId="0" applyFont="1" applyBorder="1" applyAlignment="1">
      <alignment horizontal="center" vertical="top"/>
    </xf>
    <xf numFmtId="0" fontId="21" fillId="0" borderId="0" xfId="0" applyFont="1" applyAlignment="1">
      <alignment horizontal="left" vertical="top" wrapText="1"/>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2" fillId="0" borderId="0" xfId="1" applyFill="1" applyAlignment="1" applyProtection="1">
      <alignment vertical="center"/>
    </xf>
    <xf numFmtId="0" fontId="23" fillId="0" borderId="0" xfId="0" applyFont="1"/>
    <xf numFmtId="0" fontId="0" fillId="4" borderId="2" xfId="0" applyFill="1" applyBorder="1" applyAlignment="1">
      <alignment vertical="center"/>
    </xf>
    <xf numFmtId="0" fontId="0" fillId="4" borderId="3" xfId="0" applyFill="1" applyBorder="1" applyAlignment="1">
      <alignment vertical="center"/>
    </xf>
    <xf numFmtId="0" fontId="1" fillId="4" borderId="4" xfId="0" applyFont="1" applyFill="1" applyBorder="1" applyAlignment="1">
      <alignment vertical="center"/>
    </xf>
    <xf numFmtId="0" fontId="1" fillId="4" borderId="3" xfId="0" applyFont="1" applyFill="1"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1" fillId="0" borderId="10" xfId="0" applyFont="1"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4" xfId="0" applyFont="1" applyBorder="1" applyAlignment="1">
      <alignment vertical="center"/>
    </xf>
    <xf numFmtId="0" fontId="1" fillId="0" borderId="11" xfId="0" applyFont="1" applyBorder="1" applyAlignment="1">
      <alignment vertical="center"/>
    </xf>
    <xf numFmtId="0" fontId="0" fillId="0" borderId="12" xfId="0" applyBorder="1" applyAlignment="1">
      <alignment vertical="center"/>
    </xf>
    <xf numFmtId="0" fontId="1" fillId="0" borderId="13" xfId="0" applyFont="1" applyBorder="1" applyAlignment="1">
      <alignment vertical="center"/>
    </xf>
    <xf numFmtId="0" fontId="0" fillId="0" borderId="11" xfId="0" applyBorder="1" applyAlignment="1">
      <alignment vertical="center"/>
    </xf>
    <xf numFmtId="0" fontId="11" fillId="0" borderId="0" xfId="3" applyFont="1" applyAlignment="1">
      <alignment horizontal="center"/>
    </xf>
    <xf numFmtId="0" fontId="11" fillId="0" borderId="0" xfId="4" applyFont="1" applyAlignment="1">
      <alignment horizontal="center"/>
    </xf>
    <xf numFmtId="0" fontId="4" fillId="0" borderId="0" xfId="3" applyFont="1" applyAlignment="1">
      <alignment horizontal="center" vertical="center"/>
    </xf>
    <xf numFmtId="0" fontId="11" fillId="0" borderId="0" xfId="4" applyFont="1" applyAlignment="1">
      <alignment horizontal="center" vertical="center"/>
    </xf>
    <xf numFmtId="0" fontId="11" fillId="0" borderId="0" xfId="3" applyFont="1" applyAlignment="1">
      <alignment horizontal="center" vertical="center"/>
    </xf>
    <xf numFmtId="31" fontId="10" fillId="0" borderId="0" xfId="2" quotePrefix="1" applyNumberFormat="1" applyFont="1" applyAlignment="1">
      <alignment horizontal="center" vertical="center"/>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2" xfId="0" applyFont="1" applyBorder="1" applyAlignment="1">
      <alignment horizontal="center" vertical="top"/>
    </xf>
    <xf numFmtId="0" fontId="1" fillId="0" borderId="4" xfId="0" applyFont="1" applyBorder="1" applyAlignment="1">
      <alignment horizontal="center" vertical="top"/>
    </xf>
    <xf numFmtId="14" fontId="1" fillId="0" borderId="2" xfId="0" applyNumberFormat="1" applyFont="1" applyBorder="1" applyAlignment="1">
      <alignment horizontal="center" vertical="top"/>
    </xf>
    <xf numFmtId="14" fontId="1" fillId="0" borderId="3" xfId="0" applyNumberFormat="1" applyFont="1" applyBorder="1" applyAlignment="1">
      <alignment horizontal="center" vertical="top"/>
    </xf>
    <xf numFmtId="14" fontId="1" fillId="0" borderId="4" xfId="0" applyNumberFormat="1" applyFont="1" applyBorder="1" applyAlignment="1">
      <alignment horizontal="center" vertical="top"/>
    </xf>
    <xf numFmtId="0" fontId="1" fillId="0" borderId="3" xfId="0" applyFont="1" applyBorder="1" applyAlignment="1">
      <alignment horizontal="center" vertical="top"/>
    </xf>
    <xf numFmtId="0" fontId="1" fillId="2" borderId="2" xfId="6" applyFill="1" applyBorder="1" applyAlignment="1">
      <alignment horizontal="left" vertical="top"/>
    </xf>
    <xf numFmtId="0" fontId="1" fillId="2" borderId="3" xfId="6" applyFill="1" applyBorder="1" applyAlignment="1">
      <alignment horizontal="left" vertical="top"/>
    </xf>
    <xf numFmtId="0" fontId="1" fillId="2" borderId="4" xfId="6" applyFill="1" applyBorder="1" applyAlignment="1">
      <alignment horizontal="left" vertical="top"/>
    </xf>
    <xf numFmtId="0" fontId="22" fillId="2" borderId="8" xfId="6" applyFont="1" applyFill="1" applyBorder="1" applyAlignment="1">
      <alignment horizontal="left" vertical="top"/>
    </xf>
    <xf numFmtId="0" fontId="22" fillId="2" borderId="9" xfId="6" applyFont="1" applyFill="1" applyBorder="1" applyAlignment="1">
      <alignment horizontal="left" vertical="top"/>
    </xf>
    <xf numFmtId="0" fontId="22" fillId="2" borderId="10" xfId="6" applyFont="1" applyFill="1" applyBorder="1" applyAlignment="1">
      <alignment horizontal="left" vertical="top"/>
    </xf>
    <xf numFmtId="0" fontId="22" fillId="2" borderId="6" xfId="6" applyFont="1" applyFill="1" applyBorder="1" applyAlignment="1">
      <alignment horizontal="left" vertical="top"/>
    </xf>
    <xf numFmtId="0" fontId="22" fillId="2" borderId="0" xfId="6" applyFont="1" applyFill="1" applyAlignment="1">
      <alignment horizontal="left" vertical="top"/>
    </xf>
    <xf numFmtId="0" fontId="22" fillId="2" borderId="7" xfId="6" applyFont="1" applyFill="1" applyBorder="1" applyAlignment="1">
      <alignment horizontal="left" vertical="top"/>
    </xf>
    <xf numFmtId="0" fontId="22" fillId="2" borderId="11" xfId="6" applyFont="1" applyFill="1" applyBorder="1" applyAlignment="1">
      <alignment horizontal="left" vertical="top"/>
    </xf>
    <xf numFmtId="0" fontId="22" fillId="2" borderId="12" xfId="6" applyFont="1" applyFill="1" applyBorder="1" applyAlignment="1">
      <alignment horizontal="left" vertical="top"/>
    </xf>
    <xf numFmtId="0" fontId="22" fillId="2" borderId="13" xfId="6" applyFont="1" applyFill="1" applyBorder="1" applyAlignment="1">
      <alignment horizontal="left" vertical="top"/>
    </xf>
    <xf numFmtId="0" fontId="0" fillId="0" borderId="8" xfId="6" applyFont="1" applyBorder="1" applyAlignment="1">
      <alignment horizontal="left" vertical="top"/>
    </xf>
    <xf numFmtId="0" fontId="1" fillId="0" borderId="9" xfId="6" applyBorder="1" applyAlignment="1">
      <alignment horizontal="left" vertical="top"/>
    </xf>
    <xf numFmtId="0" fontId="1" fillId="0" borderId="10" xfId="6" applyBorder="1" applyAlignment="1">
      <alignment horizontal="left" vertical="top"/>
    </xf>
    <xf numFmtId="0" fontId="1" fillId="0" borderId="6" xfId="6" applyBorder="1" applyAlignment="1">
      <alignment horizontal="left" vertical="top"/>
    </xf>
    <xf numFmtId="0" fontId="1" fillId="0" borderId="0" xfId="6" applyAlignment="1">
      <alignment horizontal="left" vertical="top"/>
    </xf>
    <xf numFmtId="0" fontId="1" fillId="0" borderId="7" xfId="6" applyBorder="1" applyAlignment="1">
      <alignment horizontal="left" vertical="top"/>
    </xf>
    <xf numFmtId="0" fontId="1" fillId="0" borderId="11" xfId="6" applyBorder="1" applyAlignment="1">
      <alignment horizontal="left" vertical="top"/>
    </xf>
    <xf numFmtId="0" fontId="1" fillId="0" borderId="12" xfId="6" applyBorder="1" applyAlignment="1">
      <alignment horizontal="left" vertical="top"/>
    </xf>
    <xf numFmtId="0" fontId="1" fillId="0" borderId="13" xfId="6" applyBorder="1" applyAlignment="1">
      <alignment horizontal="left" vertical="top"/>
    </xf>
    <xf numFmtId="0" fontId="1" fillId="0" borderId="2" xfId="7" applyBorder="1" applyAlignment="1">
      <alignment horizontal="left" vertical="top"/>
    </xf>
    <xf numFmtId="0" fontId="1" fillId="0" borderId="3" xfId="7" applyBorder="1" applyAlignment="1">
      <alignment horizontal="left" vertical="top"/>
    </xf>
    <xf numFmtId="0" fontId="1" fillId="0" borderId="4" xfId="7" applyBorder="1" applyAlignment="1">
      <alignment horizontal="left" vertical="top"/>
    </xf>
    <xf numFmtId="0" fontId="1" fillId="0" borderId="30" xfId="2" applyFont="1" applyBorder="1" applyAlignment="1">
      <alignment horizontal="center" vertical="top"/>
    </xf>
    <xf numFmtId="0" fontId="1" fillId="0" borderId="32" xfId="2" applyFont="1" applyBorder="1" applyAlignment="1">
      <alignment horizontal="center" vertical="top"/>
    </xf>
    <xf numFmtId="14" fontId="1" fillId="0" borderId="30" xfId="2" quotePrefix="1" applyNumberFormat="1" applyFont="1" applyBorder="1" applyAlignment="1">
      <alignment horizontal="center" vertical="top"/>
    </xf>
    <xf numFmtId="14" fontId="1" fillId="0" borderId="31" xfId="2" quotePrefix="1" applyNumberFormat="1" applyFont="1" applyBorder="1" applyAlignment="1">
      <alignment horizontal="center" vertical="top"/>
    </xf>
    <xf numFmtId="14" fontId="1" fillId="0" borderId="32" xfId="2" quotePrefix="1" applyNumberFormat="1" applyFont="1" applyBorder="1" applyAlignment="1">
      <alignment horizontal="center" vertical="top"/>
    </xf>
    <xf numFmtId="14" fontId="1" fillId="0" borderId="30" xfId="2" applyNumberFormat="1" applyFont="1" applyBorder="1" applyAlignment="1">
      <alignment horizontal="center" vertical="top"/>
    </xf>
    <xf numFmtId="14" fontId="1" fillId="0" borderId="31" xfId="2" applyNumberFormat="1" applyFont="1" applyBorder="1" applyAlignment="1">
      <alignment horizontal="center" vertical="top"/>
    </xf>
    <xf numFmtId="14" fontId="1" fillId="0" borderId="32" xfId="2" applyNumberFormat="1" applyFont="1" applyBorder="1" applyAlignment="1">
      <alignment horizontal="center" vertical="top"/>
    </xf>
    <xf numFmtId="0" fontId="1" fillId="0" borderId="30" xfId="2" applyFont="1" applyBorder="1" applyAlignment="1">
      <alignment horizontal="left" vertical="top"/>
    </xf>
    <xf numFmtId="0" fontId="1" fillId="0" borderId="31" xfId="2" applyFont="1" applyBorder="1" applyAlignment="1">
      <alignment horizontal="left" vertical="top"/>
    </xf>
    <xf numFmtId="0" fontId="1" fillId="0" borderId="32" xfId="2" applyFont="1" applyBorder="1" applyAlignment="1">
      <alignment horizontal="left" vertical="top"/>
    </xf>
    <xf numFmtId="0" fontId="1" fillId="0" borderId="30" xfId="2" applyFont="1" applyBorder="1" applyAlignment="1">
      <alignment horizontal="left" vertical="top" wrapText="1"/>
    </xf>
    <xf numFmtId="0" fontId="1" fillId="0" borderId="31" xfId="2" applyFont="1" applyBorder="1" applyAlignment="1">
      <alignment horizontal="left" vertical="top" wrapText="1"/>
    </xf>
    <xf numFmtId="0" fontId="1" fillId="0" borderId="32" xfId="2" applyFont="1" applyBorder="1" applyAlignment="1">
      <alignment horizontal="left" vertical="top" wrapText="1"/>
    </xf>
    <xf numFmtId="0" fontId="0" fillId="0" borderId="2" xfId="0" applyBorder="1" applyAlignment="1">
      <alignment horizontal="left" vertical="top" wrapText="1"/>
    </xf>
    <xf numFmtId="14" fontId="1" fillId="0" borderId="2" xfId="6" applyNumberFormat="1" applyBorder="1" applyAlignment="1">
      <alignment horizontal="left" vertical="top"/>
    </xf>
    <xf numFmtId="14" fontId="1" fillId="0" borderId="3" xfId="6" applyNumberFormat="1" applyBorder="1" applyAlignment="1">
      <alignment horizontal="left" vertical="top"/>
    </xf>
    <xf numFmtId="14" fontId="1" fillId="0" borderId="4" xfId="6" applyNumberFormat="1" applyBorder="1" applyAlignment="1">
      <alignment horizontal="left" vertical="top"/>
    </xf>
    <xf numFmtId="177" fontId="1" fillId="0" borderId="2" xfId="2" applyNumberFormat="1" applyFont="1" applyBorder="1" applyAlignment="1">
      <alignment horizontal="right"/>
    </xf>
    <xf numFmtId="177" fontId="1" fillId="0" borderId="3" xfId="2" applyNumberFormat="1" applyFont="1" applyBorder="1" applyAlignment="1">
      <alignment horizontal="right"/>
    </xf>
    <xf numFmtId="177" fontId="1" fillId="0" borderId="4" xfId="2" applyNumberFormat="1" applyFont="1" applyBorder="1" applyAlignment="1">
      <alignment horizontal="right"/>
    </xf>
    <xf numFmtId="0" fontId="1" fillId="0" borderId="2" xfId="6" applyBorder="1" applyAlignment="1">
      <alignment horizontal="left" vertical="top"/>
    </xf>
    <xf numFmtId="0" fontId="1" fillId="0" borderId="3" xfId="6" applyBorder="1" applyAlignment="1">
      <alignment horizontal="left" vertical="top"/>
    </xf>
    <xf numFmtId="0" fontId="1" fillId="0" borderId="4" xfId="6" applyBorder="1" applyAlignment="1">
      <alignment horizontal="left" vertical="top"/>
    </xf>
    <xf numFmtId="0" fontId="0" fillId="0" borderId="2" xfId="0" applyBorder="1" applyAlignment="1">
      <alignment horizontal="left" vertical="top"/>
    </xf>
    <xf numFmtId="0" fontId="0" fillId="0" borderId="2" xfId="0" applyBorder="1" applyAlignment="1">
      <alignment horizontal="center" vertical="top"/>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1" fillId="0" borderId="9" xfId="0" applyFont="1" applyBorder="1" applyAlignment="1">
      <alignment horizontal="center" vertical="center"/>
    </xf>
    <xf numFmtId="0" fontId="1" fillId="0" borderId="8" xfId="6" applyBorder="1" applyAlignment="1">
      <alignment horizontal="left" vertical="top" wrapText="1"/>
    </xf>
    <xf numFmtId="0" fontId="1" fillId="0" borderId="9" xfId="6" applyBorder="1" applyAlignment="1">
      <alignment horizontal="left" vertical="top" wrapText="1"/>
    </xf>
    <xf numFmtId="0" fontId="1" fillId="0" borderId="10" xfId="6" applyBorder="1" applyAlignment="1">
      <alignment horizontal="left" vertical="top" wrapText="1"/>
    </xf>
    <xf numFmtId="0" fontId="1" fillId="0" borderId="6" xfId="6" applyBorder="1" applyAlignment="1">
      <alignment horizontal="left" vertical="top" wrapText="1"/>
    </xf>
    <xf numFmtId="0" fontId="1" fillId="0" borderId="0" xfId="6" applyAlignment="1">
      <alignment horizontal="left" vertical="top" wrapText="1"/>
    </xf>
    <xf numFmtId="0" fontId="1" fillId="0" borderId="7" xfId="6" applyBorder="1" applyAlignment="1">
      <alignment horizontal="left" vertical="top" wrapText="1"/>
    </xf>
    <xf numFmtId="0" fontId="1" fillId="0" borderId="11" xfId="6" applyBorder="1" applyAlignment="1">
      <alignment horizontal="left" vertical="top" wrapText="1"/>
    </xf>
    <xf numFmtId="0" fontId="1" fillId="0" borderId="12" xfId="6" applyBorder="1" applyAlignment="1">
      <alignment horizontal="left" vertical="top" wrapText="1"/>
    </xf>
    <xf numFmtId="0" fontId="1" fillId="0" borderId="13" xfId="6" applyBorder="1" applyAlignment="1">
      <alignment horizontal="left" vertical="top" wrapText="1"/>
    </xf>
    <xf numFmtId="0" fontId="1" fillId="2" borderId="2" xfId="5" applyFont="1" applyFill="1" applyBorder="1" applyAlignment="1">
      <alignment horizontal="left" vertical="top"/>
    </xf>
    <xf numFmtId="0" fontId="1" fillId="2" borderId="3" xfId="5" applyFont="1" applyFill="1" applyBorder="1" applyAlignment="1">
      <alignment horizontal="left" vertical="top"/>
    </xf>
    <xf numFmtId="0" fontId="1" fillId="2" borderId="4" xfId="5" applyFont="1" applyFill="1" applyBorder="1" applyAlignment="1">
      <alignment horizontal="left" vertical="top"/>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0" borderId="8" xfId="5" applyFont="1" applyBorder="1" applyAlignment="1">
      <alignment horizontal="left" vertical="top"/>
    </xf>
    <xf numFmtId="0" fontId="1" fillId="0" borderId="9" xfId="5" applyFont="1" applyBorder="1" applyAlignment="1">
      <alignment horizontal="left" vertical="top"/>
    </xf>
    <xf numFmtId="0" fontId="1" fillId="0" borderId="10" xfId="5" applyFont="1" applyBorder="1" applyAlignment="1">
      <alignment horizontal="left" vertical="top"/>
    </xf>
    <xf numFmtId="0" fontId="1" fillId="0" borderId="6" xfId="5" applyFont="1" applyBorder="1" applyAlignment="1">
      <alignment horizontal="left" vertical="top"/>
    </xf>
    <xf numFmtId="0" fontId="1" fillId="0" borderId="0" xfId="5" applyFont="1" applyAlignment="1">
      <alignment horizontal="left" vertical="top"/>
    </xf>
    <xf numFmtId="0" fontId="1" fillId="0" borderId="7" xfId="5" applyFont="1" applyBorder="1" applyAlignment="1">
      <alignment horizontal="left" vertical="top"/>
    </xf>
    <xf numFmtId="0" fontId="1" fillId="0" borderId="11" xfId="5" applyFont="1" applyBorder="1" applyAlignment="1">
      <alignment horizontal="left" vertical="top"/>
    </xf>
    <xf numFmtId="0" fontId="1" fillId="0" borderId="12" xfId="5" applyFont="1" applyBorder="1" applyAlignment="1">
      <alignment horizontal="left" vertical="top"/>
    </xf>
    <xf numFmtId="0" fontId="1" fillId="0" borderId="13" xfId="5" applyFont="1" applyBorder="1" applyAlignment="1">
      <alignment horizontal="left" vertical="top"/>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0" xfId="0"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21" fillId="0" borderId="8" xfId="0" applyFont="1" applyBorder="1" applyAlignment="1">
      <alignment horizontal="left" vertical="top" wrapText="1"/>
    </xf>
    <xf numFmtId="0" fontId="21" fillId="0" borderId="9" xfId="0" applyFont="1" applyBorder="1" applyAlignment="1">
      <alignment horizontal="left" vertical="top" wrapText="1"/>
    </xf>
    <xf numFmtId="0" fontId="21" fillId="0" borderId="10" xfId="0" applyFont="1" applyBorder="1" applyAlignment="1">
      <alignment horizontal="left" vertical="top" wrapText="1"/>
    </xf>
    <xf numFmtId="0" fontId="21" fillId="0" borderId="6" xfId="0" applyFont="1" applyBorder="1" applyAlignment="1">
      <alignment horizontal="left" vertical="top" wrapText="1"/>
    </xf>
    <xf numFmtId="0" fontId="21" fillId="0" borderId="0" xfId="0" applyFont="1" applyAlignment="1">
      <alignment horizontal="left" vertical="top" wrapText="1"/>
    </xf>
    <xf numFmtId="0" fontId="21" fillId="0" borderId="7" xfId="0" applyFont="1" applyBorder="1" applyAlignment="1">
      <alignment horizontal="left" vertical="top" wrapText="1"/>
    </xf>
    <xf numFmtId="0" fontId="21" fillId="0" borderId="11" xfId="0" applyFont="1" applyBorder="1" applyAlignment="1">
      <alignment horizontal="left" vertical="top" wrapText="1"/>
    </xf>
    <xf numFmtId="0" fontId="21" fillId="0" borderId="12" xfId="0" applyFont="1" applyBorder="1" applyAlignment="1">
      <alignment horizontal="left" vertical="top" wrapText="1"/>
    </xf>
    <xf numFmtId="0" fontId="21" fillId="0" borderId="13" xfId="0" applyFont="1" applyBorder="1" applyAlignment="1">
      <alignment horizontal="left" vertical="top" wrapText="1"/>
    </xf>
    <xf numFmtId="0" fontId="0" fillId="2" borderId="2" xfId="0" applyFill="1" applyBorder="1" applyAlignment="1">
      <alignment horizontal="left" vertical="top" wrapText="1"/>
    </xf>
    <xf numFmtId="0" fontId="0" fillId="2" borderId="33" xfId="0" applyFill="1" applyBorder="1" applyAlignment="1">
      <alignment horizontal="left" vertical="top" wrapText="1"/>
    </xf>
    <xf numFmtId="0" fontId="1" fillId="2" borderId="34" xfId="0" applyFont="1" applyFill="1" applyBorder="1" applyAlignment="1">
      <alignment horizontal="left" vertical="top" wrapText="1"/>
    </xf>
    <xf numFmtId="0" fontId="1" fillId="2" borderId="35" xfId="0" applyFont="1" applyFill="1" applyBorder="1" applyAlignment="1">
      <alignment horizontal="left" vertical="top" wrapText="1"/>
    </xf>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0" fontId="1" fillId="2" borderId="4" xfId="0" applyFont="1" applyFill="1" applyBorder="1" applyAlignment="1">
      <alignment horizontal="left" vertical="top"/>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8" xfId="0" applyFont="1" applyBorder="1" applyAlignment="1">
      <alignment horizontal="left" vertical="top"/>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13" xfId="0" applyFont="1" applyBorder="1" applyAlignment="1">
      <alignment horizontal="left" vertical="top"/>
    </xf>
    <xf numFmtId="0" fontId="1" fillId="0" borderId="9" xfId="0" applyFont="1" applyBorder="1" applyAlignment="1">
      <alignment horizontal="left" vertical="top"/>
    </xf>
    <xf numFmtId="0" fontId="1" fillId="0" borderId="12" xfId="0" applyFont="1" applyBorder="1" applyAlignment="1">
      <alignment horizontal="left" vertical="top"/>
    </xf>
    <xf numFmtId="0" fontId="1" fillId="0" borderId="6" xfId="0" applyFont="1" applyBorder="1" applyAlignment="1">
      <alignment horizontal="left" vertical="top"/>
    </xf>
    <xf numFmtId="0" fontId="1" fillId="0" borderId="0" xfId="0" applyFont="1" applyAlignment="1">
      <alignment horizontal="left" vertical="top"/>
    </xf>
    <xf numFmtId="0" fontId="1" fillId="0" borderId="7" xfId="0" applyFont="1" applyBorder="1" applyAlignment="1">
      <alignment horizontal="left" vertical="top"/>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11" xfId="0" applyFont="1" applyBorder="1" applyAlignment="1">
      <alignment horizontal="center" vertical="center"/>
    </xf>
    <xf numFmtId="0" fontId="1" fillId="0" borderId="13" xfId="0" applyFont="1" applyBorder="1" applyAlignment="1">
      <alignment horizontal="center" vertical="center"/>
    </xf>
    <xf numFmtId="0" fontId="1" fillId="0" borderId="6" xfId="0" applyFont="1" applyBorder="1" applyAlignment="1">
      <alignment horizontal="left" vertical="top" wrapText="1"/>
    </xf>
    <xf numFmtId="0" fontId="1" fillId="0" borderId="0" xfId="0" applyFont="1" applyAlignment="1">
      <alignment horizontal="left" vertical="top" wrapText="1"/>
    </xf>
    <xf numFmtId="0" fontId="1" fillId="0" borderId="7" xfId="0" applyFont="1" applyBorder="1" applyAlignment="1">
      <alignment horizontal="left" vertical="top" wrapText="1"/>
    </xf>
    <xf numFmtId="0" fontId="0" fillId="0" borderId="8" xfId="0" applyBorder="1" applyAlignment="1">
      <alignment horizontal="left" vertical="top"/>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3" borderId="2" xfId="0" applyFont="1" applyFill="1" applyBorder="1" applyAlignment="1">
      <alignment vertical="center" wrapText="1"/>
    </xf>
    <xf numFmtId="0" fontId="1" fillId="3" borderId="3" xfId="0" applyFont="1" applyFill="1" applyBorder="1" applyAlignment="1">
      <alignment vertical="center" wrapText="1"/>
    </xf>
    <xf numFmtId="0" fontId="1" fillId="3" borderId="4" xfId="0" applyFont="1" applyFill="1" applyBorder="1" applyAlignment="1">
      <alignment vertical="center"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0" fillId="0" borderId="2" xfId="0" applyBorder="1" applyAlignment="1">
      <alignment vertical="top" wrapText="1"/>
    </xf>
    <xf numFmtId="0" fontId="1" fillId="0" borderId="3" xfId="0" applyFont="1" applyBorder="1" applyAlignment="1">
      <alignment horizontal="center"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21" fillId="0" borderId="1" xfId="2" applyFont="1" applyBorder="1" applyAlignment="1">
      <alignment horizontal="left" vertical="top" wrapText="1"/>
    </xf>
    <xf numFmtId="0" fontId="21" fillId="0" borderId="6" xfId="2" applyFont="1" applyBorder="1" applyAlignment="1">
      <alignment vertical="top" wrapText="1"/>
    </xf>
    <xf numFmtId="0" fontId="21" fillId="0" borderId="0" xfId="2" applyFont="1" applyAlignment="1">
      <alignment vertical="top" wrapText="1"/>
    </xf>
    <xf numFmtId="0" fontId="21" fillId="0" borderId="7" xfId="2" applyFont="1" applyBorder="1" applyAlignment="1">
      <alignment vertical="top" wrapText="1"/>
    </xf>
    <xf numFmtId="0" fontId="21" fillId="0" borderId="1" xfId="2" applyFont="1" applyBorder="1" applyAlignment="1">
      <alignment vertical="top" wrapText="1"/>
    </xf>
    <xf numFmtId="0" fontId="21" fillId="2" borderId="16" xfId="0" applyFont="1" applyFill="1" applyBorder="1" applyAlignment="1">
      <alignment vertical="top" wrapText="1"/>
    </xf>
    <xf numFmtId="0" fontId="21" fillId="2" borderId="17" xfId="0" applyFont="1" applyFill="1" applyBorder="1" applyAlignment="1">
      <alignment vertical="top" wrapText="1"/>
    </xf>
    <xf numFmtId="0" fontId="21" fillId="2" borderId="18" xfId="0" applyFont="1" applyFill="1" applyBorder="1" applyAlignment="1">
      <alignment vertical="top" wrapText="1"/>
    </xf>
    <xf numFmtId="0" fontId="21" fillId="2" borderId="2" xfId="0" applyFont="1" applyFill="1" applyBorder="1" applyAlignment="1">
      <alignment horizontal="left" vertical="top" wrapText="1"/>
    </xf>
    <xf numFmtId="0" fontId="21" fillId="2" borderId="3" xfId="0" applyFont="1" applyFill="1" applyBorder="1" applyAlignment="1">
      <alignment horizontal="left" vertical="top" wrapText="1"/>
    </xf>
    <xf numFmtId="0" fontId="21" fillId="2" borderId="19" xfId="0" applyFont="1" applyFill="1" applyBorder="1" applyAlignment="1">
      <alignment horizontal="left" vertical="top" wrapText="1"/>
    </xf>
    <xf numFmtId="0" fontId="21" fillId="0" borderId="8" xfId="2" applyFont="1" applyBorder="1" applyAlignment="1">
      <alignment horizontal="left" vertical="top" wrapText="1"/>
    </xf>
    <xf numFmtId="0" fontId="21" fillId="0" borderId="9" xfId="2" applyFont="1" applyBorder="1" applyAlignment="1">
      <alignment horizontal="left" vertical="top" wrapText="1"/>
    </xf>
    <xf numFmtId="0" fontId="21" fillId="0" borderId="10" xfId="2" applyFont="1" applyBorder="1" applyAlignment="1">
      <alignment horizontal="left" vertical="top" wrapText="1"/>
    </xf>
    <xf numFmtId="0" fontId="21" fillId="0" borderId="6" xfId="2" applyFont="1" applyBorder="1" applyAlignment="1">
      <alignment horizontal="left" vertical="top" wrapText="1"/>
    </xf>
    <xf numFmtId="0" fontId="21" fillId="0" borderId="0" xfId="2" applyFont="1" applyAlignment="1">
      <alignment horizontal="left" vertical="top" wrapText="1"/>
    </xf>
    <xf numFmtId="0" fontId="21" fillId="0" borderId="7" xfId="2" applyFont="1" applyBorder="1" applyAlignment="1">
      <alignment horizontal="left" vertical="top" wrapText="1"/>
    </xf>
    <xf numFmtId="0" fontId="21" fillId="0" borderId="11" xfId="2" applyFont="1" applyBorder="1" applyAlignment="1">
      <alignment horizontal="left" vertical="top" wrapText="1"/>
    </xf>
    <xf numFmtId="0" fontId="21" fillId="0" borderId="12" xfId="2" applyFont="1" applyBorder="1" applyAlignment="1">
      <alignment horizontal="left" vertical="top" wrapText="1"/>
    </xf>
    <xf numFmtId="0" fontId="21" fillId="0" borderId="13" xfId="2" applyFont="1" applyBorder="1" applyAlignment="1">
      <alignment horizontal="left" vertical="top" wrapText="1"/>
    </xf>
    <xf numFmtId="0" fontId="21" fillId="0" borderId="15" xfId="2" applyFont="1" applyBorder="1" applyAlignment="1">
      <alignment horizontal="left" vertical="top" wrapText="1"/>
    </xf>
    <xf numFmtId="0" fontId="21" fillId="0" borderId="28" xfId="2" applyFont="1" applyBorder="1" applyAlignment="1">
      <alignment horizontal="left" vertical="top" wrapText="1"/>
    </xf>
    <xf numFmtId="0" fontId="21" fillId="0" borderId="29" xfId="2" applyFont="1" applyBorder="1" applyAlignment="1">
      <alignment horizontal="left" vertical="top" wrapText="1"/>
    </xf>
    <xf numFmtId="0" fontId="21" fillId="0" borderId="36" xfId="2" applyFont="1" applyBorder="1" applyAlignment="1">
      <alignment horizontal="left" vertical="top" wrapText="1"/>
    </xf>
    <xf numFmtId="0" fontId="21" fillId="0" borderId="37" xfId="2" applyFont="1" applyBorder="1" applyAlignment="1">
      <alignment horizontal="left" vertical="top" wrapText="1"/>
    </xf>
    <xf numFmtId="0" fontId="21" fillId="0" borderId="39" xfId="2" applyFont="1" applyBorder="1" applyAlignment="1">
      <alignment horizontal="left" vertical="top" wrapText="1"/>
    </xf>
    <xf numFmtId="0" fontId="21" fillId="0" borderId="2" xfId="2" applyFont="1" applyBorder="1" applyAlignment="1">
      <alignment vertical="top" wrapText="1"/>
    </xf>
    <xf numFmtId="0" fontId="21" fillId="0" borderId="3" xfId="2" applyFont="1" applyBorder="1" applyAlignment="1">
      <alignment vertical="top" wrapText="1"/>
    </xf>
    <xf numFmtId="0" fontId="21" fillId="0" borderId="4" xfId="2" applyFont="1" applyBorder="1" applyAlignment="1">
      <alignment vertical="top" wrapText="1"/>
    </xf>
    <xf numFmtId="0" fontId="21" fillId="0" borderId="11" xfId="2" applyFont="1" applyBorder="1" applyAlignment="1">
      <alignment vertical="top" wrapText="1"/>
    </xf>
    <xf numFmtId="0" fontId="21" fillId="0" borderId="12" xfId="2" applyFont="1" applyBorder="1" applyAlignment="1">
      <alignment vertical="top" wrapText="1"/>
    </xf>
    <xf numFmtId="0" fontId="21" fillId="0" borderId="13" xfId="2" applyFont="1" applyBorder="1" applyAlignment="1">
      <alignment vertical="top" wrapText="1"/>
    </xf>
  </cellXfs>
  <cellStyles count="9">
    <cellStyle name="ハイパーリンク" xfId="1" builtinId="8"/>
    <cellStyle name="標準" xfId="0" builtinId="0"/>
    <cellStyle name="標準 2" xfId="2" xr:uid="{00000000-0005-0000-0000-000002000000}"/>
    <cellStyle name="標準 3" xfId="8" xr:uid="{00000000-0005-0000-0000-000003000000}"/>
    <cellStyle name="標準_~6362950" xfId="3" xr:uid="{00000000-0005-0000-0000-000004000000}"/>
    <cellStyle name="標準_Book1" xfId="4" xr:uid="{00000000-0005-0000-0000-000005000000}"/>
    <cellStyle name="標準_ガイドライン１" xfId="5" xr:uid="{00000000-0005-0000-0000-000006000000}"/>
    <cellStyle name="標準_画面標準" xfId="6" xr:uid="{00000000-0005-0000-0000-000007000000}"/>
    <cellStyle name="標準_画面標準定義" xfId="7"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15</xdr:col>
      <xdr:colOff>180975</xdr:colOff>
      <xdr:row>1</xdr:row>
      <xdr:rowOff>219075</xdr:rowOff>
    </xdr:from>
    <xdr:to>
      <xdr:col>18</xdr:col>
      <xdr:colOff>57150</xdr:colOff>
      <xdr:row>5</xdr:row>
      <xdr:rowOff>38100</xdr:rowOff>
    </xdr:to>
    <xdr:grpSp>
      <xdr:nvGrpSpPr>
        <xdr:cNvPr id="18845" name="Group 7">
          <a:extLst>
            <a:ext uri="{FF2B5EF4-FFF2-40B4-BE49-F238E27FC236}">
              <a16:creationId xmlns:a16="http://schemas.microsoft.com/office/drawing/2014/main" id="{00000000-0008-0000-0000-00009D490000}"/>
            </a:ext>
          </a:extLst>
        </xdr:cNvPr>
        <xdr:cNvGrpSpPr>
          <a:grpSpLocks/>
        </xdr:cNvGrpSpPr>
      </xdr:nvGrpSpPr>
      <xdr:grpSpPr bwMode="auto">
        <a:xfrm>
          <a:off x="7753350" y="390525"/>
          <a:ext cx="1390650" cy="581025"/>
          <a:chOff x="809" y="41"/>
          <a:chExt cx="143" cy="61"/>
        </a:xfrm>
      </xdr:grpSpPr>
      <xdr:sp macro="" textlink="">
        <xdr:nvSpPr>
          <xdr:cNvPr id="33796" name="Text Box 4">
            <a:extLst>
              <a:ext uri="{FF2B5EF4-FFF2-40B4-BE49-F238E27FC236}">
                <a16:creationId xmlns:a16="http://schemas.microsoft.com/office/drawing/2014/main" id="{00000000-0008-0000-0000-000004840000}"/>
              </a:ext>
            </a:extLst>
          </xdr:cNvPr>
          <xdr:cNvSpPr txBox="1">
            <a:spLocks noChangeArrowheads="1"/>
          </xdr:cNvSpPr>
        </xdr:nvSpPr>
        <xdr:spPr bwMode="auto">
          <a:xfrm>
            <a:off x="809" y="41"/>
            <a:ext cx="143" cy="61"/>
          </a:xfrm>
          <a:prstGeom prst="rect">
            <a:avLst/>
          </a:prstGeom>
          <a:solidFill>
            <a:srgbClr val="FFFFFF"/>
          </a:solidFill>
          <a:ln w="19050">
            <a:solidFill>
              <a:srgbClr val="FF0000"/>
            </a:solidFill>
            <a:miter lim="800000"/>
            <a:headEnd/>
            <a:tailEnd/>
          </a:ln>
        </xdr:spPr>
        <xdr:txBody>
          <a:bodyPr vertOverflow="clip" wrap="square" lIns="91440" tIns="45720" rIns="91440" bIns="45720" anchor="ctr"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en-US" altLang="ja-JP" sz="1100" b="0" i="0" u="none" strike="noStrike" baseline="0">
              <a:solidFill>
                <a:srgbClr val="FF0000"/>
              </a:solidFill>
              <a:latin typeface="ＭＳ 明朝"/>
              <a:ea typeface="ＭＳ 明朝"/>
            </a:endParaRPr>
          </a:p>
          <a:p>
            <a:pPr algn="ctr" rtl="0">
              <a:lnSpc>
                <a:spcPts val="1000"/>
              </a:lnSpc>
              <a:defRPr sz="1000"/>
            </a:pPr>
            <a:endParaRPr lang="ja-JP" altLang="en-US" sz="1100" b="0" i="0" u="none" strike="noStrike" baseline="0">
              <a:solidFill>
                <a:srgbClr val="FF0000"/>
              </a:solidFill>
              <a:latin typeface="ＭＳ 明朝"/>
              <a:ea typeface="ＭＳ 明朝"/>
            </a:endParaRPr>
          </a:p>
          <a:p>
            <a:pPr algn="ctr" rtl="0">
              <a:lnSpc>
                <a:spcPts val="900"/>
              </a:lnSpc>
              <a:defRPr sz="1000"/>
            </a:pPr>
            <a:r>
              <a:rPr lang="ja-JP" altLang="en-US" sz="1000" b="0" i="0" u="none" strike="noStrike" baseline="0">
                <a:solidFill>
                  <a:srgbClr val="FF0000"/>
                </a:solidFill>
                <a:latin typeface="ＭＳ 明朝"/>
                <a:ea typeface="ＭＳ 明朝"/>
              </a:rPr>
              <a:t>PJ関係者限り</a:t>
            </a:r>
          </a:p>
        </xdr:txBody>
      </xdr:sp>
      <xdr:sp macro="" textlink="">
        <xdr:nvSpPr>
          <xdr:cNvPr id="18848" name="Line 5">
            <a:extLst>
              <a:ext uri="{FF2B5EF4-FFF2-40B4-BE49-F238E27FC236}">
                <a16:creationId xmlns:a16="http://schemas.microsoft.com/office/drawing/2014/main" id="{00000000-0008-0000-0000-0000A0490000}"/>
              </a:ext>
            </a:extLst>
          </xdr:cNvPr>
          <xdr:cNvSpPr>
            <a:spLocks noChangeShapeType="1"/>
          </xdr:cNvSpPr>
        </xdr:nvSpPr>
        <xdr:spPr bwMode="auto">
          <a:xfrm>
            <a:off x="809" y="71"/>
            <a:ext cx="143" cy="0"/>
          </a:xfrm>
          <a:prstGeom prst="line">
            <a:avLst/>
          </a:prstGeom>
          <a:noFill/>
          <a:ln w="9525">
            <a:solidFill>
              <a:srgbClr val="FF0000"/>
            </a:solidFill>
            <a:round/>
            <a:headEnd/>
            <a:tailEnd/>
          </a:ln>
        </xdr:spPr>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33800" name="Text Box 8">
          <a:extLst>
            <a:ext uri="{FF2B5EF4-FFF2-40B4-BE49-F238E27FC236}">
              <a16:creationId xmlns:a16="http://schemas.microsoft.com/office/drawing/2014/main" id="{00000000-0008-0000-0000-00000884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1440" tIns="45720" rIns="91440" bIns="45720" anchor="ctr" upright="1"/>
        <a:lstStyle/>
        <a:p>
          <a:pPr marL="0" marR="0" indent="0" algn="ctr" defTabSz="914400" rtl="0" eaLnBrk="1" fontAlgn="auto" latinLnBrk="0" hangingPunct="1">
            <a:lnSpc>
              <a:spcPts val="1900"/>
            </a:lnSpc>
            <a:spcBef>
              <a:spcPts val="0"/>
            </a:spcBef>
            <a:spcAft>
              <a:spcPts val="0"/>
            </a:spcAft>
            <a:buClrTx/>
            <a:buSzTx/>
            <a:buFontTx/>
            <a:buNone/>
            <a:tabLst/>
            <a:defRPr sz="1000"/>
          </a:pPr>
          <a:r>
            <a:rPr lang="ja-JP" altLang="ja-JP" sz="1800" b="1" i="0" baseline="0">
              <a:effectLst/>
              <a:latin typeface="ＭＳ 明朝" panose="02020609040205080304" pitchFamily="17" charset="-128"/>
              <a:ea typeface="ＭＳ 明朝" panose="02020609040205080304" pitchFamily="17" charset="-128"/>
              <a:cs typeface="+mn-cs"/>
            </a:rPr>
            <a:t>サンプルプロジェクト</a:t>
          </a:r>
          <a:r>
            <a:rPr lang="ja-JP" altLang="en-US" sz="1800" b="1" i="0" u="none" strike="noStrike" baseline="0">
              <a:solidFill>
                <a:srgbClr val="000000"/>
              </a:solidFill>
              <a:latin typeface="ＭＳ 明朝"/>
              <a:ea typeface="ＭＳ 明朝"/>
            </a:rPr>
            <a:t> </a:t>
          </a:r>
        </a:p>
        <a:p>
          <a:pPr algn="ctr" rtl="0">
            <a:lnSpc>
              <a:spcPts val="1900"/>
            </a:lnSpc>
            <a:defRPr sz="1000"/>
          </a:pPr>
          <a:endParaRPr lang="ja-JP" altLang="en-US" sz="1800" b="1" i="0" u="none" strike="noStrike" baseline="0">
            <a:solidFill>
              <a:srgbClr val="000000"/>
            </a:solidFill>
            <a:latin typeface="ＭＳ 明朝"/>
            <a:ea typeface="ＭＳ 明朝"/>
          </a:endParaRPr>
        </a:p>
        <a:p>
          <a:pPr algn="ctr" rtl="0">
            <a:lnSpc>
              <a:spcPts val="1800"/>
            </a:lnSpc>
            <a:defRPr sz="1000"/>
          </a:pPr>
          <a:r>
            <a:rPr lang="ja-JP" altLang="en-US" sz="1800" b="1" i="0" u="none" strike="noStrike" baseline="0">
              <a:solidFill>
                <a:srgbClr val="000000"/>
              </a:solidFill>
              <a:latin typeface="ＭＳ 明朝"/>
              <a:ea typeface="ＭＳ 明朝"/>
            </a:rPr>
            <a:t>単体テスト標準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19</xdr:row>
      <xdr:rowOff>0</xdr:rowOff>
    </xdr:from>
    <xdr:to>
      <xdr:col>34</xdr:col>
      <xdr:colOff>0</xdr:colOff>
      <xdr:row>19</xdr:row>
      <xdr:rowOff>0</xdr:rowOff>
    </xdr:to>
    <xdr:cxnSp macro="">
      <xdr:nvCxnSpPr>
        <xdr:cNvPr id="2" name="直線コネクタ 1">
          <a:extLst>
            <a:ext uri="{FF2B5EF4-FFF2-40B4-BE49-F238E27FC236}">
              <a16:creationId xmlns:a16="http://schemas.microsoft.com/office/drawing/2014/main" id="{B93890F5-F9B2-442B-94FA-B0BDCDE98A8B}"/>
            </a:ext>
          </a:extLst>
        </xdr:cNvPr>
        <xdr:cNvCxnSpPr/>
      </xdr:nvCxnSpPr>
      <xdr:spPr bwMode="auto">
        <a:xfrm>
          <a:off x="828675" y="3876675"/>
          <a:ext cx="8715375"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0</xdr:colOff>
      <xdr:row>16</xdr:row>
      <xdr:rowOff>0</xdr:rowOff>
    </xdr:from>
    <xdr:to>
      <xdr:col>12</xdr:col>
      <xdr:colOff>0</xdr:colOff>
      <xdr:row>26</xdr:row>
      <xdr:rowOff>0</xdr:rowOff>
    </xdr:to>
    <xdr:cxnSp macro="">
      <xdr:nvCxnSpPr>
        <xdr:cNvPr id="3" name="直線コネクタ 2">
          <a:extLst>
            <a:ext uri="{FF2B5EF4-FFF2-40B4-BE49-F238E27FC236}">
              <a16:creationId xmlns:a16="http://schemas.microsoft.com/office/drawing/2014/main" id="{6B654C41-2A7F-4A53-8126-900EDAAEE8AD}"/>
            </a:ext>
          </a:extLst>
        </xdr:cNvPr>
        <xdr:cNvCxnSpPr/>
      </xdr:nvCxnSpPr>
      <xdr:spPr bwMode="auto">
        <a:xfrm>
          <a:off x="3467100" y="3448050"/>
          <a:ext cx="0" cy="142875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0</xdr:colOff>
      <xdr:row>16</xdr:row>
      <xdr:rowOff>0</xdr:rowOff>
    </xdr:from>
    <xdr:to>
      <xdr:col>29</xdr:col>
      <xdr:colOff>0</xdr:colOff>
      <xdr:row>26</xdr:row>
      <xdr:rowOff>0</xdr:rowOff>
    </xdr:to>
    <xdr:cxnSp macro="">
      <xdr:nvCxnSpPr>
        <xdr:cNvPr id="4" name="直線コネクタ 3">
          <a:extLst>
            <a:ext uri="{FF2B5EF4-FFF2-40B4-BE49-F238E27FC236}">
              <a16:creationId xmlns:a16="http://schemas.microsoft.com/office/drawing/2014/main" id="{E441352F-8704-4FCC-A714-3D069573FB21}"/>
            </a:ext>
          </a:extLst>
        </xdr:cNvPr>
        <xdr:cNvCxnSpPr/>
      </xdr:nvCxnSpPr>
      <xdr:spPr bwMode="auto">
        <a:xfrm>
          <a:off x="8162925" y="3448050"/>
          <a:ext cx="0" cy="142875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oneCellAnchor>
    <xdr:from>
      <xdr:col>16</xdr:col>
      <xdr:colOff>141928</xdr:colOff>
      <xdr:row>16</xdr:row>
      <xdr:rowOff>79278</xdr:rowOff>
    </xdr:from>
    <xdr:ext cx="1697131" cy="242374"/>
    <xdr:sp macro="" textlink="">
      <xdr:nvSpPr>
        <xdr:cNvPr id="5" name="テキスト ボックス 4">
          <a:extLst>
            <a:ext uri="{FF2B5EF4-FFF2-40B4-BE49-F238E27FC236}">
              <a16:creationId xmlns:a16="http://schemas.microsoft.com/office/drawing/2014/main" id="{517478F9-D336-4A60-954E-A7AB5EBEFF9D}"/>
            </a:ext>
          </a:extLst>
        </xdr:cNvPr>
        <xdr:cNvSpPr txBox="1"/>
      </xdr:nvSpPr>
      <xdr:spPr>
        <a:xfrm>
          <a:off x="4713928" y="3527328"/>
          <a:ext cx="1697131"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latin typeface="+mn-ea"/>
              <a:ea typeface="+mn-ea"/>
            </a:rPr>
            <a:t>単体テストの範囲</a:t>
          </a:r>
          <a:r>
            <a:rPr kumimoji="1" lang="en-US" altLang="ja-JP" sz="900" b="1">
              <a:latin typeface="+mn-ea"/>
              <a:ea typeface="+mn-ea"/>
            </a:rPr>
            <a:t>(</a:t>
          </a:r>
          <a:r>
            <a:rPr kumimoji="1" lang="ja-JP" altLang="en-US" sz="900" b="1">
              <a:latin typeface="+mn-ea"/>
              <a:ea typeface="+mn-ea"/>
            </a:rPr>
            <a:t>本書の範囲</a:t>
          </a:r>
          <a:r>
            <a:rPr kumimoji="1" lang="en-US" altLang="ja-JP" sz="900" b="1">
              <a:latin typeface="+mn-ea"/>
              <a:ea typeface="+mn-ea"/>
            </a:rPr>
            <a:t>)</a:t>
          </a:r>
          <a:endParaRPr kumimoji="1" lang="ja-JP" altLang="en-US" sz="900" b="1">
            <a:latin typeface="+mn-ea"/>
            <a:ea typeface="+mn-ea"/>
          </a:endParaRPr>
        </a:p>
      </xdr:txBody>
    </xdr:sp>
    <xdr:clientData/>
  </xdr:oneCellAnchor>
  <xdr:oneCellAnchor>
    <xdr:from>
      <xdr:col>29</xdr:col>
      <xdr:colOff>85725</xdr:colOff>
      <xdr:row>16</xdr:row>
      <xdr:rowOff>86604</xdr:rowOff>
    </xdr:from>
    <xdr:ext cx="1273875" cy="242374"/>
    <xdr:sp macro="" textlink="">
      <xdr:nvSpPr>
        <xdr:cNvPr id="6" name="テキスト ボックス 5">
          <a:extLst>
            <a:ext uri="{FF2B5EF4-FFF2-40B4-BE49-F238E27FC236}">
              <a16:creationId xmlns:a16="http://schemas.microsoft.com/office/drawing/2014/main" id="{195B9854-4C89-463B-9D7A-CE7A5AF0ABB7}"/>
            </a:ext>
          </a:extLst>
        </xdr:cNvPr>
        <xdr:cNvSpPr txBox="1"/>
      </xdr:nvSpPr>
      <xdr:spPr>
        <a:xfrm>
          <a:off x="8248650" y="3534654"/>
          <a:ext cx="1273875"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latin typeface="+mn-ea"/>
              <a:ea typeface="+mn-ea"/>
            </a:rPr>
            <a:t>結合テスト以降の範囲</a:t>
          </a:r>
        </a:p>
      </xdr:txBody>
    </xdr:sp>
    <xdr:clientData/>
  </xdr:oneCellAnchor>
  <xdr:twoCellAnchor>
    <xdr:from>
      <xdr:col>13</xdr:col>
      <xdr:colOff>0</xdr:colOff>
      <xdr:row>20</xdr:row>
      <xdr:rowOff>1</xdr:rowOff>
    </xdr:from>
    <xdr:to>
      <xdr:col>18</xdr:col>
      <xdr:colOff>0</xdr:colOff>
      <xdr:row>25</xdr:row>
      <xdr:rowOff>1</xdr:rowOff>
    </xdr:to>
    <xdr:sp macro="" textlink="">
      <xdr:nvSpPr>
        <xdr:cNvPr id="7" name="正方形/長方形 6">
          <a:extLst>
            <a:ext uri="{FF2B5EF4-FFF2-40B4-BE49-F238E27FC236}">
              <a16:creationId xmlns:a16="http://schemas.microsoft.com/office/drawing/2014/main" id="{4C24545E-0B30-4747-B902-E945CEBCF0A3}"/>
            </a:ext>
          </a:extLst>
        </xdr:cNvPr>
        <xdr:cNvSpPr/>
      </xdr:nvSpPr>
      <xdr:spPr bwMode="auto">
        <a:xfrm>
          <a:off x="3743325" y="4019551"/>
          <a:ext cx="1381125" cy="714375"/>
        </a:xfrm>
        <a:prstGeom prst="rect">
          <a:avLst/>
        </a:prstGeom>
        <a:noFill/>
        <a:ln w="952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0" bIns="0" rtlCol="0" anchor="t" upright="1"/>
        <a:lstStyle/>
        <a:p>
          <a:pPr algn="l"/>
          <a:r>
            <a:rPr kumimoji="1" lang="ja-JP" altLang="en-US" sz="900"/>
            <a:t>クラス単体テスト</a:t>
          </a:r>
          <a:endParaRPr kumimoji="1" lang="en-US" altLang="ja-JP" sz="900"/>
        </a:p>
        <a:p>
          <a:pPr algn="l"/>
          <a:endParaRPr kumimoji="1" lang="en-US" altLang="ja-JP" sz="900"/>
        </a:p>
        <a:p>
          <a:pPr algn="l"/>
          <a:r>
            <a:rPr kumimoji="1" lang="ja-JP" altLang="en-US" sz="900"/>
            <a:t>個々のクラスのテスト</a:t>
          </a:r>
        </a:p>
      </xdr:txBody>
    </xdr:sp>
    <xdr:clientData/>
  </xdr:twoCellAnchor>
  <xdr:twoCellAnchor>
    <xdr:from>
      <xdr:col>23</xdr:col>
      <xdr:colOff>0</xdr:colOff>
      <xdr:row>20</xdr:row>
      <xdr:rowOff>1</xdr:rowOff>
    </xdr:from>
    <xdr:to>
      <xdr:col>28</xdr:col>
      <xdr:colOff>0</xdr:colOff>
      <xdr:row>25</xdr:row>
      <xdr:rowOff>1</xdr:rowOff>
    </xdr:to>
    <xdr:sp macro="" textlink="">
      <xdr:nvSpPr>
        <xdr:cNvPr id="8" name="正方形/長方形 7">
          <a:extLst>
            <a:ext uri="{FF2B5EF4-FFF2-40B4-BE49-F238E27FC236}">
              <a16:creationId xmlns:a16="http://schemas.microsoft.com/office/drawing/2014/main" id="{24AADECA-C96B-439D-AD80-2E69A000A456}"/>
            </a:ext>
          </a:extLst>
        </xdr:cNvPr>
        <xdr:cNvSpPr/>
      </xdr:nvSpPr>
      <xdr:spPr bwMode="auto">
        <a:xfrm>
          <a:off x="6505575" y="4019551"/>
          <a:ext cx="1381125" cy="714375"/>
        </a:xfrm>
        <a:prstGeom prst="rect">
          <a:avLst/>
        </a:prstGeom>
        <a:noFill/>
        <a:ln w="952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0" bIns="0" rtlCol="0" anchor="t" upright="1"/>
        <a:lstStyle/>
        <a:p>
          <a:pPr algn="l"/>
          <a:r>
            <a:rPr kumimoji="1" lang="ja-JP" altLang="en-US" sz="900"/>
            <a:t>取引単体テスト</a:t>
          </a:r>
          <a:endParaRPr kumimoji="1" lang="en-US" altLang="ja-JP" sz="900"/>
        </a:p>
        <a:p>
          <a:pPr algn="l"/>
          <a:endParaRPr kumimoji="1" lang="en-US" altLang="ja-JP" sz="900"/>
        </a:p>
        <a:p>
          <a:pPr algn="l"/>
          <a:r>
            <a:rPr kumimoji="1" lang="ja-JP" altLang="en-US" sz="900"/>
            <a:t>業務的な取引単位の</a:t>
          </a:r>
          <a:endParaRPr kumimoji="1" lang="en-US" altLang="ja-JP" sz="900"/>
        </a:p>
        <a:p>
          <a:pPr algn="l"/>
          <a:r>
            <a:rPr kumimoji="1" lang="ja-JP" altLang="en-US" sz="900"/>
            <a:t>テスト</a:t>
          </a:r>
        </a:p>
      </xdr:txBody>
    </xdr:sp>
    <xdr:clientData/>
  </xdr:twoCellAnchor>
  <xdr:oneCellAnchor>
    <xdr:from>
      <xdr:col>29</xdr:col>
      <xdr:colOff>112321</xdr:colOff>
      <xdr:row>19</xdr:row>
      <xdr:rowOff>123825</xdr:rowOff>
    </xdr:from>
    <xdr:ext cx="992579" cy="242374"/>
    <xdr:sp macro="" textlink="">
      <xdr:nvSpPr>
        <xdr:cNvPr id="9" name="テキスト ボックス 8">
          <a:extLst>
            <a:ext uri="{FF2B5EF4-FFF2-40B4-BE49-F238E27FC236}">
              <a16:creationId xmlns:a16="http://schemas.microsoft.com/office/drawing/2014/main" id="{3E277662-4E3E-480C-B09B-882EAD746DA9}"/>
            </a:ext>
          </a:extLst>
        </xdr:cNvPr>
        <xdr:cNvSpPr txBox="1"/>
      </xdr:nvSpPr>
      <xdr:spPr>
        <a:xfrm>
          <a:off x="8275246" y="4000500"/>
          <a:ext cx="992579"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latin typeface="+mn-ea"/>
              <a:ea typeface="+mn-ea"/>
            </a:rPr>
            <a:t>取引間の連携等</a:t>
          </a:r>
        </a:p>
      </xdr:txBody>
    </xdr:sp>
    <xdr:clientData/>
  </xdr:oneCellAnchor>
  <xdr:oneCellAnchor>
    <xdr:from>
      <xdr:col>3</xdr:col>
      <xdr:colOff>85726</xdr:colOff>
      <xdr:row>16</xdr:row>
      <xdr:rowOff>85725</xdr:rowOff>
    </xdr:from>
    <xdr:ext cx="2428874" cy="242374"/>
    <xdr:sp macro="" textlink="">
      <xdr:nvSpPr>
        <xdr:cNvPr id="10" name="テキスト ボックス 9">
          <a:extLst>
            <a:ext uri="{FF2B5EF4-FFF2-40B4-BE49-F238E27FC236}">
              <a16:creationId xmlns:a16="http://schemas.microsoft.com/office/drawing/2014/main" id="{5719273B-6B4C-4DB2-9F6E-2AD11817AB3B}"/>
            </a:ext>
          </a:extLst>
        </xdr:cNvPr>
        <xdr:cNvSpPr txBox="1"/>
      </xdr:nvSpPr>
      <xdr:spPr>
        <a:xfrm>
          <a:off x="914401" y="3533775"/>
          <a:ext cx="2428874"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latin typeface="+mn-ea"/>
              <a:ea typeface="+mn-ea"/>
            </a:rPr>
            <a:t>単体テスト以外で結合テストまでに行う範囲</a:t>
          </a:r>
        </a:p>
      </xdr:txBody>
    </xdr:sp>
    <xdr:clientData/>
  </xdr:oneCellAnchor>
  <xdr:oneCellAnchor>
    <xdr:from>
      <xdr:col>3</xdr:col>
      <xdr:colOff>57150</xdr:colOff>
      <xdr:row>19</xdr:row>
      <xdr:rowOff>85726</xdr:rowOff>
    </xdr:from>
    <xdr:ext cx="2381250" cy="714374"/>
    <xdr:sp macro="" textlink="">
      <xdr:nvSpPr>
        <xdr:cNvPr id="11" name="テキスト ボックス 10">
          <a:extLst>
            <a:ext uri="{FF2B5EF4-FFF2-40B4-BE49-F238E27FC236}">
              <a16:creationId xmlns:a16="http://schemas.microsoft.com/office/drawing/2014/main" id="{0D4F76CA-A42E-4604-8943-4CEF2A498DFB}"/>
            </a:ext>
          </a:extLst>
        </xdr:cNvPr>
        <xdr:cNvSpPr txBox="1"/>
      </xdr:nvSpPr>
      <xdr:spPr>
        <a:xfrm>
          <a:off x="885825" y="3962401"/>
          <a:ext cx="2381250" cy="714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CheckStyle,SpotBugs</a:t>
          </a: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による品質担保</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tx1"/>
              </a:solidFill>
              <a:effectLst/>
              <a:latin typeface="ＭＳ 明朝" panose="02020609040205080304" pitchFamily="17" charset="-128"/>
              <a:ea typeface="ＭＳ 明朝" panose="02020609040205080304" pitchFamily="17" charset="-128"/>
              <a:cs typeface="+mn-cs"/>
            </a:rPr>
            <a:t>セルフチェックによる品質担保</a:t>
          </a: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（机上確認）</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ソースコードレビュー</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等</a:t>
          </a:r>
          <a:endParaRPr lang="ja-JP" altLang="ja-JP" sz="900">
            <a:effectLst/>
            <a:latin typeface="ＭＳ 明朝" panose="02020609040205080304" pitchFamily="17" charset="-128"/>
            <a:ea typeface="ＭＳ 明朝" panose="02020609040205080304" pitchFamily="17" charset="-128"/>
          </a:endParaRPr>
        </a:p>
        <a:p>
          <a:pPr marL="0" marR="0" indent="0" defTabSz="914400" eaLnBrk="1" fontAlgn="auto" latinLnBrk="0" hangingPunct="1">
            <a:lnSpc>
              <a:spcPct val="100000"/>
            </a:lnSpc>
            <a:spcBef>
              <a:spcPts val="0"/>
            </a:spcBef>
            <a:spcAft>
              <a:spcPts val="0"/>
            </a:spcAft>
            <a:buClrTx/>
            <a:buSzTx/>
            <a:buFontTx/>
            <a:buNone/>
            <a:tabLst/>
            <a:defRPr/>
          </a:pPr>
          <a:endParaRPr lang="ja-JP" altLang="ja-JP" sz="900">
            <a:effectLst/>
          </a:endParaRPr>
        </a:p>
        <a:p>
          <a:endParaRPr kumimoji="1" lang="ja-JP" altLang="en-US" sz="900"/>
        </a:p>
      </xdr:txBody>
    </xdr:sp>
    <xdr:clientData/>
  </xdr:oneCellAnchor>
  <xdr:twoCellAnchor>
    <xdr:from>
      <xdr:col>3</xdr:col>
      <xdr:colOff>9525</xdr:colOff>
      <xdr:row>16</xdr:row>
      <xdr:rowOff>0</xdr:rowOff>
    </xdr:from>
    <xdr:to>
      <xdr:col>34</xdr:col>
      <xdr:colOff>0</xdr:colOff>
      <xdr:row>26</xdr:row>
      <xdr:rowOff>3174</xdr:rowOff>
    </xdr:to>
    <xdr:sp macro="" textlink="">
      <xdr:nvSpPr>
        <xdr:cNvPr id="12" name="正方形/長方形 11">
          <a:extLst>
            <a:ext uri="{FF2B5EF4-FFF2-40B4-BE49-F238E27FC236}">
              <a16:creationId xmlns:a16="http://schemas.microsoft.com/office/drawing/2014/main" id="{C026FB4B-D292-4E5A-8A3D-38D312FF851E}"/>
            </a:ext>
          </a:extLst>
        </xdr:cNvPr>
        <xdr:cNvSpPr/>
      </xdr:nvSpPr>
      <xdr:spPr bwMode="auto">
        <a:xfrm>
          <a:off x="838200" y="3448050"/>
          <a:ext cx="8705850" cy="1431924"/>
        </a:xfrm>
        <a:prstGeom prst="rect">
          <a:avLst/>
        </a:prstGeom>
        <a:no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18</xdr:col>
      <xdr:colOff>0</xdr:colOff>
      <xdr:row>20</xdr:row>
      <xdr:rowOff>1</xdr:rowOff>
    </xdr:from>
    <xdr:to>
      <xdr:col>23</xdr:col>
      <xdr:colOff>0</xdr:colOff>
      <xdr:row>25</xdr:row>
      <xdr:rowOff>1</xdr:rowOff>
    </xdr:to>
    <xdr:sp macro="" textlink="">
      <xdr:nvSpPr>
        <xdr:cNvPr id="13" name="正方形/長方形 12">
          <a:extLst>
            <a:ext uri="{FF2B5EF4-FFF2-40B4-BE49-F238E27FC236}">
              <a16:creationId xmlns:a16="http://schemas.microsoft.com/office/drawing/2014/main" id="{B1857838-200D-4BE1-BE4F-B89BA2425E98}"/>
            </a:ext>
          </a:extLst>
        </xdr:cNvPr>
        <xdr:cNvSpPr/>
      </xdr:nvSpPr>
      <xdr:spPr bwMode="auto">
        <a:xfrm>
          <a:off x="5124450" y="4019551"/>
          <a:ext cx="1381125" cy="714375"/>
        </a:xfrm>
        <a:prstGeom prst="rect">
          <a:avLst/>
        </a:prstGeom>
        <a:noFill/>
        <a:ln w="952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0" bIns="0" rtlCol="0" anchor="t" upright="1"/>
        <a:lstStyle/>
        <a:p>
          <a:pPr algn="l"/>
          <a:r>
            <a:rPr kumimoji="1" lang="ja-JP" altLang="en-US" sz="900"/>
            <a:t>リクエスト単体テスト</a:t>
          </a:r>
          <a:endParaRPr kumimoji="1" lang="en-US" altLang="ja-JP" sz="900"/>
        </a:p>
        <a:p>
          <a:pPr algn="l"/>
          <a:endParaRPr kumimoji="1" lang="en-US" altLang="ja-JP" sz="900"/>
        </a:p>
        <a:p>
          <a:pPr algn="l"/>
          <a:r>
            <a:rPr kumimoji="1" lang="ja-JP" altLang="en-US" sz="900"/>
            <a:t>クラスの結合組み合わせの</a:t>
          </a:r>
          <a:endParaRPr kumimoji="1" lang="en-US" altLang="ja-JP" sz="900"/>
        </a:p>
        <a:p>
          <a:pPr algn="l"/>
          <a:r>
            <a:rPr kumimoji="1" lang="ja-JP" altLang="en-US" sz="900"/>
            <a:t>テスト</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104775</xdr:colOff>
      <xdr:row>25</xdr:row>
      <xdr:rowOff>25400</xdr:rowOff>
    </xdr:from>
    <xdr:to>
      <xdr:col>31</xdr:col>
      <xdr:colOff>200025</xdr:colOff>
      <xdr:row>38</xdr:row>
      <xdr:rowOff>101600</xdr:rowOff>
    </xdr:to>
    <xdr:sp macro="" textlink="">
      <xdr:nvSpPr>
        <xdr:cNvPr id="2" name="正方形/長方形 1">
          <a:extLst>
            <a:ext uri="{FF2B5EF4-FFF2-40B4-BE49-F238E27FC236}">
              <a16:creationId xmlns:a16="http://schemas.microsoft.com/office/drawing/2014/main" id="{C7F70D12-F6FE-4404-9361-4F3A5984BAB0}"/>
            </a:ext>
          </a:extLst>
        </xdr:cNvPr>
        <xdr:cNvSpPr/>
      </xdr:nvSpPr>
      <xdr:spPr bwMode="auto">
        <a:xfrm>
          <a:off x="5353050" y="3044825"/>
          <a:ext cx="3409950" cy="1933575"/>
        </a:xfrm>
        <a:prstGeom prst="rect">
          <a:avLst/>
        </a:prstGeom>
        <a:solidFill>
          <a:schemeClr val="accent6">
            <a:lumMod val="20000"/>
            <a:lumOff val="80000"/>
          </a:schemeClr>
        </a:solidFill>
        <a:ln w="9525" cap="flat" cmpd="sng" algn="ctr">
          <a:solidFill>
            <a:srgbClr val="000000"/>
          </a:solidFill>
          <a:prstDash val="sysDot"/>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25</xdr:col>
      <xdr:colOff>133349</xdr:colOff>
      <xdr:row>28</xdr:row>
      <xdr:rowOff>133350</xdr:rowOff>
    </xdr:from>
    <xdr:to>
      <xdr:col>30</xdr:col>
      <xdr:colOff>231774</xdr:colOff>
      <xdr:row>30</xdr:row>
      <xdr:rowOff>95250</xdr:rowOff>
    </xdr:to>
    <xdr:sp macro="" textlink="">
      <xdr:nvSpPr>
        <xdr:cNvPr id="3" name="テキスト ボックス 2">
          <a:extLst>
            <a:ext uri="{FF2B5EF4-FFF2-40B4-BE49-F238E27FC236}">
              <a16:creationId xmlns:a16="http://schemas.microsoft.com/office/drawing/2014/main" id="{CDAE16F9-B654-454F-9A3D-6C8A060697B1}"/>
            </a:ext>
          </a:extLst>
        </xdr:cNvPr>
        <xdr:cNvSpPr txBox="1"/>
      </xdr:nvSpPr>
      <xdr:spPr>
        <a:xfrm>
          <a:off x="7038974" y="3581400"/>
          <a:ext cx="1479550" cy="24765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a:latin typeface="ＭＳ 明朝" panose="02020609040205080304" pitchFamily="17" charset="-128"/>
              <a:ea typeface="ＭＳ 明朝" panose="02020609040205080304" pitchFamily="17" charset="-128"/>
            </a:rPr>
            <a:t>業務的なテスト観点</a:t>
          </a:r>
        </a:p>
      </xdr:txBody>
    </xdr:sp>
    <xdr:clientData/>
  </xdr:twoCellAnchor>
  <xdr:twoCellAnchor>
    <xdr:from>
      <xdr:col>26</xdr:col>
      <xdr:colOff>158750</xdr:colOff>
      <xdr:row>30</xdr:row>
      <xdr:rowOff>111125</xdr:rowOff>
    </xdr:from>
    <xdr:to>
      <xdr:col>30</xdr:col>
      <xdr:colOff>0</xdr:colOff>
      <xdr:row>34</xdr:row>
      <xdr:rowOff>133350</xdr:rowOff>
    </xdr:to>
    <xdr:sp macro="" textlink="">
      <xdr:nvSpPr>
        <xdr:cNvPr id="4" name="フローチャート: 書類 3">
          <a:extLst>
            <a:ext uri="{FF2B5EF4-FFF2-40B4-BE49-F238E27FC236}">
              <a16:creationId xmlns:a16="http://schemas.microsoft.com/office/drawing/2014/main" id="{5607DB60-D7A6-4986-BC90-397D1751B8B3}"/>
            </a:ext>
          </a:extLst>
        </xdr:cNvPr>
        <xdr:cNvSpPr/>
      </xdr:nvSpPr>
      <xdr:spPr bwMode="auto">
        <a:xfrm>
          <a:off x="7340600" y="3844925"/>
          <a:ext cx="946150" cy="593725"/>
        </a:xfrm>
        <a:prstGeom prst="flowChartDocument">
          <a:avLst/>
        </a:prstGeom>
        <a:solidFill>
          <a:schemeClr val="bg1"/>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latin typeface="ＭＳ 明朝" panose="02020609040205080304" pitchFamily="17" charset="-128"/>
              <a:ea typeface="ＭＳ 明朝" panose="02020609040205080304" pitchFamily="17" charset="-128"/>
            </a:rPr>
            <a:t>システム機能</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設計書</a:t>
          </a:r>
        </a:p>
      </xdr:txBody>
    </xdr:sp>
    <xdr:clientData/>
  </xdr:twoCellAnchor>
  <xdr:twoCellAnchor>
    <xdr:from>
      <xdr:col>27</xdr:col>
      <xdr:colOff>165099</xdr:colOff>
      <xdr:row>33</xdr:row>
      <xdr:rowOff>63500</xdr:rowOff>
    </xdr:from>
    <xdr:to>
      <xdr:col>30</xdr:col>
      <xdr:colOff>200729</xdr:colOff>
      <xdr:row>37</xdr:row>
      <xdr:rowOff>85725</xdr:rowOff>
    </xdr:to>
    <xdr:sp macro="" textlink="">
      <xdr:nvSpPr>
        <xdr:cNvPr id="5" name="フローチャート: 書類 4">
          <a:extLst>
            <a:ext uri="{FF2B5EF4-FFF2-40B4-BE49-F238E27FC236}">
              <a16:creationId xmlns:a16="http://schemas.microsoft.com/office/drawing/2014/main" id="{D1A834BE-BD68-4462-AFE4-D8D0189C3004}"/>
            </a:ext>
          </a:extLst>
        </xdr:cNvPr>
        <xdr:cNvSpPr/>
      </xdr:nvSpPr>
      <xdr:spPr bwMode="auto">
        <a:xfrm>
          <a:off x="7623174" y="4225925"/>
          <a:ext cx="864305" cy="593725"/>
        </a:xfrm>
        <a:prstGeom prst="flowChartDocument">
          <a:avLst/>
        </a:prstGeom>
        <a:solidFill>
          <a:sysClr val="window" lastClr="FFFFFF"/>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latin typeface="ＭＳ 明朝" panose="02020609040205080304" pitchFamily="17" charset="-128"/>
              <a:ea typeface="ＭＳ 明朝" panose="02020609040205080304" pitchFamily="17" charset="-128"/>
            </a:rPr>
            <a:t>コンポーネント</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設計書</a:t>
          </a:r>
        </a:p>
      </xdr:txBody>
    </xdr:sp>
    <xdr:clientData/>
  </xdr:twoCellAnchor>
  <xdr:twoCellAnchor>
    <xdr:from>
      <xdr:col>12</xdr:col>
      <xdr:colOff>123825</xdr:colOff>
      <xdr:row>28</xdr:row>
      <xdr:rowOff>130175</xdr:rowOff>
    </xdr:from>
    <xdr:to>
      <xdr:col>16</xdr:col>
      <xdr:colOff>95250</xdr:colOff>
      <xdr:row>33</xdr:row>
      <xdr:rowOff>120650</xdr:rowOff>
    </xdr:to>
    <xdr:sp macro="" textlink="">
      <xdr:nvSpPr>
        <xdr:cNvPr id="6" name="フローチャート: 書類 5">
          <a:extLst>
            <a:ext uri="{FF2B5EF4-FFF2-40B4-BE49-F238E27FC236}">
              <a16:creationId xmlns:a16="http://schemas.microsoft.com/office/drawing/2014/main" id="{39078BAF-5938-4267-B8FB-A6D6B37902FC}"/>
            </a:ext>
          </a:extLst>
        </xdr:cNvPr>
        <xdr:cNvSpPr/>
      </xdr:nvSpPr>
      <xdr:spPr bwMode="auto">
        <a:xfrm>
          <a:off x="3438525" y="3578225"/>
          <a:ext cx="1076325" cy="704850"/>
        </a:xfrm>
        <a:prstGeom prst="flowChartDocument">
          <a:avLst/>
        </a:prstGeom>
        <a:solidFill>
          <a:sysClr val="window" lastClr="FFFFFF"/>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latin typeface="ＭＳ 明朝" panose="02020609040205080304" pitchFamily="17" charset="-128"/>
              <a:ea typeface="ＭＳ 明朝" panose="02020609040205080304" pitchFamily="17" charset="-128"/>
            </a:rPr>
            <a:t>単体テスト</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仕様書</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フォーマット</a:t>
          </a:r>
        </a:p>
      </xdr:txBody>
    </xdr:sp>
    <xdr:clientData/>
  </xdr:twoCellAnchor>
  <xdr:twoCellAnchor>
    <xdr:from>
      <xdr:col>13</xdr:col>
      <xdr:colOff>0</xdr:colOff>
      <xdr:row>22</xdr:row>
      <xdr:rowOff>38100</xdr:rowOff>
    </xdr:from>
    <xdr:to>
      <xdr:col>15</xdr:col>
      <xdr:colOff>219075</xdr:colOff>
      <xdr:row>26</xdr:row>
      <xdr:rowOff>53975</xdr:rowOff>
    </xdr:to>
    <xdr:sp macro="" textlink="">
      <xdr:nvSpPr>
        <xdr:cNvPr id="7" name="フローチャート: 書類 6">
          <a:extLst>
            <a:ext uri="{FF2B5EF4-FFF2-40B4-BE49-F238E27FC236}">
              <a16:creationId xmlns:a16="http://schemas.microsoft.com/office/drawing/2014/main" id="{586DC168-81F9-4E1A-B356-E51CCAE3CBF1}"/>
            </a:ext>
          </a:extLst>
        </xdr:cNvPr>
        <xdr:cNvSpPr/>
      </xdr:nvSpPr>
      <xdr:spPr bwMode="auto">
        <a:xfrm>
          <a:off x="3590925" y="2628900"/>
          <a:ext cx="771525" cy="587375"/>
        </a:xfrm>
        <a:prstGeom prst="flowChartDocument">
          <a:avLst/>
        </a:prstGeom>
        <a:solidFill>
          <a:sysClr val="window" lastClr="FFFFFF"/>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latin typeface="ＭＳ 明朝" panose="02020609040205080304" pitchFamily="17" charset="-128"/>
              <a:ea typeface="ＭＳ 明朝" panose="02020609040205080304" pitchFamily="17" charset="-128"/>
            </a:rPr>
            <a:t>テスト観点</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カタログ</a:t>
          </a:r>
        </a:p>
      </xdr:txBody>
    </xdr:sp>
    <xdr:clientData/>
  </xdr:twoCellAnchor>
  <xdr:twoCellAnchor>
    <xdr:from>
      <xdr:col>10</xdr:col>
      <xdr:colOff>120650</xdr:colOff>
      <xdr:row>31</xdr:row>
      <xdr:rowOff>47625</xdr:rowOff>
    </xdr:from>
    <xdr:to>
      <xdr:col>12</xdr:col>
      <xdr:colOff>120650</xdr:colOff>
      <xdr:row>31</xdr:row>
      <xdr:rowOff>55563</xdr:rowOff>
    </xdr:to>
    <xdr:cxnSp macro="">
      <xdr:nvCxnSpPr>
        <xdr:cNvPr id="8" name="直線矢印コネクタ 7">
          <a:extLst>
            <a:ext uri="{FF2B5EF4-FFF2-40B4-BE49-F238E27FC236}">
              <a16:creationId xmlns:a16="http://schemas.microsoft.com/office/drawing/2014/main" id="{65AC8CEA-9E69-442C-B7BD-7D3A63A529E7}"/>
            </a:ext>
          </a:extLst>
        </xdr:cNvPr>
        <xdr:cNvCxnSpPr>
          <a:stCxn id="10" idx="3"/>
          <a:endCxn id="6" idx="1"/>
        </xdr:cNvCxnSpPr>
      </xdr:nvCxnSpPr>
      <xdr:spPr bwMode="auto">
        <a:xfrm>
          <a:off x="2882900" y="3924300"/>
          <a:ext cx="552450" cy="7938"/>
        </a:xfrm>
        <a:prstGeom prst="straightConnector1">
          <a:avLst/>
        </a:prstGeom>
        <a:solidFill>
          <a:srgbClr val="0D0000"/>
        </a:solidFill>
        <a:ln w="6350"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106363</xdr:colOff>
      <xdr:row>26</xdr:row>
      <xdr:rowOff>18108</xdr:rowOff>
    </xdr:from>
    <xdr:to>
      <xdr:col>14</xdr:col>
      <xdr:colOff>106363</xdr:colOff>
      <xdr:row>28</xdr:row>
      <xdr:rowOff>130175</xdr:rowOff>
    </xdr:to>
    <xdr:cxnSp macro="">
      <xdr:nvCxnSpPr>
        <xdr:cNvPr id="9" name="直線矢印コネクタ 8">
          <a:extLst>
            <a:ext uri="{FF2B5EF4-FFF2-40B4-BE49-F238E27FC236}">
              <a16:creationId xmlns:a16="http://schemas.microsoft.com/office/drawing/2014/main" id="{8C72AF63-5ADF-4ACD-BD00-070099524670}"/>
            </a:ext>
          </a:extLst>
        </xdr:cNvPr>
        <xdr:cNvCxnSpPr>
          <a:stCxn id="7" idx="2"/>
          <a:endCxn id="6" idx="0"/>
        </xdr:cNvCxnSpPr>
      </xdr:nvCxnSpPr>
      <xdr:spPr bwMode="auto">
        <a:xfrm>
          <a:off x="3973513" y="3180408"/>
          <a:ext cx="0" cy="397817"/>
        </a:xfrm>
        <a:prstGeom prst="straightConnector1">
          <a:avLst/>
        </a:prstGeom>
        <a:solidFill>
          <a:srgbClr val="0D0000"/>
        </a:solidFill>
        <a:ln w="6350"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149225</xdr:colOff>
      <xdr:row>28</xdr:row>
      <xdr:rowOff>120650</xdr:rowOff>
    </xdr:from>
    <xdr:to>
      <xdr:col>10</xdr:col>
      <xdr:colOff>123825</xdr:colOff>
      <xdr:row>33</xdr:row>
      <xdr:rowOff>114300</xdr:rowOff>
    </xdr:to>
    <xdr:sp macro="" textlink="">
      <xdr:nvSpPr>
        <xdr:cNvPr id="10" name="フローチャート: 書類 9">
          <a:extLst>
            <a:ext uri="{FF2B5EF4-FFF2-40B4-BE49-F238E27FC236}">
              <a16:creationId xmlns:a16="http://schemas.microsoft.com/office/drawing/2014/main" id="{CBFFF4AD-A47B-415A-8611-78727AE41D81}"/>
            </a:ext>
          </a:extLst>
        </xdr:cNvPr>
        <xdr:cNvSpPr/>
      </xdr:nvSpPr>
      <xdr:spPr bwMode="auto">
        <a:xfrm>
          <a:off x="1806575" y="3568700"/>
          <a:ext cx="1079500" cy="708025"/>
        </a:xfrm>
        <a:prstGeom prst="flowChartDocument">
          <a:avLst/>
        </a:prstGeom>
        <a:solidFill>
          <a:sysClr val="window" lastClr="FFFFFF"/>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単体テスト標準</a:t>
          </a:r>
          <a:endParaRPr lang="ja-JP" altLang="ja-JP" sz="900">
            <a:effectLst/>
            <a:latin typeface="ＭＳ 明朝" panose="02020609040205080304" pitchFamily="17" charset="-128"/>
            <a:ea typeface="ＭＳ 明朝" panose="02020609040205080304" pitchFamily="17" charset="-128"/>
          </a:endParaRPr>
        </a:p>
        <a:p>
          <a:pPr algn="ctr"/>
          <a:r>
            <a:rPr kumimoji="1" lang="ja-JP" altLang="ja-JP" sz="900">
              <a:effectLst/>
              <a:latin typeface="ＭＳ 明朝" panose="02020609040205080304" pitchFamily="17" charset="-128"/>
              <a:ea typeface="ＭＳ 明朝" panose="02020609040205080304" pitchFamily="17" charset="-128"/>
              <a:cs typeface="+mn-cs"/>
            </a:rPr>
            <a:t>（本書</a:t>
          </a:r>
          <a:r>
            <a:rPr kumimoji="1" lang="ja-JP" altLang="en-US" sz="900">
              <a:effectLst/>
              <a:latin typeface="ＭＳ 明朝" panose="02020609040205080304" pitchFamily="17" charset="-128"/>
              <a:ea typeface="ＭＳ 明朝" panose="02020609040205080304" pitchFamily="17" charset="-128"/>
              <a:cs typeface="+mn-cs"/>
            </a:rPr>
            <a:t>）</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21</xdr:col>
      <xdr:colOff>53975</xdr:colOff>
      <xdr:row>28</xdr:row>
      <xdr:rowOff>120650</xdr:rowOff>
    </xdr:from>
    <xdr:to>
      <xdr:col>25</xdr:col>
      <xdr:colOff>28575</xdr:colOff>
      <xdr:row>33</xdr:row>
      <xdr:rowOff>114300</xdr:rowOff>
    </xdr:to>
    <xdr:sp macro="" textlink="">
      <xdr:nvSpPr>
        <xdr:cNvPr id="11" name="フローチャート: 書類 10">
          <a:extLst>
            <a:ext uri="{FF2B5EF4-FFF2-40B4-BE49-F238E27FC236}">
              <a16:creationId xmlns:a16="http://schemas.microsoft.com/office/drawing/2014/main" id="{6C992A98-F0E5-4362-AB37-AB41C8DF1899}"/>
            </a:ext>
          </a:extLst>
        </xdr:cNvPr>
        <xdr:cNvSpPr/>
      </xdr:nvSpPr>
      <xdr:spPr bwMode="auto">
        <a:xfrm>
          <a:off x="5854700" y="3568700"/>
          <a:ext cx="1079500" cy="708025"/>
        </a:xfrm>
        <a:prstGeom prst="flowChartDocument">
          <a:avLst/>
        </a:prstGeom>
        <a:solidFill>
          <a:sysClr val="window" lastClr="FFFFFF"/>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latin typeface="ＭＳ 明朝" panose="02020609040205080304" pitchFamily="17" charset="-128"/>
              <a:ea typeface="ＭＳ 明朝" panose="02020609040205080304" pitchFamily="17" charset="-128"/>
            </a:rPr>
            <a:t>単体テスト</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仕様書</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16</xdr:col>
      <xdr:colOff>95250</xdr:colOff>
      <xdr:row>31</xdr:row>
      <xdr:rowOff>49213</xdr:rowOff>
    </xdr:from>
    <xdr:to>
      <xdr:col>21</xdr:col>
      <xdr:colOff>53975</xdr:colOff>
      <xdr:row>31</xdr:row>
      <xdr:rowOff>55563</xdr:rowOff>
    </xdr:to>
    <xdr:cxnSp macro="">
      <xdr:nvCxnSpPr>
        <xdr:cNvPr id="12" name="直線矢印コネクタ 11">
          <a:extLst>
            <a:ext uri="{FF2B5EF4-FFF2-40B4-BE49-F238E27FC236}">
              <a16:creationId xmlns:a16="http://schemas.microsoft.com/office/drawing/2014/main" id="{4AEE29FC-E702-4EF3-8DBA-7A78C7850B3A}"/>
            </a:ext>
          </a:extLst>
        </xdr:cNvPr>
        <xdr:cNvCxnSpPr>
          <a:stCxn id="6" idx="3"/>
          <a:endCxn id="11" idx="1"/>
        </xdr:cNvCxnSpPr>
      </xdr:nvCxnSpPr>
      <xdr:spPr bwMode="auto">
        <a:xfrm flipV="1">
          <a:off x="4514850" y="3925888"/>
          <a:ext cx="1339850" cy="6350"/>
        </a:xfrm>
        <a:prstGeom prst="straightConnector1">
          <a:avLst/>
        </a:prstGeom>
        <a:solidFill>
          <a:srgbClr val="0D0000"/>
        </a:solidFill>
        <a:ln w="6350"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25400</xdr:colOff>
      <xdr:row>31</xdr:row>
      <xdr:rowOff>49213</xdr:rowOff>
    </xdr:from>
    <xdr:to>
      <xdr:col>26</xdr:col>
      <xdr:colOff>161925</xdr:colOff>
      <xdr:row>32</xdr:row>
      <xdr:rowOff>120650</xdr:rowOff>
    </xdr:to>
    <xdr:cxnSp macro="">
      <xdr:nvCxnSpPr>
        <xdr:cNvPr id="13" name="直線矢印コネクタ 12">
          <a:extLst>
            <a:ext uri="{FF2B5EF4-FFF2-40B4-BE49-F238E27FC236}">
              <a16:creationId xmlns:a16="http://schemas.microsoft.com/office/drawing/2014/main" id="{26232B2A-2403-4F89-950A-40644F8B0C92}"/>
            </a:ext>
          </a:extLst>
        </xdr:cNvPr>
        <xdr:cNvCxnSpPr>
          <a:stCxn id="4" idx="1"/>
          <a:endCxn id="11" idx="3"/>
        </xdr:cNvCxnSpPr>
      </xdr:nvCxnSpPr>
      <xdr:spPr bwMode="auto">
        <a:xfrm flipH="1" flipV="1">
          <a:off x="6931025" y="3925888"/>
          <a:ext cx="412750" cy="214312"/>
        </a:xfrm>
        <a:prstGeom prst="straightConnector1">
          <a:avLst/>
        </a:prstGeom>
        <a:solidFill>
          <a:srgbClr val="0D0000"/>
        </a:solidFill>
        <a:ln w="6350"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215900</xdr:colOff>
      <xdr:row>25</xdr:row>
      <xdr:rowOff>92075</xdr:rowOff>
    </xdr:from>
    <xdr:to>
      <xdr:col>27</xdr:col>
      <xdr:colOff>66675</xdr:colOff>
      <xdr:row>27</xdr:row>
      <xdr:rowOff>53975</xdr:rowOff>
    </xdr:to>
    <xdr:sp macro="" textlink="">
      <xdr:nvSpPr>
        <xdr:cNvPr id="14" name="テキスト ボックス 13">
          <a:extLst>
            <a:ext uri="{FF2B5EF4-FFF2-40B4-BE49-F238E27FC236}">
              <a16:creationId xmlns:a16="http://schemas.microsoft.com/office/drawing/2014/main" id="{FBF5F750-AE37-4094-9D02-27B983B06DFF}"/>
            </a:ext>
          </a:extLst>
        </xdr:cNvPr>
        <xdr:cNvSpPr txBox="1"/>
      </xdr:nvSpPr>
      <xdr:spPr>
        <a:xfrm>
          <a:off x="6569075" y="3111500"/>
          <a:ext cx="955675" cy="24765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a:latin typeface="ＭＳ 明朝" panose="02020609040205080304" pitchFamily="17" charset="-128"/>
              <a:ea typeface="ＭＳ 明朝" panose="02020609040205080304" pitchFamily="17" charset="-128"/>
            </a:rPr>
            <a:t>テスト設計者</a:t>
          </a:r>
        </a:p>
      </xdr:txBody>
    </xdr:sp>
    <xdr:clientData/>
  </xdr:twoCellAnchor>
  <xdr:twoCellAnchor>
    <xdr:from>
      <xdr:col>8</xdr:col>
      <xdr:colOff>38100</xdr:colOff>
      <xdr:row>23</xdr:row>
      <xdr:rowOff>66675</xdr:rowOff>
    </xdr:from>
    <xdr:to>
      <xdr:col>13</xdr:col>
      <xdr:colOff>139700</xdr:colOff>
      <xdr:row>25</xdr:row>
      <xdr:rowOff>25400</xdr:rowOff>
    </xdr:to>
    <xdr:sp macro="" textlink="">
      <xdr:nvSpPr>
        <xdr:cNvPr id="15" name="テキスト ボックス 14">
          <a:extLst>
            <a:ext uri="{FF2B5EF4-FFF2-40B4-BE49-F238E27FC236}">
              <a16:creationId xmlns:a16="http://schemas.microsoft.com/office/drawing/2014/main" id="{79A1F9CC-8BA8-47ED-9E27-072C14E13F97}"/>
            </a:ext>
          </a:extLst>
        </xdr:cNvPr>
        <xdr:cNvSpPr txBox="1"/>
      </xdr:nvSpPr>
      <xdr:spPr>
        <a:xfrm>
          <a:off x="2247900" y="2800350"/>
          <a:ext cx="1482725" cy="24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a:latin typeface="ＭＳ 明朝" panose="02020609040205080304" pitchFamily="17" charset="-128"/>
              <a:ea typeface="ＭＳ 明朝" panose="02020609040205080304" pitchFamily="17" charset="-128"/>
            </a:rPr>
            <a:t>一般的なテスト観点</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00"/>
        </a:solidFill>
        <a:ln w="9525" cap="flat" cmpd="sng" algn="ctr">
          <a:solidFill>
            <a:srgbClr val="000000"/>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D0000"/>
        </a:solidFill>
        <a:ln w="9525" cap="flat" cmpd="sng" algn="ctr">
          <a:solidFill>
            <a:srgbClr val="400000"/>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fintan.jp/page/1456/"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hyperlink" Target="https://nablarch.github.io/docs/LATEST/doc/development_tools/testing_framework/index.html"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S512"/>
  <sheetViews>
    <sheetView showGridLines="0" tabSelected="1" view="pageBreakPreview" zoomScaleNormal="100" zoomScaleSheetLayoutView="100" workbookViewId="0"/>
  </sheetViews>
  <sheetFormatPr defaultColWidth="8.83203125" defaultRowHeight="13.5" x14ac:dyDescent="0.15"/>
  <cols>
    <col min="1" max="16384" width="8.83203125" style="7"/>
  </cols>
  <sheetData>
    <row r="1" spans="1:3" ht="13.5" customHeight="1" x14ac:dyDescent="0.25">
      <c r="B1" s="8"/>
      <c r="C1" s="9"/>
    </row>
    <row r="2" spans="1:3" ht="19.5" customHeight="1" x14ac:dyDescent="0.2">
      <c r="A2" s="4"/>
    </row>
    <row r="3" spans="1:3" ht="13.5" customHeight="1" x14ac:dyDescent="0.15"/>
    <row r="4" spans="1:3" ht="13.5" customHeight="1" x14ac:dyDescent="0.15"/>
    <row r="5" spans="1:3" ht="13.5" customHeight="1" x14ac:dyDescent="0.15"/>
    <row r="6" spans="1:3" ht="13.5" customHeight="1" x14ac:dyDescent="0.15"/>
    <row r="7" spans="1:3" ht="13.5" customHeight="1" x14ac:dyDescent="0.15"/>
    <row r="8" spans="1:3" ht="13.5" customHeight="1" x14ac:dyDescent="0.15"/>
    <row r="9" spans="1:3" ht="13.5" customHeight="1" x14ac:dyDescent="0.15"/>
    <row r="10" spans="1:3" ht="13.5" customHeight="1" x14ac:dyDescent="0.15"/>
    <row r="11" spans="1:3" ht="13.5" customHeight="1" x14ac:dyDescent="0.15"/>
    <row r="12" spans="1:3" ht="13.5" customHeight="1" x14ac:dyDescent="0.15"/>
    <row r="13" spans="1:3" ht="13.5" customHeight="1" x14ac:dyDescent="0.15"/>
    <row r="14" spans="1:3" ht="13.5" customHeight="1" x14ac:dyDescent="0.15"/>
    <row r="15" spans="1:3" ht="13.5" customHeight="1" x14ac:dyDescent="0.15"/>
    <row r="16" spans="1:3" ht="13.5" customHeight="1" x14ac:dyDescent="0.15"/>
    <row r="17" spans="6:12" ht="13.5" customHeight="1" x14ac:dyDescent="0.15"/>
    <row r="18" spans="6:12" ht="13.5" customHeight="1" x14ac:dyDescent="0.15"/>
    <row r="19" spans="6:12" ht="13.5" customHeight="1" x14ac:dyDescent="0.15"/>
    <row r="20" spans="6:12" ht="13.5" customHeight="1" x14ac:dyDescent="0.15"/>
    <row r="21" spans="6:12" ht="9" customHeight="1" x14ac:dyDescent="0.15"/>
    <row r="22" spans="6:12" ht="9" customHeight="1" x14ac:dyDescent="0.15"/>
    <row r="23" spans="6:12" ht="17.25" customHeight="1" x14ac:dyDescent="0.2">
      <c r="F23" s="10"/>
      <c r="G23" s="10"/>
      <c r="H23" s="10"/>
      <c r="I23" s="33"/>
      <c r="J23" s="20" t="s">
        <v>366</v>
      </c>
      <c r="K23" s="33"/>
      <c r="L23" s="33"/>
    </row>
    <row r="24" spans="6:12" ht="13.5" customHeight="1" x14ac:dyDescent="0.2">
      <c r="F24" s="10"/>
      <c r="G24" s="10"/>
      <c r="H24" s="10"/>
      <c r="I24" s="33"/>
      <c r="J24" s="33"/>
      <c r="K24" s="33"/>
      <c r="L24" s="33"/>
    </row>
    <row r="25" spans="6:12" ht="18" customHeight="1" x14ac:dyDescent="0.2">
      <c r="F25" s="10"/>
      <c r="G25" s="10"/>
      <c r="H25" s="10"/>
      <c r="I25" s="94">
        <f ca="1">IF(INDIRECT("変更履歴!D8")="","",MAX(INDIRECT("変更履歴!D8"):INDIRECT("変更履歴!F33")))</f>
        <v>45061</v>
      </c>
      <c r="J25" s="94"/>
      <c r="K25" s="94"/>
      <c r="L25" s="33"/>
    </row>
    <row r="26" spans="6:12" ht="13.5" customHeight="1" x14ac:dyDescent="0.2">
      <c r="F26" s="10"/>
      <c r="G26" s="10"/>
      <c r="H26" s="10"/>
      <c r="I26" s="33"/>
      <c r="J26" s="33"/>
      <c r="K26" s="33"/>
      <c r="L26" s="33"/>
    </row>
    <row r="27" spans="6:12" ht="13.5" customHeight="1" x14ac:dyDescent="0.2">
      <c r="F27" s="10"/>
      <c r="G27" s="10"/>
      <c r="H27" s="10"/>
      <c r="I27" s="33"/>
      <c r="J27" s="33"/>
      <c r="K27" s="33"/>
      <c r="L27" s="33"/>
    </row>
    <row r="28" spans="6:12" ht="15" customHeight="1" x14ac:dyDescent="0.2">
      <c r="F28" s="10"/>
      <c r="H28" s="10"/>
      <c r="I28" s="33"/>
      <c r="J28" s="33"/>
      <c r="K28" s="33"/>
      <c r="L28" s="33"/>
    </row>
    <row r="29" spans="6:12" ht="13.5" customHeight="1" x14ac:dyDescent="0.2">
      <c r="F29" s="10"/>
      <c r="G29" s="11"/>
      <c r="H29" s="10"/>
      <c r="I29" s="33"/>
      <c r="J29" s="33"/>
      <c r="K29" s="33"/>
      <c r="L29" s="33"/>
    </row>
    <row r="30" spans="6:12" ht="18.75" customHeight="1" x14ac:dyDescent="0.2">
      <c r="F30" s="10"/>
      <c r="G30" s="11"/>
      <c r="H30" s="10"/>
      <c r="I30" s="33"/>
      <c r="J30" s="33"/>
      <c r="K30" s="33"/>
      <c r="L30" s="33"/>
    </row>
    <row r="31" spans="6:12" ht="13.5" customHeight="1" x14ac:dyDescent="0.2">
      <c r="F31" s="10"/>
      <c r="G31" s="11"/>
      <c r="H31" s="10"/>
      <c r="I31" s="33"/>
      <c r="J31" s="33"/>
      <c r="K31" s="33"/>
      <c r="L31" s="33"/>
    </row>
    <row r="32" spans="6:12" ht="18.75" x14ac:dyDescent="0.2">
      <c r="F32" s="10"/>
      <c r="G32" s="11"/>
      <c r="H32" s="10"/>
      <c r="I32" s="33"/>
      <c r="J32" s="34" t="s">
        <v>102</v>
      </c>
      <c r="K32" s="33"/>
      <c r="L32" s="33"/>
    </row>
    <row r="33" spans="6:19" ht="18.75" x14ac:dyDescent="0.2">
      <c r="F33" s="10"/>
      <c r="H33" s="10"/>
      <c r="I33" s="33"/>
      <c r="J33" s="12"/>
      <c r="K33" s="33"/>
      <c r="L33" s="35"/>
      <c r="M33" s="5"/>
      <c r="N33" s="12"/>
      <c r="O33" s="12"/>
      <c r="P33" s="12"/>
    </row>
    <row r="34" spans="6:19" ht="18.75" x14ac:dyDescent="0.2">
      <c r="F34" s="10"/>
      <c r="H34" s="10"/>
      <c r="I34" s="33"/>
      <c r="J34" s="34" t="s">
        <v>224</v>
      </c>
      <c r="K34" s="33"/>
      <c r="L34" s="35"/>
      <c r="M34" s="12"/>
      <c r="N34" s="12"/>
      <c r="O34" s="12"/>
      <c r="P34" s="12"/>
      <c r="Q34" s="91"/>
      <c r="R34" s="92"/>
      <c r="S34" s="92"/>
    </row>
    <row r="35" spans="6:19" x14ac:dyDescent="0.15">
      <c r="Q35" s="92"/>
      <c r="R35" s="92"/>
      <c r="S35" s="92"/>
    </row>
    <row r="36" spans="6:19" ht="13.5" customHeight="1" x14ac:dyDescent="0.15">
      <c r="Q36" s="93"/>
      <c r="R36" s="92"/>
      <c r="S36" s="32"/>
    </row>
    <row r="37" spans="6:19" ht="13.5" customHeight="1" x14ac:dyDescent="0.15">
      <c r="Q37" s="89"/>
      <c r="R37" s="90"/>
      <c r="S37" s="89"/>
    </row>
    <row r="38" spans="6:19" ht="13.5" customHeight="1" x14ac:dyDescent="0.15">
      <c r="Q38" s="90"/>
      <c r="R38" s="90"/>
      <c r="S38" s="90"/>
    </row>
    <row r="39" spans="6:19" ht="13.5" customHeight="1" x14ac:dyDescent="0.15">
      <c r="Q39" s="90"/>
      <c r="R39" s="90"/>
      <c r="S39" s="90"/>
    </row>
    <row r="40" spans="6:19" ht="13.5" customHeight="1" x14ac:dyDescent="0.15"/>
    <row r="41" spans="6:19" ht="13.5" customHeight="1" x14ac:dyDescent="0.15"/>
    <row r="42" spans="6:19" ht="13.5" customHeight="1" x14ac:dyDescent="0.15"/>
    <row r="43" spans="6:19" ht="13.5" customHeight="1" x14ac:dyDescent="0.15"/>
    <row r="44" spans="6:19" ht="13.5" customHeight="1" x14ac:dyDescent="0.15"/>
    <row r="45" spans="6:19" ht="13.5" customHeight="1" x14ac:dyDescent="0.15"/>
    <row r="46" spans="6:19" ht="13.5" customHeight="1" x14ac:dyDescent="0.15"/>
    <row r="47" spans="6:19" ht="13.5" customHeight="1" x14ac:dyDescent="0.15"/>
    <row r="48" spans="6:19"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sheetData>
  <mergeCells count="5">
    <mergeCell ref="Q37:R39"/>
    <mergeCell ref="S37:S39"/>
    <mergeCell ref="Q34:S35"/>
    <mergeCell ref="Q36:R36"/>
    <mergeCell ref="I25:K25"/>
  </mergeCells>
  <phoneticPr fontId="8"/>
  <printOptions horizontalCentered="1"/>
  <pageMargins left="0.39370078740157477" right="0.39370078740157477" top="0.39370078740157477" bottom="0.39370078740157477" header="0.19685039370078738" footer="0.19685039370078738"/>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5">
    <pageSetUpPr fitToPage="1"/>
  </sheetPr>
  <dimension ref="A1:AN33"/>
  <sheetViews>
    <sheetView showGridLines="0" view="pageBreakPreview" zoomScaleNormal="100" zoomScaleSheetLayoutView="100" workbookViewId="0">
      <selection sqref="A1:D1"/>
    </sheetView>
  </sheetViews>
  <sheetFormatPr defaultColWidth="4.83203125" defaultRowHeight="15" customHeight="1" x14ac:dyDescent="0.15"/>
  <cols>
    <col min="1" max="16" width="4.83203125" style="19" customWidth="1"/>
    <col min="17" max="17" width="4.83203125" style="21" customWidth="1"/>
    <col min="18" max="34" width="4.83203125" style="19" customWidth="1"/>
    <col min="35" max="35" width="4.83203125" style="21" customWidth="1"/>
    <col min="36" max="16384" width="4.83203125" style="19"/>
  </cols>
  <sheetData>
    <row r="1" spans="1:40" s="13" customFormat="1" ht="12" customHeight="1" x14ac:dyDescent="0.15">
      <c r="A1" s="107" t="s">
        <v>225</v>
      </c>
      <c r="B1" s="108"/>
      <c r="C1" s="108"/>
      <c r="D1" s="109"/>
      <c r="E1" s="128" t="s">
        <v>271</v>
      </c>
      <c r="F1" s="129"/>
      <c r="G1" s="129"/>
      <c r="H1" s="129"/>
      <c r="I1" s="129"/>
      <c r="J1" s="129"/>
      <c r="K1" s="129"/>
      <c r="L1" s="129"/>
      <c r="M1" s="129"/>
      <c r="N1" s="130"/>
      <c r="O1" s="110" t="s">
        <v>226</v>
      </c>
      <c r="P1" s="111"/>
      <c r="Q1" s="111"/>
      <c r="R1" s="112"/>
      <c r="S1" s="119" t="s">
        <v>273</v>
      </c>
      <c r="T1" s="120"/>
      <c r="U1" s="120"/>
      <c r="V1" s="120"/>
      <c r="W1" s="120"/>
      <c r="X1" s="120"/>
      <c r="Y1" s="120"/>
      <c r="Z1" s="121"/>
      <c r="AA1" s="107" t="s">
        <v>227</v>
      </c>
      <c r="AB1" s="109"/>
      <c r="AC1" s="146" t="str">
        <f>IF(AF8="","",AF8)</f>
        <v>TIS</v>
      </c>
      <c r="AD1" s="147"/>
      <c r="AE1" s="147"/>
      <c r="AF1" s="148"/>
      <c r="AG1" s="149">
        <f>IF(D8="","",D8)</f>
        <v>45061</v>
      </c>
      <c r="AH1" s="150"/>
      <c r="AI1" s="151"/>
      <c r="AJ1" s="36"/>
      <c r="AK1" s="37"/>
      <c r="AL1" s="37"/>
      <c r="AM1" s="37"/>
      <c r="AN1" s="38"/>
    </row>
    <row r="2" spans="1:40" s="13" customFormat="1" ht="12" customHeight="1" x14ac:dyDescent="0.15">
      <c r="A2" s="107" t="s">
        <v>228</v>
      </c>
      <c r="B2" s="108"/>
      <c r="C2" s="108"/>
      <c r="D2" s="109"/>
      <c r="E2" s="128" t="s">
        <v>272</v>
      </c>
      <c r="F2" s="129"/>
      <c r="G2" s="129"/>
      <c r="H2" s="129"/>
      <c r="I2" s="129"/>
      <c r="J2" s="129"/>
      <c r="K2" s="129"/>
      <c r="L2" s="129"/>
      <c r="M2" s="129"/>
      <c r="N2" s="130"/>
      <c r="O2" s="113"/>
      <c r="P2" s="114"/>
      <c r="Q2" s="114"/>
      <c r="R2" s="115"/>
      <c r="S2" s="122"/>
      <c r="T2" s="123"/>
      <c r="U2" s="123"/>
      <c r="V2" s="123"/>
      <c r="W2" s="123"/>
      <c r="X2" s="123"/>
      <c r="Y2" s="123"/>
      <c r="Z2" s="124"/>
      <c r="AA2" s="107" t="s">
        <v>229</v>
      </c>
      <c r="AB2" s="109"/>
      <c r="AC2" s="152" t="str">
        <f ca="1">IF(COUNTA(AF9:AF33)&lt;&gt;0,INDIRECT("AF"&amp;(COUNTA(AF9:AF33)+8)),"")</f>
        <v/>
      </c>
      <c r="AD2" s="153"/>
      <c r="AE2" s="153"/>
      <c r="AF2" s="154"/>
      <c r="AG2" s="149" t="str">
        <f>IF(D9="","",MAX(D9:F33))</f>
        <v/>
      </c>
      <c r="AH2" s="150"/>
      <c r="AI2" s="151"/>
      <c r="AJ2" s="36"/>
      <c r="AK2" s="37"/>
      <c r="AL2" s="37"/>
      <c r="AM2" s="37"/>
      <c r="AN2" s="37"/>
    </row>
    <row r="3" spans="1:40" s="13" customFormat="1" ht="11.25" x14ac:dyDescent="0.15">
      <c r="A3" s="107" t="s">
        <v>230</v>
      </c>
      <c r="B3" s="108"/>
      <c r="C3" s="108"/>
      <c r="D3" s="109"/>
      <c r="E3" s="128"/>
      <c r="F3" s="129"/>
      <c r="G3" s="129"/>
      <c r="H3" s="129"/>
      <c r="I3" s="129"/>
      <c r="J3" s="129"/>
      <c r="K3" s="129"/>
      <c r="L3" s="129"/>
      <c r="M3" s="129"/>
      <c r="N3" s="130"/>
      <c r="O3" s="116"/>
      <c r="P3" s="117"/>
      <c r="Q3" s="117"/>
      <c r="R3" s="118"/>
      <c r="S3" s="125"/>
      <c r="T3" s="126"/>
      <c r="U3" s="126"/>
      <c r="V3" s="126"/>
      <c r="W3" s="126"/>
      <c r="X3" s="126"/>
      <c r="Y3" s="126"/>
      <c r="Z3" s="127"/>
      <c r="AA3" s="107"/>
      <c r="AB3" s="109"/>
      <c r="AC3" s="146"/>
      <c r="AD3" s="147"/>
      <c r="AE3" s="147"/>
      <c r="AF3" s="148"/>
      <c r="AG3" s="149"/>
      <c r="AH3" s="150"/>
      <c r="AI3" s="151"/>
      <c r="AJ3" s="39"/>
      <c r="AK3" s="36"/>
      <c r="AL3" s="36"/>
      <c r="AM3" s="36"/>
      <c r="AN3" s="36"/>
    </row>
    <row r="4" spans="1:40" s="13" customFormat="1" ht="19.5" customHeight="1" x14ac:dyDescent="0.15">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9"/>
      <c r="AC4" s="39"/>
      <c r="AD4" s="40"/>
      <c r="AE4" s="1"/>
      <c r="AF4" s="1"/>
      <c r="AG4" s="1"/>
      <c r="AH4" s="39"/>
      <c r="AI4" s="39"/>
      <c r="AJ4" s="39"/>
      <c r="AK4" s="36"/>
      <c r="AL4" s="36"/>
      <c r="AM4" s="36"/>
      <c r="AN4" s="36"/>
    </row>
    <row r="5" spans="1:40" s="13" customFormat="1" ht="22.5" customHeight="1" x14ac:dyDescent="0.2">
      <c r="A5" s="36"/>
      <c r="B5" s="36"/>
      <c r="C5" s="36"/>
      <c r="D5" s="36"/>
      <c r="E5" s="36"/>
      <c r="F5" s="36"/>
      <c r="G5" s="36"/>
      <c r="H5" s="36"/>
      <c r="I5" s="36"/>
      <c r="J5" s="36"/>
      <c r="K5" s="36"/>
      <c r="L5" s="36"/>
      <c r="M5" s="36"/>
      <c r="N5" s="6" t="s">
        <v>53</v>
      </c>
      <c r="O5" s="36"/>
      <c r="P5" s="36"/>
      <c r="Q5" s="36"/>
      <c r="R5" s="36"/>
      <c r="S5" s="36"/>
      <c r="T5" s="36"/>
      <c r="U5" s="36"/>
      <c r="V5" s="36"/>
      <c r="W5" s="36"/>
      <c r="X5" s="36"/>
      <c r="Y5" s="36"/>
      <c r="Z5" s="36"/>
      <c r="AA5" s="36"/>
      <c r="AB5" s="39"/>
      <c r="AC5" s="39"/>
      <c r="AD5" s="40"/>
      <c r="AE5" s="1"/>
      <c r="AF5" s="1"/>
      <c r="AG5" s="1"/>
      <c r="AH5" s="39"/>
      <c r="AI5" s="39"/>
      <c r="AJ5" s="39"/>
      <c r="AK5" s="36"/>
      <c r="AL5" s="36"/>
      <c r="AM5" s="36"/>
      <c r="AN5" s="36"/>
    </row>
    <row r="6" spans="1:40" s="13" customFormat="1" ht="15" customHeight="1" x14ac:dyDescent="0.2">
      <c r="A6" s="36"/>
      <c r="B6" s="36"/>
      <c r="C6" s="36"/>
      <c r="D6" s="36"/>
      <c r="E6" s="36"/>
      <c r="F6" s="36"/>
      <c r="G6" s="36"/>
      <c r="H6" s="36"/>
      <c r="I6" s="36"/>
      <c r="J6" s="36"/>
      <c r="K6" s="36"/>
      <c r="L6" s="36"/>
      <c r="M6" s="36"/>
      <c r="N6" s="6"/>
      <c r="O6" s="36"/>
      <c r="P6" s="36"/>
      <c r="Q6" s="36"/>
      <c r="R6" s="36"/>
      <c r="S6" s="36"/>
      <c r="T6" s="36"/>
      <c r="U6" s="36"/>
      <c r="V6" s="36"/>
      <c r="W6" s="36"/>
      <c r="X6" s="36"/>
      <c r="Y6" s="36"/>
      <c r="Z6" s="36"/>
      <c r="AA6" s="36"/>
      <c r="AB6" s="39"/>
      <c r="AC6" s="39"/>
      <c r="AD6" s="40"/>
      <c r="AE6" s="1"/>
      <c r="AF6" s="1"/>
      <c r="AG6" s="1"/>
      <c r="AH6" s="39"/>
      <c r="AI6" s="39"/>
      <c r="AJ6" s="39"/>
      <c r="AK6" s="36"/>
      <c r="AL6" s="36"/>
      <c r="AM6" s="36"/>
      <c r="AN6" s="36"/>
    </row>
    <row r="7" spans="1:40" ht="15" customHeight="1" thickBot="1" x14ac:dyDescent="0.2">
      <c r="A7" s="55" t="s">
        <v>234</v>
      </c>
      <c r="B7" s="157" t="s">
        <v>54</v>
      </c>
      <c r="C7" s="158"/>
      <c r="D7" s="157" t="s">
        <v>55</v>
      </c>
      <c r="E7" s="159"/>
      <c r="F7" s="158"/>
      <c r="G7" s="157" t="s">
        <v>56</v>
      </c>
      <c r="H7" s="159"/>
      <c r="I7" s="158"/>
      <c r="J7" s="157" t="s">
        <v>235</v>
      </c>
      <c r="K7" s="159"/>
      <c r="L7" s="159"/>
      <c r="M7" s="159"/>
      <c r="N7" s="159"/>
      <c r="O7" s="159"/>
      <c r="P7" s="158"/>
      <c r="Q7" s="157" t="s">
        <v>57</v>
      </c>
      <c r="R7" s="159"/>
      <c r="S7" s="159"/>
      <c r="T7" s="159"/>
      <c r="U7" s="159"/>
      <c r="V7" s="159"/>
      <c r="W7" s="159"/>
      <c r="X7" s="159"/>
      <c r="Y7" s="159"/>
      <c r="Z7" s="159"/>
      <c r="AA7" s="159"/>
      <c r="AB7" s="159"/>
      <c r="AC7" s="159"/>
      <c r="AD7" s="159"/>
      <c r="AE7" s="158"/>
      <c r="AF7" s="157" t="s">
        <v>58</v>
      </c>
      <c r="AG7" s="159"/>
      <c r="AH7" s="159"/>
      <c r="AI7" s="158"/>
    </row>
    <row r="8" spans="1:40" ht="15" customHeight="1" thickTop="1" x14ac:dyDescent="0.15">
      <c r="A8" s="65">
        <v>1</v>
      </c>
      <c r="B8" s="131" t="s">
        <v>266</v>
      </c>
      <c r="C8" s="132"/>
      <c r="D8" s="133">
        <v>45061</v>
      </c>
      <c r="E8" s="134"/>
      <c r="F8" s="135"/>
      <c r="G8" s="136" t="s">
        <v>267</v>
      </c>
      <c r="H8" s="137"/>
      <c r="I8" s="138"/>
      <c r="J8" s="139" t="s">
        <v>268</v>
      </c>
      <c r="K8" s="140"/>
      <c r="L8" s="140"/>
      <c r="M8" s="140"/>
      <c r="N8" s="140"/>
      <c r="O8" s="140"/>
      <c r="P8" s="141"/>
      <c r="Q8" s="142" t="s">
        <v>269</v>
      </c>
      <c r="R8" s="143"/>
      <c r="S8" s="143"/>
      <c r="T8" s="143"/>
      <c r="U8" s="143"/>
      <c r="V8" s="143"/>
      <c r="W8" s="143"/>
      <c r="X8" s="143"/>
      <c r="Y8" s="143"/>
      <c r="Z8" s="143"/>
      <c r="AA8" s="143"/>
      <c r="AB8" s="143"/>
      <c r="AC8" s="143"/>
      <c r="AD8" s="143"/>
      <c r="AE8" s="144"/>
      <c r="AF8" s="139" t="s">
        <v>270</v>
      </c>
      <c r="AG8" s="140"/>
      <c r="AH8" s="140"/>
      <c r="AI8" s="141"/>
    </row>
    <row r="9" spans="1:40" ht="11.25" x14ac:dyDescent="0.15">
      <c r="A9" s="66"/>
      <c r="B9" s="156"/>
      <c r="C9" s="102"/>
      <c r="D9" s="103"/>
      <c r="E9" s="104"/>
      <c r="F9" s="105"/>
      <c r="G9" s="156"/>
      <c r="H9" s="106"/>
      <c r="I9" s="102"/>
      <c r="J9" s="145"/>
      <c r="K9" s="96"/>
      <c r="L9" s="96"/>
      <c r="M9" s="96"/>
      <c r="N9" s="96"/>
      <c r="O9" s="96"/>
      <c r="P9" s="97"/>
      <c r="Q9" s="145"/>
      <c r="R9" s="99"/>
      <c r="S9" s="99"/>
      <c r="T9" s="99"/>
      <c r="U9" s="99"/>
      <c r="V9" s="99"/>
      <c r="W9" s="99"/>
      <c r="X9" s="99"/>
      <c r="Y9" s="99"/>
      <c r="Z9" s="99"/>
      <c r="AA9" s="99"/>
      <c r="AB9" s="99"/>
      <c r="AC9" s="99"/>
      <c r="AD9" s="99"/>
      <c r="AE9" s="100"/>
      <c r="AF9" s="155"/>
      <c r="AG9" s="96"/>
      <c r="AH9" s="96"/>
      <c r="AI9" s="97"/>
    </row>
    <row r="10" spans="1:40" ht="11.25" x14ac:dyDescent="0.15">
      <c r="A10" s="56"/>
      <c r="B10" s="156"/>
      <c r="C10" s="102"/>
      <c r="D10" s="103"/>
      <c r="E10" s="104"/>
      <c r="F10" s="105"/>
      <c r="G10" s="156"/>
      <c r="H10" s="106"/>
      <c r="I10" s="102"/>
      <c r="J10" s="145"/>
      <c r="K10" s="96"/>
      <c r="L10" s="96"/>
      <c r="M10" s="96"/>
      <c r="N10" s="96"/>
      <c r="O10" s="96"/>
      <c r="P10" s="97"/>
      <c r="Q10" s="145"/>
      <c r="R10" s="99"/>
      <c r="S10" s="99"/>
      <c r="T10" s="99"/>
      <c r="U10" s="99"/>
      <c r="V10" s="99"/>
      <c r="W10" s="99"/>
      <c r="X10" s="99"/>
      <c r="Y10" s="99"/>
      <c r="Z10" s="99"/>
      <c r="AA10" s="99"/>
      <c r="AB10" s="99"/>
      <c r="AC10" s="99"/>
      <c r="AD10" s="99"/>
      <c r="AE10" s="100"/>
      <c r="AF10" s="155"/>
      <c r="AG10" s="96"/>
      <c r="AH10" s="96"/>
      <c r="AI10" s="97"/>
    </row>
    <row r="11" spans="1:40" ht="15" customHeight="1" x14ac:dyDescent="0.15">
      <c r="A11" s="56"/>
      <c r="B11" s="101"/>
      <c r="C11" s="102"/>
      <c r="D11" s="103"/>
      <c r="E11" s="104"/>
      <c r="F11" s="105"/>
      <c r="G11" s="101"/>
      <c r="H11" s="106"/>
      <c r="I11" s="102"/>
      <c r="J11" s="95"/>
      <c r="K11" s="96"/>
      <c r="L11" s="96"/>
      <c r="M11" s="96"/>
      <c r="N11" s="96"/>
      <c r="O11" s="96"/>
      <c r="P11" s="97"/>
      <c r="Q11" s="98"/>
      <c r="R11" s="99"/>
      <c r="S11" s="99"/>
      <c r="T11" s="99"/>
      <c r="U11" s="99"/>
      <c r="V11" s="99"/>
      <c r="W11" s="99"/>
      <c r="X11" s="99"/>
      <c r="Y11" s="99"/>
      <c r="Z11" s="99"/>
      <c r="AA11" s="99"/>
      <c r="AB11" s="99"/>
      <c r="AC11" s="99"/>
      <c r="AD11" s="99"/>
      <c r="AE11" s="100"/>
      <c r="AF11" s="95"/>
      <c r="AG11" s="96"/>
      <c r="AH11" s="96"/>
      <c r="AI11" s="97"/>
    </row>
    <row r="12" spans="1:40" ht="15" customHeight="1" x14ac:dyDescent="0.15">
      <c r="A12" s="56"/>
      <c r="B12" s="101"/>
      <c r="C12" s="102"/>
      <c r="D12" s="103"/>
      <c r="E12" s="104"/>
      <c r="F12" s="105"/>
      <c r="G12" s="101"/>
      <c r="H12" s="106"/>
      <c r="I12" s="102"/>
      <c r="J12" s="95"/>
      <c r="K12" s="96"/>
      <c r="L12" s="96"/>
      <c r="M12" s="96"/>
      <c r="N12" s="96"/>
      <c r="O12" s="96"/>
      <c r="P12" s="97"/>
      <c r="Q12" s="98"/>
      <c r="R12" s="99"/>
      <c r="S12" s="99"/>
      <c r="T12" s="99"/>
      <c r="U12" s="99"/>
      <c r="V12" s="99"/>
      <c r="W12" s="99"/>
      <c r="X12" s="99"/>
      <c r="Y12" s="99"/>
      <c r="Z12" s="99"/>
      <c r="AA12" s="99"/>
      <c r="AB12" s="99"/>
      <c r="AC12" s="99"/>
      <c r="AD12" s="99"/>
      <c r="AE12" s="100"/>
      <c r="AF12" s="95"/>
      <c r="AG12" s="96"/>
      <c r="AH12" s="96"/>
      <c r="AI12" s="97"/>
    </row>
    <row r="13" spans="1:40" ht="15" customHeight="1" x14ac:dyDescent="0.15">
      <c r="A13" s="56"/>
      <c r="B13" s="101"/>
      <c r="C13" s="102"/>
      <c r="D13" s="103"/>
      <c r="E13" s="104"/>
      <c r="F13" s="105"/>
      <c r="G13" s="101"/>
      <c r="H13" s="106"/>
      <c r="I13" s="102"/>
      <c r="J13" s="95"/>
      <c r="K13" s="96"/>
      <c r="L13" s="96"/>
      <c r="M13" s="96"/>
      <c r="N13" s="96"/>
      <c r="O13" s="96"/>
      <c r="P13" s="97"/>
      <c r="Q13" s="98"/>
      <c r="R13" s="99"/>
      <c r="S13" s="99"/>
      <c r="T13" s="99"/>
      <c r="U13" s="99"/>
      <c r="V13" s="99"/>
      <c r="W13" s="99"/>
      <c r="X13" s="99"/>
      <c r="Y13" s="99"/>
      <c r="Z13" s="99"/>
      <c r="AA13" s="99"/>
      <c r="AB13" s="99"/>
      <c r="AC13" s="99"/>
      <c r="AD13" s="99"/>
      <c r="AE13" s="100"/>
      <c r="AF13" s="95"/>
      <c r="AG13" s="96"/>
      <c r="AH13" s="96"/>
      <c r="AI13" s="97"/>
    </row>
    <row r="14" spans="1:40" ht="15" customHeight="1" x14ac:dyDescent="0.15">
      <c r="A14" s="56"/>
      <c r="B14" s="101"/>
      <c r="C14" s="102"/>
      <c r="D14" s="103"/>
      <c r="E14" s="104"/>
      <c r="F14" s="105"/>
      <c r="G14" s="101"/>
      <c r="H14" s="106"/>
      <c r="I14" s="102"/>
      <c r="J14" s="95"/>
      <c r="K14" s="96"/>
      <c r="L14" s="96"/>
      <c r="M14" s="96"/>
      <c r="N14" s="96"/>
      <c r="O14" s="96"/>
      <c r="P14" s="97"/>
      <c r="Q14" s="98"/>
      <c r="R14" s="99"/>
      <c r="S14" s="99"/>
      <c r="T14" s="99"/>
      <c r="U14" s="99"/>
      <c r="V14" s="99"/>
      <c r="W14" s="99"/>
      <c r="X14" s="99"/>
      <c r="Y14" s="99"/>
      <c r="Z14" s="99"/>
      <c r="AA14" s="99"/>
      <c r="AB14" s="99"/>
      <c r="AC14" s="99"/>
      <c r="AD14" s="99"/>
      <c r="AE14" s="100"/>
      <c r="AF14" s="95"/>
      <c r="AG14" s="96"/>
      <c r="AH14" s="96"/>
      <c r="AI14" s="97"/>
    </row>
    <row r="15" spans="1:40" ht="15" customHeight="1" x14ac:dyDescent="0.15">
      <c r="A15" s="56"/>
      <c r="B15" s="101"/>
      <c r="C15" s="102"/>
      <c r="D15" s="103"/>
      <c r="E15" s="104"/>
      <c r="F15" s="105"/>
      <c r="G15" s="101"/>
      <c r="H15" s="106"/>
      <c r="I15" s="102"/>
      <c r="J15" s="95"/>
      <c r="K15" s="96"/>
      <c r="L15" s="96"/>
      <c r="M15" s="96"/>
      <c r="N15" s="96"/>
      <c r="O15" s="96"/>
      <c r="P15" s="97"/>
      <c r="Q15" s="98"/>
      <c r="R15" s="99"/>
      <c r="S15" s="99"/>
      <c r="T15" s="99"/>
      <c r="U15" s="99"/>
      <c r="V15" s="99"/>
      <c r="W15" s="99"/>
      <c r="X15" s="99"/>
      <c r="Y15" s="99"/>
      <c r="Z15" s="99"/>
      <c r="AA15" s="99"/>
      <c r="AB15" s="99"/>
      <c r="AC15" s="99"/>
      <c r="AD15" s="99"/>
      <c r="AE15" s="100"/>
      <c r="AF15" s="95"/>
      <c r="AG15" s="96"/>
      <c r="AH15" s="96"/>
      <c r="AI15" s="97"/>
    </row>
    <row r="16" spans="1:40" ht="15" customHeight="1" x14ac:dyDescent="0.15">
      <c r="A16" s="56"/>
      <c r="B16" s="101"/>
      <c r="C16" s="102"/>
      <c r="D16" s="103"/>
      <c r="E16" s="104"/>
      <c r="F16" s="105"/>
      <c r="G16" s="101"/>
      <c r="H16" s="106"/>
      <c r="I16" s="102"/>
      <c r="J16" s="95"/>
      <c r="K16" s="96"/>
      <c r="L16" s="96"/>
      <c r="M16" s="96"/>
      <c r="N16" s="96"/>
      <c r="O16" s="96"/>
      <c r="P16" s="97"/>
      <c r="Q16" s="98"/>
      <c r="R16" s="99"/>
      <c r="S16" s="99"/>
      <c r="T16" s="99"/>
      <c r="U16" s="99"/>
      <c r="V16" s="99"/>
      <c r="W16" s="99"/>
      <c r="X16" s="99"/>
      <c r="Y16" s="99"/>
      <c r="Z16" s="99"/>
      <c r="AA16" s="99"/>
      <c r="AB16" s="99"/>
      <c r="AC16" s="99"/>
      <c r="AD16" s="99"/>
      <c r="AE16" s="100"/>
      <c r="AF16" s="95"/>
      <c r="AG16" s="96"/>
      <c r="AH16" s="96"/>
      <c r="AI16" s="97"/>
    </row>
    <row r="17" spans="1:35" ht="15" customHeight="1" x14ac:dyDescent="0.15">
      <c r="A17" s="56"/>
      <c r="B17" s="101"/>
      <c r="C17" s="102"/>
      <c r="D17" s="103"/>
      <c r="E17" s="104"/>
      <c r="F17" s="105"/>
      <c r="G17" s="101"/>
      <c r="H17" s="106"/>
      <c r="I17" s="102"/>
      <c r="J17" s="95"/>
      <c r="K17" s="96"/>
      <c r="L17" s="96"/>
      <c r="M17" s="96"/>
      <c r="N17" s="96"/>
      <c r="O17" s="96"/>
      <c r="P17" s="97"/>
      <c r="Q17" s="98"/>
      <c r="R17" s="99"/>
      <c r="S17" s="99"/>
      <c r="T17" s="99"/>
      <c r="U17" s="99"/>
      <c r="V17" s="99"/>
      <c r="W17" s="99"/>
      <c r="X17" s="99"/>
      <c r="Y17" s="99"/>
      <c r="Z17" s="99"/>
      <c r="AA17" s="99"/>
      <c r="AB17" s="99"/>
      <c r="AC17" s="99"/>
      <c r="AD17" s="99"/>
      <c r="AE17" s="100"/>
      <c r="AF17" s="95"/>
      <c r="AG17" s="96"/>
      <c r="AH17" s="96"/>
      <c r="AI17" s="97"/>
    </row>
    <row r="18" spans="1:35" ht="15" customHeight="1" x14ac:dyDescent="0.15">
      <c r="A18" s="56"/>
      <c r="B18" s="101"/>
      <c r="C18" s="102"/>
      <c r="D18" s="103"/>
      <c r="E18" s="104"/>
      <c r="F18" s="105"/>
      <c r="G18" s="101"/>
      <c r="H18" s="106"/>
      <c r="I18" s="102"/>
      <c r="J18" s="95"/>
      <c r="K18" s="96"/>
      <c r="L18" s="96"/>
      <c r="M18" s="96"/>
      <c r="N18" s="96"/>
      <c r="O18" s="96"/>
      <c r="P18" s="97"/>
      <c r="Q18" s="98"/>
      <c r="R18" s="99"/>
      <c r="S18" s="99"/>
      <c r="T18" s="99"/>
      <c r="U18" s="99"/>
      <c r="V18" s="99"/>
      <c r="W18" s="99"/>
      <c r="X18" s="99"/>
      <c r="Y18" s="99"/>
      <c r="Z18" s="99"/>
      <c r="AA18" s="99"/>
      <c r="AB18" s="99"/>
      <c r="AC18" s="99"/>
      <c r="AD18" s="99"/>
      <c r="AE18" s="100"/>
      <c r="AF18" s="95"/>
      <c r="AG18" s="96"/>
      <c r="AH18" s="96"/>
      <c r="AI18" s="97"/>
    </row>
    <row r="19" spans="1:35" ht="15" customHeight="1" x14ac:dyDescent="0.15">
      <c r="A19" s="56"/>
      <c r="B19" s="101"/>
      <c r="C19" s="102"/>
      <c r="D19" s="103"/>
      <c r="E19" s="104"/>
      <c r="F19" s="105"/>
      <c r="G19" s="101"/>
      <c r="H19" s="106"/>
      <c r="I19" s="102"/>
      <c r="J19" s="95"/>
      <c r="K19" s="96"/>
      <c r="L19" s="96"/>
      <c r="M19" s="96"/>
      <c r="N19" s="96"/>
      <c r="O19" s="96"/>
      <c r="P19" s="97"/>
      <c r="Q19" s="98"/>
      <c r="R19" s="99"/>
      <c r="S19" s="99"/>
      <c r="T19" s="99"/>
      <c r="U19" s="99"/>
      <c r="V19" s="99"/>
      <c r="W19" s="99"/>
      <c r="X19" s="99"/>
      <c r="Y19" s="99"/>
      <c r="Z19" s="99"/>
      <c r="AA19" s="99"/>
      <c r="AB19" s="99"/>
      <c r="AC19" s="99"/>
      <c r="AD19" s="99"/>
      <c r="AE19" s="100"/>
      <c r="AF19" s="95"/>
      <c r="AG19" s="96"/>
      <c r="AH19" s="96"/>
      <c r="AI19" s="97"/>
    </row>
    <row r="20" spans="1:35" ht="15" customHeight="1" x14ac:dyDescent="0.15">
      <c r="A20" s="56"/>
      <c r="B20" s="101"/>
      <c r="C20" s="102"/>
      <c r="D20" s="103"/>
      <c r="E20" s="104"/>
      <c r="F20" s="105"/>
      <c r="G20" s="101"/>
      <c r="H20" s="106"/>
      <c r="I20" s="102"/>
      <c r="J20" s="95"/>
      <c r="K20" s="96"/>
      <c r="L20" s="96"/>
      <c r="M20" s="96"/>
      <c r="N20" s="96"/>
      <c r="O20" s="96"/>
      <c r="P20" s="97"/>
      <c r="Q20" s="98"/>
      <c r="R20" s="99"/>
      <c r="S20" s="99"/>
      <c r="T20" s="99"/>
      <c r="U20" s="99"/>
      <c r="V20" s="99"/>
      <c r="W20" s="99"/>
      <c r="X20" s="99"/>
      <c r="Y20" s="99"/>
      <c r="Z20" s="99"/>
      <c r="AA20" s="99"/>
      <c r="AB20" s="99"/>
      <c r="AC20" s="99"/>
      <c r="AD20" s="99"/>
      <c r="AE20" s="100"/>
      <c r="AF20" s="95"/>
      <c r="AG20" s="96"/>
      <c r="AH20" s="96"/>
      <c r="AI20" s="97"/>
    </row>
    <row r="21" spans="1:35" ht="15" customHeight="1" x14ac:dyDescent="0.15">
      <c r="A21" s="56"/>
      <c r="B21" s="101"/>
      <c r="C21" s="102"/>
      <c r="D21" s="103"/>
      <c r="E21" s="104"/>
      <c r="F21" s="105"/>
      <c r="G21" s="101"/>
      <c r="H21" s="106"/>
      <c r="I21" s="102"/>
      <c r="J21" s="95"/>
      <c r="K21" s="96"/>
      <c r="L21" s="96"/>
      <c r="M21" s="96"/>
      <c r="N21" s="96"/>
      <c r="O21" s="96"/>
      <c r="P21" s="97"/>
      <c r="Q21" s="98"/>
      <c r="R21" s="99"/>
      <c r="S21" s="99"/>
      <c r="T21" s="99"/>
      <c r="U21" s="99"/>
      <c r="V21" s="99"/>
      <c r="W21" s="99"/>
      <c r="X21" s="99"/>
      <c r="Y21" s="99"/>
      <c r="Z21" s="99"/>
      <c r="AA21" s="99"/>
      <c r="AB21" s="99"/>
      <c r="AC21" s="99"/>
      <c r="AD21" s="99"/>
      <c r="AE21" s="100"/>
      <c r="AF21" s="95"/>
      <c r="AG21" s="96"/>
      <c r="AH21" s="96"/>
      <c r="AI21" s="97"/>
    </row>
    <row r="22" spans="1:35" ht="15" customHeight="1" x14ac:dyDescent="0.15">
      <c r="A22" s="56"/>
      <c r="B22" s="101"/>
      <c r="C22" s="102"/>
      <c r="D22" s="103"/>
      <c r="E22" s="104"/>
      <c r="F22" s="105"/>
      <c r="G22" s="101"/>
      <c r="H22" s="106"/>
      <c r="I22" s="102"/>
      <c r="J22" s="95"/>
      <c r="K22" s="96"/>
      <c r="L22" s="96"/>
      <c r="M22" s="96"/>
      <c r="N22" s="96"/>
      <c r="O22" s="96"/>
      <c r="P22" s="97"/>
      <c r="Q22" s="98"/>
      <c r="R22" s="99"/>
      <c r="S22" s="99"/>
      <c r="T22" s="99"/>
      <c r="U22" s="99"/>
      <c r="V22" s="99"/>
      <c r="W22" s="99"/>
      <c r="X22" s="99"/>
      <c r="Y22" s="99"/>
      <c r="Z22" s="99"/>
      <c r="AA22" s="99"/>
      <c r="AB22" s="99"/>
      <c r="AC22" s="99"/>
      <c r="AD22" s="99"/>
      <c r="AE22" s="100"/>
      <c r="AF22" s="95"/>
      <c r="AG22" s="96"/>
      <c r="AH22" s="96"/>
      <c r="AI22" s="97"/>
    </row>
    <row r="23" spans="1:35" ht="15" customHeight="1" x14ac:dyDescent="0.15">
      <c r="A23" s="56"/>
      <c r="B23" s="101"/>
      <c r="C23" s="102"/>
      <c r="D23" s="103"/>
      <c r="E23" s="104"/>
      <c r="F23" s="105"/>
      <c r="G23" s="101"/>
      <c r="H23" s="106"/>
      <c r="I23" s="102"/>
      <c r="J23" s="95"/>
      <c r="K23" s="96"/>
      <c r="L23" s="96"/>
      <c r="M23" s="96"/>
      <c r="N23" s="96"/>
      <c r="O23" s="96"/>
      <c r="P23" s="97"/>
      <c r="Q23" s="98"/>
      <c r="R23" s="99"/>
      <c r="S23" s="99"/>
      <c r="T23" s="99"/>
      <c r="U23" s="99"/>
      <c r="V23" s="99"/>
      <c r="W23" s="99"/>
      <c r="X23" s="99"/>
      <c r="Y23" s="99"/>
      <c r="Z23" s="99"/>
      <c r="AA23" s="99"/>
      <c r="AB23" s="99"/>
      <c r="AC23" s="99"/>
      <c r="AD23" s="99"/>
      <c r="AE23" s="100"/>
      <c r="AF23" s="95"/>
      <c r="AG23" s="96"/>
      <c r="AH23" s="96"/>
      <c r="AI23" s="97"/>
    </row>
    <row r="24" spans="1:35" ht="15" customHeight="1" x14ac:dyDescent="0.15">
      <c r="A24" s="56"/>
      <c r="B24" s="101"/>
      <c r="C24" s="102"/>
      <c r="D24" s="103"/>
      <c r="E24" s="104"/>
      <c r="F24" s="105"/>
      <c r="G24" s="101"/>
      <c r="H24" s="106"/>
      <c r="I24" s="102"/>
      <c r="J24" s="95"/>
      <c r="K24" s="96"/>
      <c r="L24" s="96"/>
      <c r="M24" s="96"/>
      <c r="N24" s="96"/>
      <c r="O24" s="96"/>
      <c r="P24" s="97"/>
      <c r="Q24" s="98"/>
      <c r="R24" s="99"/>
      <c r="S24" s="99"/>
      <c r="T24" s="99"/>
      <c r="U24" s="99"/>
      <c r="V24" s="99"/>
      <c r="W24" s="99"/>
      <c r="X24" s="99"/>
      <c r="Y24" s="99"/>
      <c r="Z24" s="99"/>
      <c r="AA24" s="99"/>
      <c r="AB24" s="99"/>
      <c r="AC24" s="99"/>
      <c r="AD24" s="99"/>
      <c r="AE24" s="100"/>
      <c r="AF24" s="95"/>
      <c r="AG24" s="96"/>
      <c r="AH24" s="96"/>
      <c r="AI24" s="97"/>
    </row>
    <row r="25" spans="1:35" ht="15" customHeight="1" x14ac:dyDescent="0.15">
      <c r="A25" s="56"/>
      <c r="B25" s="101"/>
      <c r="C25" s="102"/>
      <c r="D25" s="103"/>
      <c r="E25" s="104"/>
      <c r="F25" s="105"/>
      <c r="G25" s="101"/>
      <c r="H25" s="106"/>
      <c r="I25" s="102"/>
      <c r="J25" s="95"/>
      <c r="K25" s="96"/>
      <c r="L25" s="96"/>
      <c r="M25" s="96"/>
      <c r="N25" s="96"/>
      <c r="O25" s="96"/>
      <c r="P25" s="97"/>
      <c r="Q25" s="98"/>
      <c r="R25" s="99"/>
      <c r="S25" s="99"/>
      <c r="T25" s="99"/>
      <c r="U25" s="99"/>
      <c r="V25" s="99"/>
      <c r="W25" s="99"/>
      <c r="X25" s="99"/>
      <c r="Y25" s="99"/>
      <c r="Z25" s="99"/>
      <c r="AA25" s="99"/>
      <c r="AB25" s="99"/>
      <c r="AC25" s="99"/>
      <c r="AD25" s="99"/>
      <c r="AE25" s="100"/>
      <c r="AF25" s="95"/>
      <c r="AG25" s="96"/>
      <c r="AH25" s="96"/>
      <c r="AI25" s="97"/>
    </row>
    <row r="26" spans="1:35" ht="15" customHeight="1" x14ac:dyDescent="0.15">
      <c r="A26" s="56"/>
      <c r="B26" s="101"/>
      <c r="C26" s="102"/>
      <c r="D26" s="103"/>
      <c r="E26" s="104"/>
      <c r="F26" s="105"/>
      <c r="G26" s="101"/>
      <c r="H26" s="106"/>
      <c r="I26" s="102"/>
      <c r="J26" s="95"/>
      <c r="K26" s="96"/>
      <c r="L26" s="96"/>
      <c r="M26" s="96"/>
      <c r="N26" s="96"/>
      <c r="O26" s="96"/>
      <c r="P26" s="97"/>
      <c r="Q26" s="98"/>
      <c r="R26" s="99"/>
      <c r="S26" s="99"/>
      <c r="T26" s="99"/>
      <c r="U26" s="99"/>
      <c r="V26" s="99"/>
      <c r="W26" s="99"/>
      <c r="X26" s="99"/>
      <c r="Y26" s="99"/>
      <c r="Z26" s="99"/>
      <c r="AA26" s="99"/>
      <c r="AB26" s="99"/>
      <c r="AC26" s="99"/>
      <c r="AD26" s="99"/>
      <c r="AE26" s="100"/>
      <c r="AF26" s="95"/>
      <c r="AG26" s="96"/>
      <c r="AH26" s="96"/>
      <c r="AI26" s="97"/>
    </row>
    <row r="27" spans="1:35" ht="15" customHeight="1" x14ac:dyDescent="0.15">
      <c r="A27" s="56"/>
      <c r="B27" s="101"/>
      <c r="C27" s="102"/>
      <c r="D27" s="103"/>
      <c r="E27" s="104"/>
      <c r="F27" s="105"/>
      <c r="G27" s="101"/>
      <c r="H27" s="106"/>
      <c r="I27" s="102"/>
      <c r="J27" s="95"/>
      <c r="K27" s="96"/>
      <c r="L27" s="96"/>
      <c r="M27" s="96"/>
      <c r="N27" s="96"/>
      <c r="O27" s="96"/>
      <c r="P27" s="97"/>
      <c r="Q27" s="98"/>
      <c r="R27" s="99"/>
      <c r="S27" s="99"/>
      <c r="T27" s="99"/>
      <c r="U27" s="99"/>
      <c r="V27" s="99"/>
      <c r="W27" s="99"/>
      <c r="X27" s="99"/>
      <c r="Y27" s="99"/>
      <c r="Z27" s="99"/>
      <c r="AA27" s="99"/>
      <c r="AB27" s="99"/>
      <c r="AC27" s="99"/>
      <c r="AD27" s="99"/>
      <c r="AE27" s="100"/>
      <c r="AF27" s="95"/>
      <c r="AG27" s="96"/>
      <c r="AH27" s="96"/>
      <c r="AI27" s="97"/>
    </row>
    <row r="28" spans="1:35" ht="15" customHeight="1" x14ac:dyDescent="0.15">
      <c r="A28" s="56"/>
      <c r="B28" s="101"/>
      <c r="C28" s="102"/>
      <c r="D28" s="103"/>
      <c r="E28" s="104"/>
      <c r="F28" s="105"/>
      <c r="G28" s="101"/>
      <c r="H28" s="106"/>
      <c r="I28" s="102"/>
      <c r="J28" s="95"/>
      <c r="K28" s="96"/>
      <c r="L28" s="96"/>
      <c r="M28" s="96"/>
      <c r="N28" s="96"/>
      <c r="O28" s="96"/>
      <c r="P28" s="97"/>
      <c r="Q28" s="98"/>
      <c r="R28" s="99"/>
      <c r="S28" s="99"/>
      <c r="T28" s="99"/>
      <c r="U28" s="99"/>
      <c r="V28" s="99"/>
      <c r="W28" s="99"/>
      <c r="X28" s="99"/>
      <c r="Y28" s="99"/>
      <c r="Z28" s="99"/>
      <c r="AA28" s="99"/>
      <c r="AB28" s="99"/>
      <c r="AC28" s="99"/>
      <c r="AD28" s="99"/>
      <c r="AE28" s="100"/>
      <c r="AF28" s="95"/>
      <c r="AG28" s="96"/>
      <c r="AH28" s="96"/>
      <c r="AI28" s="97"/>
    </row>
    <row r="29" spans="1:35" ht="15" customHeight="1" x14ac:dyDescent="0.15">
      <c r="A29" s="56"/>
      <c r="B29" s="101"/>
      <c r="C29" s="102"/>
      <c r="D29" s="103"/>
      <c r="E29" s="104"/>
      <c r="F29" s="105"/>
      <c r="G29" s="101"/>
      <c r="H29" s="106"/>
      <c r="I29" s="102"/>
      <c r="J29" s="95"/>
      <c r="K29" s="96"/>
      <c r="L29" s="96"/>
      <c r="M29" s="96"/>
      <c r="N29" s="96"/>
      <c r="O29" s="96"/>
      <c r="P29" s="97"/>
      <c r="Q29" s="98"/>
      <c r="R29" s="99"/>
      <c r="S29" s="99"/>
      <c r="T29" s="99"/>
      <c r="U29" s="99"/>
      <c r="V29" s="99"/>
      <c r="W29" s="99"/>
      <c r="X29" s="99"/>
      <c r="Y29" s="99"/>
      <c r="Z29" s="99"/>
      <c r="AA29" s="99"/>
      <c r="AB29" s="99"/>
      <c r="AC29" s="99"/>
      <c r="AD29" s="99"/>
      <c r="AE29" s="100"/>
      <c r="AF29" s="95"/>
      <c r="AG29" s="96"/>
      <c r="AH29" s="96"/>
      <c r="AI29" s="97"/>
    </row>
    <row r="30" spans="1:35" ht="15" customHeight="1" x14ac:dyDescent="0.15">
      <c r="A30" s="56"/>
      <c r="B30" s="101"/>
      <c r="C30" s="102"/>
      <c r="D30" s="103"/>
      <c r="E30" s="104"/>
      <c r="F30" s="105"/>
      <c r="G30" s="101"/>
      <c r="H30" s="106"/>
      <c r="I30" s="102"/>
      <c r="J30" s="95"/>
      <c r="K30" s="96"/>
      <c r="L30" s="96"/>
      <c r="M30" s="96"/>
      <c r="N30" s="96"/>
      <c r="O30" s="96"/>
      <c r="P30" s="97"/>
      <c r="Q30" s="98"/>
      <c r="R30" s="99"/>
      <c r="S30" s="99"/>
      <c r="T30" s="99"/>
      <c r="U30" s="99"/>
      <c r="V30" s="99"/>
      <c r="W30" s="99"/>
      <c r="X30" s="99"/>
      <c r="Y30" s="99"/>
      <c r="Z30" s="99"/>
      <c r="AA30" s="99"/>
      <c r="AB30" s="99"/>
      <c r="AC30" s="99"/>
      <c r="AD30" s="99"/>
      <c r="AE30" s="100"/>
      <c r="AF30" s="95"/>
      <c r="AG30" s="96"/>
      <c r="AH30" s="96"/>
      <c r="AI30" s="97"/>
    </row>
    <row r="31" spans="1:35" ht="15" customHeight="1" x14ac:dyDescent="0.15">
      <c r="A31" s="56"/>
      <c r="B31" s="101"/>
      <c r="C31" s="102"/>
      <c r="D31" s="103"/>
      <c r="E31" s="104"/>
      <c r="F31" s="105"/>
      <c r="G31" s="101"/>
      <c r="H31" s="106"/>
      <c r="I31" s="102"/>
      <c r="J31" s="95"/>
      <c r="K31" s="96"/>
      <c r="L31" s="96"/>
      <c r="M31" s="96"/>
      <c r="N31" s="96"/>
      <c r="O31" s="96"/>
      <c r="P31" s="97"/>
      <c r="Q31" s="98"/>
      <c r="R31" s="99"/>
      <c r="S31" s="99"/>
      <c r="T31" s="99"/>
      <c r="U31" s="99"/>
      <c r="V31" s="99"/>
      <c r="W31" s="99"/>
      <c r="X31" s="99"/>
      <c r="Y31" s="99"/>
      <c r="Z31" s="99"/>
      <c r="AA31" s="99"/>
      <c r="AB31" s="99"/>
      <c r="AC31" s="99"/>
      <c r="AD31" s="99"/>
      <c r="AE31" s="100"/>
      <c r="AF31" s="95"/>
      <c r="AG31" s="96"/>
      <c r="AH31" s="96"/>
      <c r="AI31" s="97"/>
    </row>
    <row r="32" spans="1:35" ht="15" customHeight="1" x14ac:dyDescent="0.15">
      <c r="A32" s="56"/>
      <c r="B32" s="101"/>
      <c r="C32" s="102"/>
      <c r="D32" s="103"/>
      <c r="E32" s="104"/>
      <c r="F32" s="105"/>
      <c r="G32" s="101"/>
      <c r="H32" s="106"/>
      <c r="I32" s="102"/>
      <c r="J32" s="95"/>
      <c r="K32" s="96"/>
      <c r="L32" s="96"/>
      <c r="M32" s="96"/>
      <c r="N32" s="96"/>
      <c r="O32" s="96"/>
      <c r="P32" s="97"/>
      <c r="Q32" s="98"/>
      <c r="R32" s="99"/>
      <c r="S32" s="99"/>
      <c r="T32" s="99"/>
      <c r="U32" s="99"/>
      <c r="V32" s="99"/>
      <c r="W32" s="99"/>
      <c r="X32" s="99"/>
      <c r="Y32" s="99"/>
      <c r="Z32" s="99"/>
      <c r="AA32" s="99"/>
      <c r="AB32" s="99"/>
      <c r="AC32" s="99"/>
      <c r="AD32" s="99"/>
      <c r="AE32" s="100"/>
      <c r="AF32" s="95"/>
      <c r="AG32" s="96"/>
      <c r="AH32" s="96"/>
      <c r="AI32" s="97"/>
    </row>
    <row r="33" spans="1:40" ht="15" customHeight="1" x14ac:dyDescent="0.15">
      <c r="A33" s="56"/>
      <c r="B33" s="101"/>
      <c r="C33" s="102"/>
      <c r="D33" s="103"/>
      <c r="E33" s="104"/>
      <c r="F33" s="105"/>
      <c r="G33" s="101"/>
      <c r="H33" s="106"/>
      <c r="I33" s="102"/>
      <c r="J33" s="95"/>
      <c r="K33" s="96"/>
      <c r="L33" s="96"/>
      <c r="M33" s="96"/>
      <c r="N33" s="96"/>
      <c r="O33" s="96"/>
      <c r="P33" s="97"/>
      <c r="Q33" s="98"/>
      <c r="R33" s="99"/>
      <c r="S33" s="99"/>
      <c r="T33" s="99"/>
      <c r="U33" s="99"/>
      <c r="V33" s="99"/>
      <c r="W33" s="99"/>
      <c r="X33" s="99"/>
      <c r="Y33" s="99"/>
      <c r="Z33" s="99"/>
      <c r="AA33" s="99"/>
      <c r="AB33" s="99"/>
      <c r="AC33" s="99"/>
      <c r="AD33" s="99"/>
      <c r="AE33" s="100"/>
      <c r="AF33" s="95"/>
      <c r="AG33" s="96"/>
      <c r="AH33" s="96"/>
      <c r="AI33" s="97"/>
      <c r="AJ33" s="41"/>
      <c r="AK33" s="41"/>
      <c r="AL33" s="41"/>
      <c r="AM33" s="41"/>
      <c r="AN33" s="41"/>
    </row>
  </sheetData>
  <mergeCells count="179">
    <mergeCell ref="B7:C7"/>
    <mergeCell ref="D7:F7"/>
    <mergeCell ref="G7:I7"/>
    <mergeCell ref="J7:P7"/>
    <mergeCell ref="Q7:AE7"/>
    <mergeCell ref="AF7:AI7"/>
    <mergeCell ref="J10:P10"/>
    <mergeCell ref="Q10:AE10"/>
    <mergeCell ref="AF10:AI10"/>
    <mergeCell ref="D10:F10"/>
    <mergeCell ref="D11:F11"/>
    <mergeCell ref="D12:F12"/>
    <mergeCell ref="D13:F13"/>
    <mergeCell ref="B9:C9"/>
    <mergeCell ref="B10:C10"/>
    <mergeCell ref="D9:F9"/>
    <mergeCell ref="G9:I9"/>
    <mergeCell ref="G10:I10"/>
    <mergeCell ref="B31:C31"/>
    <mergeCell ref="D15:F15"/>
    <mergeCell ref="G15:I15"/>
    <mergeCell ref="B16:C16"/>
    <mergeCell ref="D16:F16"/>
    <mergeCell ref="B11:C11"/>
    <mergeCell ref="B13:C13"/>
    <mergeCell ref="B15:C15"/>
    <mergeCell ref="B12:C12"/>
    <mergeCell ref="G12:I12"/>
    <mergeCell ref="B14:C14"/>
    <mergeCell ref="D14:F14"/>
    <mergeCell ref="G14:I14"/>
    <mergeCell ref="B26:C26"/>
    <mergeCell ref="B27:C27"/>
    <mergeCell ref="B28:C28"/>
    <mergeCell ref="B29:C29"/>
    <mergeCell ref="B22:C22"/>
    <mergeCell ref="B23:C23"/>
    <mergeCell ref="B24:C24"/>
    <mergeCell ref="B25:C25"/>
    <mergeCell ref="B30:C30"/>
    <mergeCell ref="G11:I11"/>
    <mergeCell ref="J11:P11"/>
    <mergeCell ref="Q11:AE11"/>
    <mergeCell ref="D23:F23"/>
    <mergeCell ref="G20:I20"/>
    <mergeCell ref="J19:P19"/>
    <mergeCell ref="Q19:AE19"/>
    <mergeCell ref="B17:C17"/>
    <mergeCell ref="D17:F17"/>
    <mergeCell ref="B19:C19"/>
    <mergeCell ref="D19:F19"/>
    <mergeCell ref="G19:I19"/>
    <mergeCell ref="B20:C20"/>
    <mergeCell ref="D20:F20"/>
    <mergeCell ref="B21:C21"/>
    <mergeCell ref="D21:F21"/>
    <mergeCell ref="G21:I21"/>
    <mergeCell ref="G23:I23"/>
    <mergeCell ref="AF11:AI11"/>
    <mergeCell ref="J12:P12"/>
    <mergeCell ref="Q12:AE12"/>
    <mergeCell ref="AF12:AI12"/>
    <mergeCell ref="J13:P13"/>
    <mergeCell ref="Q13:AE13"/>
    <mergeCell ref="AF13:AI13"/>
    <mergeCell ref="G13:I13"/>
    <mergeCell ref="Q18:AE18"/>
    <mergeCell ref="AF18:AI18"/>
    <mergeCell ref="G16:I16"/>
    <mergeCell ref="G17:I17"/>
    <mergeCell ref="J18:P18"/>
    <mergeCell ref="Q14:AE14"/>
    <mergeCell ref="AF19:AI19"/>
    <mergeCell ref="J20:P20"/>
    <mergeCell ref="Q20:AE20"/>
    <mergeCell ref="AF20:AI20"/>
    <mergeCell ref="J21:P21"/>
    <mergeCell ref="Q21:AE21"/>
    <mergeCell ref="AF21:AI21"/>
    <mergeCell ref="J22:P22"/>
    <mergeCell ref="Q22:AE22"/>
    <mergeCell ref="AF22:AI22"/>
    <mergeCell ref="D22:F22"/>
    <mergeCell ref="G22:I22"/>
    <mergeCell ref="B18:C18"/>
    <mergeCell ref="D18:F18"/>
    <mergeCell ref="G18:I18"/>
    <mergeCell ref="AC3:AF3"/>
    <mergeCell ref="AG3:AI3"/>
    <mergeCell ref="AG1:AI1"/>
    <mergeCell ref="AC2:AF2"/>
    <mergeCell ref="AG2:AI2"/>
    <mergeCell ref="AC1:AF1"/>
    <mergeCell ref="E1:N1"/>
    <mergeCell ref="E2:N2"/>
    <mergeCell ref="AF8:AI8"/>
    <mergeCell ref="AF9:AI9"/>
    <mergeCell ref="AF14:AI14"/>
    <mergeCell ref="AF15:AI15"/>
    <mergeCell ref="J16:P16"/>
    <mergeCell ref="Q16:AE16"/>
    <mergeCell ref="AF16:AI16"/>
    <mergeCell ref="J17:P17"/>
    <mergeCell ref="Q17:AE17"/>
    <mergeCell ref="AF17:AI17"/>
    <mergeCell ref="J14:P14"/>
    <mergeCell ref="D31:F31"/>
    <mergeCell ref="G31:I31"/>
    <mergeCell ref="D30:F30"/>
    <mergeCell ref="G30:I30"/>
    <mergeCell ref="D29:F29"/>
    <mergeCell ref="G29:I29"/>
    <mergeCell ref="D27:F27"/>
    <mergeCell ref="G27:I27"/>
    <mergeCell ref="D28:F28"/>
    <mergeCell ref="G28:I28"/>
    <mergeCell ref="D26:F26"/>
    <mergeCell ref="G26:I26"/>
    <mergeCell ref="D25:F25"/>
    <mergeCell ref="G25:I25"/>
    <mergeCell ref="D24:F24"/>
    <mergeCell ref="G24:I24"/>
    <mergeCell ref="A1:D1"/>
    <mergeCell ref="O1:R3"/>
    <mergeCell ref="AA1:AB1"/>
    <mergeCell ref="A2:D2"/>
    <mergeCell ref="AA2:AB2"/>
    <mergeCell ref="A3:D3"/>
    <mergeCell ref="AA3:AB3"/>
    <mergeCell ref="S1:Z3"/>
    <mergeCell ref="E3:N3"/>
    <mergeCell ref="B8:C8"/>
    <mergeCell ref="D8:F8"/>
    <mergeCell ref="G8:I8"/>
    <mergeCell ref="J8:P8"/>
    <mergeCell ref="Q8:AE8"/>
    <mergeCell ref="J9:P9"/>
    <mergeCell ref="Q9:AE9"/>
    <mergeCell ref="J15:P15"/>
    <mergeCell ref="Q15:AE15"/>
    <mergeCell ref="J23:P23"/>
    <mergeCell ref="Q23:AE23"/>
    <mergeCell ref="AF23:AI23"/>
    <mergeCell ref="J24:P24"/>
    <mergeCell ref="Q24:AE24"/>
    <mergeCell ref="AF24:AI24"/>
    <mergeCell ref="J25:P25"/>
    <mergeCell ref="Q25:AE25"/>
    <mergeCell ref="AF25:AI25"/>
    <mergeCell ref="J26:P26"/>
    <mergeCell ref="Q26:AE26"/>
    <mergeCell ref="AF26:AI26"/>
    <mergeCell ref="J27:P27"/>
    <mergeCell ref="Q27:AE27"/>
    <mergeCell ref="AF27:AI27"/>
    <mergeCell ref="J28:P28"/>
    <mergeCell ref="Q28:AE28"/>
    <mergeCell ref="AF28:AI28"/>
    <mergeCell ref="J29:P29"/>
    <mergeCell ref="Q29:AE29"/>
    <mergeCell ref="AF29:AI29"/>
    <mergeCell ref="J30:P30"/>
    <mergeCell ref="Q30:AE30"/>
    <mergeCell ref="AF30:AI30"/>
    <mergeCell ref="J31:P31"/>
    <mergeCell ref="Q31:AE31"/>
    <mergeCell ref="AF31:AI31"/>
    <mergeCell ref="J32:P32"/>
    <mergeCell ref="Q32:AE32"/>
    <mergeCell ref="AF32:AI32"/>
    <mergeCell ref="B33:C33"/>
    <mergeCell ref="D33:F33"/>
    <mergeCell ref="G33:I33"/>
    <mergeCell ref="J33:P33"/>
    <mergeCell ref="Q33:AE33"/>
    <mergeCell ref="AF33:AI33"/>
    <mergeCell ref="D32:F32"/>
    <mergeCell ref="G32:I32"/>
    <mergeCell ref="B32:C32"/>
  </mergeCells>
  <phoneticPr fontId="4"/>
  <printOptions horizontalCentered="1"/>
  <pageMargins left="0.39370078740157477" right="0.39370078740157477" top="0.39370078740157477" bottom="0.39370078740157477" header="0.19685039370078738" footer="0.19685039370078738"/>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4">
    <pageSetUpPr fitToPage="1"/>
  </sheetPr>
  <dimension ref="A1:AW110"/>
  <sheetViews>
    <sheetView showGridLines="0" view="pageBreakPreview" zoomScaleNormal="100" zoomScaleSheetLayoutView="100" workbookViewId="0">
      <selection sqref="A1:D1"/>
    </sheetView>
  </sheetViews>
  <sheetFormatPr defaultColWidth="4.83203125" defaultRowHeight="15" customHeight="1" x14ac:dyDescent="0.15"/>
  <cols>
    <col min="1" max="16" width="4.83203125" style="3" customWidth="1"/>
    <col min="17" max="17" width="4.83203125" style="2" customWidth="1"/>
    <col min="18" max="33" width="4.83203125" style="3" customWidth="1"/>
    <col min="34" max="34" width="4.83203125" style="2" customWidth="1"/>
    <col min="35" max="16384" width="4.83203125" style="3"/>
  </cols>
  <sheetData>
    <row r="1" spans="1:49" s="13" customFormat="1" ht="12" customHeight="1" x14ac:dyDescent="0.15">
      <c r="A1" s="107" t="s">
        <v>225</v>
      </c>
      <c r="B1" s="108"/>
      <c r="C1" s="108"/>
      <c r="D1" s="109"/>
      <c r="E1" s="128" t="str">
        <f ca="1">IF(INDIRECT("変更履歴!E1")&lt;&gt;"",INDIRECT("変更履歴!E1"),"")</f>
        <v>サンプルプロジェクト</v>
      </c>
      <c r="F1" s="129"/>
      <c r="G1" s="129"/>
      <c r="H1" s="129"/>
      <c r="I1" s="129"/>
      <c r="J1" s="129"/>
      <c r="K1" s="129"/>
      <c r="L1" s="129"/>
      <c r="M1" s="129"/>
      <c r="N1" s="130"/>
      <c r="O1" s="110" t="s">
        <v>236</v>
      </c>
      <c r="P1" s="111"/>
      <c r="Q1" s="111"/>
      <c r="R1" s="112"/>
      <c r="S1" s="160" t="str">
        <f ca="1">IF(INDIRECT("変更履歴!S1")&lt;&gt;"",INDIRECT("変更履歴!S1"),"")</f>
        <v>単体テスト標準</v>
      </c>
      <c r="T1" s="161"/>
      <c r="U1" s="161"/>
      <c r="V1" s="161"/>
      <c r="W1" s="161"/>
      <c r="X1" s="161"/>
      <c r="Y1" s="161"/>
      <c r="Z1" s="162"/>
      <c r="AA1" s="107" t="s">
        <v>232</v>
      </c>
      <c r="AB1" s="109"/>
      <c r="AC1" s="146" t="str">
        <f ca="1">IF(INDIRECT("変更履歴!AC1")&lt;&gt;"",INDIRECT("変更履歴!AC1"),"")</f>
        <v>TIS</v>
      </c>
      <c r="AD1" s="147"/>
      <c r="AE1" s="147"/>
      <c r="AF1" s="148"/>
      <c r="AG1" s="149">
        <f ca="1">IF(INDIRECT("変更履歴!AG1")&lt;&gt;"",INDIRECT("変更履歴!AG1"),"")</f>
        <v>45061</v>
      </c>
      <c r="AH1" s="150"/>
      <c r="AI1" s="151"/>
      <c r="AJ1" s="37"/>
      <c r="AK1" s="37"/>
      <c r="AL1" s="37"/>
      <c r="AM1" s="38"/>
      <c r="AN1" s="36"/>
      <c r="AO1" s="36"/>
      <c r="AP1" s="36"/>
      <c r="AQ1" s="36"/>
      <c r="AR1" s="36"/>
      <c r="AS1" s="36"/>
      <c r="AT1" s="36"/>
      <c r="AU1" s="36"/>
      <c r="AV1" s="36"/>
      <c r="AW1" s="36"/>
    </row>
    <row r="2" spans="1:49" s="13" customFormat="1" ht="12" customHeight="1" x14ac:dyDescent="0.15">
      <c r="A2" s="107" t="s">
        <v>228</v>
      </c>
      <c r="B2" s="108"/>
      <c r="C2" s="108"/>
      <c r="D2" s="109"/>
      <c r="E2" s="128" t="str">
        <f ca="1">IF(INDIRECT("変更履歴!E2")&lt;&gt;"",INDIRECT("変更履歴!E2"),"")</f>
        <v>サンプルシステム</v>
      </c>
      <c r="F2" s="129"/>
      <c r="G2" s="129"/>
      <c r="H2" s="129"/>
      <c r="I2" s="129"/>
      <c r="J2" s="129"/>
      <c r="K2" s="129"/>
      <c r="L2" s="129"/>
      <c r="M2" s="129"/>
      <c r="N2" s="130"/>
      <c r="O2" s="113"/>
      <c r="P2" s="114"/>
      <c r="Q2" s="114"/>
      <c r="R2" s="115"/>
      <c r="S2" s="163"/>
      <c r="T2" s="164"/>
      <c r="U2" s="164"/>
      <c r="V2" s="164"/>
      <c r="W2" s="164"/>
      <c r="X2" s="164"/>
      <c r="Y2" s="164"/>
      <c r="Z2" s="165"/>
      <c r="AA2" s="107" t="s">
        <v>233</v>
      </c>
      <c r="AB2" s="109"/>
      <c r="AC2" s="146" t="str">
        <f ca="1">IF(INDIRECT("変更履歴!AC2")&lt;&gt;"",INDIRECT("変更履歴!AC2"),"")</f>
        <v/>
      </c>
      <c r="AD2" s="147"/>
      <c r="AE2" s="147"/>
      <c r="AF2" s="148"/>
      <c r="AG2" s="149" t="str">
        <f ca="1">IF(INDIRECT("変更履歴!AG2")&lt;&gt;"",INDIRECT("変更履歴!AG2"),"")</f>
        <v/>
      </c>
      <c r="AH2" s="150"/>
      <c r="AI2" s="151"/>
      <c r="AJ2" s="37"/>
      <c r="AK2" s="37"/>
      <c r="AL2" s="37"/>
      <c r="AM2" s="37"/>
      <c r="AN2" s="36"/>
      <c r="AO2" s="36"/>
      <c r="AP2" s="36"/>
      <c r="AQ2" s="36"/>
      <c r="AR2" s="36"/>
      <c r="AS2" s="36"/>
      <c r="AT2" s="36"/>
      <c r="AU2" s="36"/>
      <c r="AV2" s="36"/>
      <c r="AW2" s="36"/>
    </row>
    <row r="3" spans="1:49" s="13" customFormat="1" ht="12" customHeight="1" x14ac:dyDescent="0.15">
      <c r="A3" s="107" t="s">
        <v>230</v>
      </c>
      <c r="B3" s="108"/>
      <c r="C3" s="108"/>
      <c r="D3" s="109"/>
      <c r="E3" s="128" t="str">
        <f ca="1">IF(INDIRECT("変更履歴!E3")&lt;&gt;"",INDIRECT("変更履歴!E3"),"")</f>
        <v/>
      </c>
      <c r="F3" s="129"/>
      <c r="G3" s="129"/>
      <c r="H3" s="129"/>
      <c r="I3" s="129"/>
      <c r="J3" s="129"/>
      <c r="K3" s="129"/>
      <c r="L3" s="129"/>
      <c r="M3" s="129"/>
      <c r="N3" s="130"/>
      <c r="O3" s="116"/>
      <c r="P3" s="117"/>
      <c r="Q3" s="117"/>
      <c r="R3" s="118"/>
      <c r="S3" s="166"/>
      <c r="T3" s="167"/>
      <c r="U3" s="167"/>
      <c r="V3" s="167"/>
      <c r="W3" s="167"/>
      <c r="X3" s="167"/>
      <c r="Y3" s="167"/>
      <c r="Z3" s="168"/>
      <c r="AA3" s="107"/>
      <c r="AB3" s="109"/>
      <c r="AC3" s="146" t="str">
        <f ca="1">IF(INDIRECT("変更履歴!AC3")&lt;&gt;"",INDIRECT("変更履歴!AC3"),"")</f>
        <v/>
      </c>
      <c r="AD3" s="147"/>
      <c r="AE3" s="147"/>
      <c r="AF3" s="148"/>
      <c r="AG3" s="149" t="str">
        <f ca="1">IF(INDIRECT("変更履歴!AG3")&lt;&gt;"",INDIRECT("変更履歴!AG3"),"")</f>
        <v/>
      </c>
      <c r="AH3" s="150"/>
      <c r="AI3" s="151"/>
      <c r="AJ3" s="37"/>
      <c r="AK3" s="37"/>
      <c r="AL3" s="37"/>
      <c r="AM3" s="37"/>
      <c r="AN3" s="36"/>
      <c r="AO3" s="36"/>
      <c r="AP3" s="36"/>
      <c r="AQ3" s="36"/>
      <c r="AR3" s="36"/>
      <c r="AS3" s="36"/>
      <c r="AT3" s="36"/>
      <c r="AU3" s="36"/>
      <c r="AV3" s="36"/>
      <c r="AW3" s="36"/>
    </row>
    <row r="4" spans="1:49" s="13" customFormat="1" ht="11.25" x14ac:dyDescent="0.15">
      <c r="A4" s="36"/>
      <c r="B4" s="36"/>
      <c r="C4" s="36"/>
      <c r="D4" s="36"/>
      <c r="E4" s="36"/>
      <c r="F4" s="36"/>
      <c r="G4" s="36"/>
      <c r="H4" s="36"/>
      <c r="I4" s="36"/>
      <c r="J4" s="36"/>
      <c r="K4" s="36"/>
      <c r="L4" s="36"/>
      <c r="M4" s="36"/>
      <c r="N4" s="36"/>
      <c r="O4" s="36"/>
      <c r="P4" s="36"/>
      <c r="Q4" s="36"/>
      <c r="R4" s="36"/>
      <c r="S4" s="36"/>
      <c r="T4" s="36"/>
      <c r="U4" s="36"/>
      <c r="V4" s="36"/>
      <c r="W4" s="36"/>
      <c r="X4" s="36"/>
      <c r="Y4" s="36"/>
      <c r="Z4" s="36"/>
      <c r="AA4" s="1"/>
      <c r="AB4" s="1"/>
      <c r="AC4" s="40"/>
      <c r="AD4" s="1"/>
      <c r="AE4" s="1"/>
      <c r="AF4" s="1"/>
      <c r="AG4" s="1"/>
      <c r="AH4" s="1"/>
      <c r="AI4" s="1"/>
      <c r="AJ4" s="36"/>
      <c r="AK4" s="36"/>
      <c r="AL4" s="36"/>
      <c r="AM4" s="36"/>
      <c r="AN4" s="36"/>
      <c r="AO4" s="36"/>
      <c r="AP4" s="36"/>
      <c r="AQ4" s="36"/>
      <c r="AR4" s="36"/>
      <c r="AS4" s="36"/>
      <c r="AT4" s="36"/>
      <c r="AU4" s="36"/>
      <c r="AV4" s="36"/>
      <c r="AW4" s="36"/>
    </row>
    <row r="5" spans="1:49" s="13" customFormat="1" ht="17.25" x14ac:dyDescent="0.2">
      <c r="A5" s="36"/>
      <c r="B5" s="36"/>
      <c r="C5" s="36"/>
      <c r="D5" s="36"/>
      <c r="E5" s="36"/>
      <c r="F5" s="36"/>
      <c r="G5" s="36"/>
      <c r="H5" s="36"/>
      <c r="I5" s="36"/>
      <c r="J5" s="36"/>
      <c r="K5" s="36"/>
      <c r="L5" s="36"/>
      <c r="M5" s="36"/>
      <c r="P5" s="36"/>
      <c r="Q5" s="61" t="s">
        <v>260</v>
      </c>
      <c r="R5" s="36"/>
      <c r="S5" s="36"/>
      <c r="T5" s="36"/>
      <c r="U5" s="36"/>
      <c r="V5" s="36"/>
      <c r="W5" s="36"/>
      <c r="X5" s="36"/>
      <c r="Y5" s="36"/>
      <c r="Z5" s="36"/>
      <c r="AA5" s="1"/>
      <c r="AB5" s="1"/>
      <c r="AC5" s="40"/>
      <c r="AD5" s="1"/>
      <c r="AE5" s="1"/>
      <c r="AF5" s="1"/>
      <c r="AG5" s="1"/>
      <c r="AH5" s="1"/>
      <c r="AI5" s="1"/>
      <c r="AJ5" s="36"/>
      <c r="AK5" s="36"/>
      <c r="AL5" s="36"/>
      <c r="AM5" s="36"/>
      <c r="AN5" s="36"/>
      <c r="AO5" s="36"/>
      <c r="AP5" s="36"/>
      <c r="AQ5" s="36"/>
      <c r="AR5" s="36"/>
      <c r="AS5" s="36"/>
      <c r="AT5" s="36"/>
      <c r="AU5" s="36"/>
      <c r="AV5" s="36"/>
      <c r="AW5" s="36"/>
    </row>
    <row r="6" spans="1:49" s="13" customFormat="1" ht="17.25" x14ac:dyDescent="0.2">
      <c r="A6" s="36"/>
      <c r="B6" s="36"/>
      <c r="C6" s="36"/>
      <c r="D6" s="36"/>
      <c r="E6" s="36"/>
      <c r="F6" s="36"/>
      <c r="G6" s="36"/>
      <c r="H6" s="36"/>
      <c r="I6" s="36"/>
      <c r="J6" s="36"/>
      <c r="K6" s="36"/>
      <c r="L6" s="36"/>
      <c r="M6" s="36"/>
      <c r="N6" s="6"/>
      <c r="O6" s="1"/>
      <c r="P6" s="36"/>
      <c r="Q6" s="36"/>
      <c r="R6" s="36"/>
      <c r="S6" s="36"/>
      <c r="T6" s="36"/>
      <c r="U6" s="36"/>
      <c r="V6" s="36"/>
      <c r="W6" s="36"/>
      <c r="X6" s="36"/>
      <c r="Y6" s="36"/>
      <c r="Z6" s="36"/>
      <c r="AA6" s="1"/>
      <c r="AB6" s="1"/>
      <c r="AC6" s="40"/>
      <c r="AD6" s="1"/>
      <c r="AE6" s="1"/>
      <c r="AF6" s="1"/>
      <c r="AG6" s="1"/>
      <c r="AH6" s="1"/>
      <c r="AI6" s="1"/>
      <c r="AJ6" s="36"/>
      <c r="AK6" s="36"/>
      <c r="AL6" s="36"/>
      <c r="AM6" s="36"/>
      <c r="AN6" s="36"/>
      <c r="AO6" s="36"/>
      <c r="AP6" s="36"/>
      <c r="AQ6" s="36"/>
      <c r="AR6" s="36"/>
      <c r="AS6" s="36"/>
      <c r="AT6" s="36"/>
      <c r="AU6" s="36"/>
      <c r="AV6" s="36"/>
      <c r="AW6" s="36"/>
    </row>
    <row r="7" spans="1:49" s="19" customFormat="1" ht="11.25" x14ac:dyDescent="0.15">
      <c r="A7" s="1"/>
      <c r="B7" s="24" t="s">
        <v>237</v>
      </c>
      <c r="C7" s="24"/>
      <c r="D7" s="1"/>
      <c r="E7" s="1"/>
      <c r="F7" s="1"/>
      <c r="G7" s="1"/>
      <c r="H7" s="1"/>
      <c r="I7" s="1"/>
      <c r="J7" s="1"/>
      <c r="K7" s="1"/>
      <c r="L7" s="1"/>
      <c r="M7" s="1"/>
      <c r="N7" s="41"/>
      <c r="O7" s="41"/>
      <c r="P7" s="15"/>
      <c r="Q7" s="57"/>
      <c r="R7" s="1"/>
      <c r="S7" s="24" t="s">
        <v>335</v>
      </c>
      <c r="U7" s="59"/>
      <c r="V7" s="59"/>
      <c r="W7" s="41"/>
      <c r="X7" s="41"/>
      <c r="Y7" s="41"/>
      <c r="Z7" s="41"/>
      <c r="AA7" s="41"/>
      <c r="AB7" s="41"/>
      <c r="AC7" s="41"/>
      <c r="AD7" s="41"/>
      <c r="AE7" s="41"/>
      <c r="AF7" s="41"/>
      <c r="AG7" s="41"/>
      <c r="AH7" s="15"/>
      <c r="AI7" s="40"/>
      <c r="AJ7" s="41"/>
      <c r="AK7" s="41"/>
      <c r="AL7" s="41"/>
      <c r="AM7" s="41"/>
      <c r="AN7" s="41"/>
      <c r="AO7" s="41"/>
      <c r="AP7" s="41"/>
      <c r="AQ7" s="41"/>
      <c r="AR7" s="41"/>
      <c r="AS7" s="41"/>
      <c r="AT7" s="41"/>
      <c r="AU7" s="41"/>
      <c r="AV7" s="41"/>
      <c r="AW7" s="41"/>
    </row>
    <row r="8" spans="1:49" s="19" customFormat="1" ht="11.25" x14ac:dyDescent="0.15">
      <c r="A8" s="1"/>
      <c r="C8" s="58" t="s">
        <v>239</v>
      </c>
      <c r="D8" s="1"/>
      <c r="E8" s="1"/>
      <c r="F8" s="1"/>
      <c r="G8" s="1"/>
      <c r="H8" s="1"/>
      <c r="I8" s="1"/>
      <c r="J8" s="1"/>
      <c r="K8" s="1"/>
      <c r="L8" s="1"/>
      <c r="M8" s="1"/>
      <c r="N8" s="41"/>
      <c r="O8" s="41"/>
      <c r="P8" s="15"/>
      <c r="Q8" s="57"/>
      <c r="R8" s="1"/>
      <c r="T8" s="58" t="s">
        <v>336</v>
      </c>
      <c r="U8" s="59"/>
      <c r="V8" s="31"/>
      <c r="W8" s="41"/>
      <c r="X8" s="41"/>
      <c r="Y8" s="41"/>
      <c r="Z8" s="41"/>
      <c r="AA8" s="41"/>
      <c r="AB8" s="41"/>
      <c r="AC8" s="41"/>
      <c r="AD8" s="41"/>
      <c r="AE8" s="41"/>
      <c r="AF8" s="41"/>
      <c r="AG8" s="15"/>
      <c r="AH8" s="40"/>
      <c r="AI8" s="41"/>
      <c r="AJ8" s="41"/>
      <c r="AK8" s="41"/>
      <c r="AL8" s="41"/>
      <c r="AM8" s="41"/>
      <c r="AN8" s="41"/>
      <c r="AO8" s="41"/>
      <c r="AP8" s="41"/>
      <c r="AQ8" s="41"/>
      <c r="AR8" s="41"/>
      <c r="AS8" s="41"/>
      <c r="AT8" s="41"/>
      <c r="AU8" s="41"/>
      <c r="AV8" s="41"/>
      <c r="AW8" s="41"/>
    </row>
    <row r="9" spans="1:49" s="19" customFormat="1" ht="11.25" x14ac:dyDescent="0.15">
      <c r="A9" s="1"/>
      <c r="C9" s="58" t="s">
        <v>367</v>
      </c>
      <c r="D9" s="1"/>
      <c r="E9" s="1"/>
      <c r="F9" s="1"/>
      <c r="G9" s="1"/>
      <c r="H9" s="1"/>
      <c r="I9" s="1"/>
      <c r="J9" s="1"/>
      <c r="K9" s="1"/>
      <c r="L9" s="1"/>
      <c r="M9" s="1"/>
      <c r="N9" s="41"/>
      <c r="O9" s="41"/>
      <c r="P9" s="15"/>
      <c r="Q9" s="57"/>
      <c r="R9" s="1"/>
      <c r="S9" s="1"/>
      <c r="T9" s="58" t="s">
        <v>337</v>
      </c>
      <c r="U9" s="41"/>
      <c r="V9" s="41"/>
      <c r="W9" s="41"/>
      <c r="X9" s="41"/>
      <c r="Y9" s="41"/>
      <c r="Z9" s="41"/>
      <c r="AA9" s="41"/>
      <c r="AB9" s="41"/>
      <c r="AC9" s="41"/>
      <c r="AD9" s="41"/>
      <c r="AE9" s="41"/>
      <c r="AF9" s="1"/>
      <c r="AG9" s="15"/>
      <c r="AH9" s="40"/>
      <c r="AI9" s="41"/>
      <c r="AJ9" s="41"/>
      <c r="AK9" s="41"/>
      <c r="AL9" s="41"/>
      <c r="AM9" s="41"/>
      <c r="AN9" s="41"/>
      <c r="AO9" s="41"/>
      <c r="AP9" s="41"/>
      <c r="AQ9" s="41"/>
      <c r="AR9" s="41"/>
      <c r="AS9" s="41"/>
      <c r="AT9" s="41"/>
      <c r="AU9" s="41"/>
      <c r="AV9" s="41"/>
      <c r="AW9" s="41"/>
    </row>
    <row r="10" spans="1:49" s="19" customFormat="1" ht="11.25" x14ac:dyDescent="0.15">
      <c r="A10" s="1"/>
      <c r="B10" s="18"/>
      <c r="C10" s="1"/>
      <c r="D10" s="1"/>
      <c r="E10" s="1"/>
      <c r="F10" s="1"/>
      <c r="G10" s="1"/>
      <c r="H10" s="1"/>
      <c r="I10" s="1"/>
      <c r="J10" s="1"/>
      <c r="K10" s="1"/>
      <c r="L10" s="1"/>
      <c r="M10" s="1"/>
      <c r="N10" s="41"/>
      <c r="O10" s="41"/>
      <c r="P10" s="15"/>
      <c r="Q10" s="57"/>
      <c r="R10" s="1"/>
      <c r="S10" s="41"/>
      <c r="T10" s="59" t="s">
        <v>338</v>
      </c>
      <c r="U10" s="41"/>
      <c r="V10" s="59"/>
      <c r="W10" s="41"/>
      <c r="X10" s="41"/>
      <c r="Y10" s="41"/>
      <c r="Z10" s="41"/>
      <c r="AA10" s="41"/>
      <c r="AB10" s="41"/>
      <c r="AC10" s="41"/>
      <c r="AD10" s="41"/>
      <c r="AE10" s="41"/>
      <c r="AF10" s="1"/>
      <c r="AG10" s="15"/>
      <c r="AH10" s="40"/>
      <c r="AI10" s="41"/>
      <c r="AJ10" s="41"/>
      <c r="AK10" s="41"/>
      <c r="AL10" s="41"/>
      <c r="AM10" s="41"/>
      <c r="AN10" s="41"/>
      <c r="AO10" s="41"/>
      <c r="AP10" s="41"/>
      <c r="AQ10" s="41"/>
      <c r="AR10" s="41"/>
      <c r="AS10" s="41"/>
      <c r="AT10" s="41"/>
      <c r="AU10" s="41"/>
      <c r="AV10" s="41"/>
      <c r="AW10" s="41"/>
    </row>
    <row r="11" spans="1:49" s="19" customFormat="1" ht="11.25" x14ac:dyDescent="0.15">
      <c r="A11" s="1"/>
      <c r="B11" s="24" t="s">
        <v>238</v>
      </c>
      <c r="C11" s="1"/>
      <c r="D11" s="1"/>
      <c r="E11" s="1"/>
      <c r="F11" s="1"/>
      <c r="G11" s="1"/>
      <c r="H11" s="1"/>
      <c r="I11" s="1"/>
      <c r="J11" s="1"/>
      <c r="K11" s="1"/>
      <c r="L11" s="1"/>
      <c r="M11" s="1"/>
      <c r="N11" s="41"/>
      <c r="O11" s="41"/>
      <c r="P11" s="15"/>
      <c r="Q11" s="57"/>
      <c r="R11" s="1"/>
      <c r="S11" s="41"/>
      <c r="T11" s="59" t="s">
        <v>339</v>
      </c>
      <c r="U11" s="59"/>
      <c r="V11" s="41"/>
      <c r="W11" s="41"/>
      <c r="X11" s="41"/>
      <c r="Y11" s="41"/>
      <c r="Z11" s="41"/>
      <c r="AA11" s="41"/>
      <c r="AB11" s="41"/>
      <c r="AC11" s="41"/>
      <c r="AD11" s="41"/>
      <c r="AE11" s="41"/>
      <c r="AF11" s="1"/>
      <c r="AG11" s="15"/>
      <c r="AH11" s="40"/>
      <c r="AI11" s="41"/>
      <c r="AJ11" s="41"/>
      <c r="AK11" s="41"/>
      <c r="AL11" s="41"/>
      <c r="AM11" s="41"/>
      <c r="AN11" s="41"/>
      <c r="AO11" s="41"/>
      <c r="AP11" s="41"/>
      <c r="AQ11" s="41"/>
      <c r="AR11" s="41"/>
      <c r="AS11" s="41"/>
      <c r="AT11" s="41"/>
      <c r="AU11" s="41"/>
      <c r="AV11" s="41"/>
      <c r="AW11" s="41"/>
    </row>
    <row r="12" spans="1:49" s="19" customFormat="1" ht="11.25" x14ac:dyDescent="0.15">
      <c r="A12" s="1"/>
      <c r="C12" s="58" t="s">
        <v>341</v>
      </c>
      <c r="D12" s="1"/>
      <c r="E12" s="1"/>
      <c r="F12" s="1"/>
      <c r="G12" s="1"/>
      <c r="H12" s="1"/>
      <c r="I12" s="1"/>
      <c r="J12" s="1"/>
      <c r="K12" s="1"/>
      <c r="L12" s="1"/>
      <c r="M12" s="1"/>
      <c r="N12" s="41"/>
      <c r="O12" s="41"/>
      <c r="P12" s="15"/>
      <c r="Q12" s="57"/>
      <c r="R12" s="1"/>
      <c r="S12" s="41"/>
      <c r="T12" s="41"/>
      <c r="V12" s="36"/>
      <c r="W12" s="41"/>
      <c r="X12" s="41"/>
      <c r="Y12" s="1"/>
      <c r="Z12" s="41"/>
      <c r="AA12" s="41"/>
      <c r="AB12" s="41"/>
      <c r="AC12" s="41"/>
      <c r="AD12" s="41"/>
      <c r="AE12" s="41"/>
      <c r="AF12" s="41"/>
      <c r="AG12" s="41"/>
      <c r="AH12" s="40"/>
      <c r="AI12" s="41"/>
      <c r="AJ12" s="41"/>
      <c r="AK12" s="41"/>
      <c r="AL12" s="41"/>
      <c r="AM12" s="41"/>
      <c r="AN12" s="41"/>
      <c r="AO12" s="41"/>
      <c r="AP12" s="41"/>
      <c r="AQ12" s="41"/>
      <c r="AR12" s="41"/>
      <c r="AS12" s="41"/>
      <c r="AT12" s="41"/>
      <c r="AU12" s="41"/>
      <c r="AV12" s="41"/>
      <c r="AW12" s="41"/>
    </row>
    <row r="13" spans="1:49" s="19" customFormat="1" ht="11.25" x14ac:dyDescent="0.15">
      <c r="A13" s="1"/>
      <c r="C13" s="58" t="s">
        <v>240</v>
      </c>
      <c r="D13" s="1"/>
      <c r="E13" s="1"/>
      <c r="F13" s="1"/>
      <c r="G13" s="1"/>
      <c r="H13" s="1"/>
      <c r="I13" s="1"/>
      <c r="J13" s="1"/>
      <c r="K13" s="1"/>
      <c r="L13" s="1"/>
      <c r="M13" s="1"/>
      <c r="N13" s="41"/>
      <c r="O13" s="41"/>
      <c r="P13" s="15"/>
      <c r="Q13" s="57"/>
      <c r="R13" s="1"/>
      <c r="S13" s="41"/>
      <c r="T13" s="41"/>
      <c r="U13" s="41"/>
      <c r="V13" s="59"/>
      <c r="W13" s="41"/>
      <c r="X13" s="41"/>
      <c r="Y13" s="1"/>
      <c r="Z13" s="41"/>
      <c r="AA13" s="41"/>
      <c r="AB13" s="41"/>
      <c r="AC13" s="41"/>
      <c r="AD13" s="41"/>
      <c r="AE13" s="41"/>
      <c r="AF13" s="41"/>
      <c r="AG13" s="41"/>
      <c r="AH13" s="40"/>
      <c r="AI13" s="41"/>
      <c r="AJ13" s="41"/>
      <c r="AK13" s="41"/>
      <c r="AL13" s="41"/>
      <c r="AM13" s="41"/>
      <c r="AN13" s="41"/>
      <c r="AO13" s="41"/>
      <c r="AP13" s="41"/>
      <c r="AQ13" s="41"/>
      <c r="AR13" s="41"/>
      <c r="AS13" s="41"/>
      <c r="AT13" s="41"/>
      <c r="AU13" s="41"/>
      <c r="AV13" s="41"/>
      <c r="AW13" s="41"/>
    </row>
    <row r="14" spans="1:49" s="19" customFormat="1" ht="11.25" x14ac:dyDescent="0.15">
      <c r="A14" s="1"/>
      <c r="C14" s="58" t="s">
        <v>241</v>
      </c>
      <c r="D14" s="1"/>
      <c r="E14" s="1"/>
      <c r="F14" s="1"/>
      <c r="G14" s="1"/>
      <c r="H14" s="1"/>
      <c r="I14" s="1"/>
      <c r="J14" s="1"/>
      <c r="K14" s="1"/>
      <c r="L14" s="1"/>
      <c r="M14" s="1"/>
      <c r="N14" s="41"/>
      <c r="O14" s="41"/>
      <c r="P14" s="15"/>
      <c r="Q14" s="57"/>
      <c r="R14" s="1"/>
      <c r="S14" s="41"/>
      <c r="T14" s="41"/>
      <c r="U14" s="41"/>
      <c r="V14" s="58"/>
      <c r="W14" s="59"/>
      <c r="X14" s="1"/>
      <c r="Y14" s="1"/>
      <c r="Z14" s="41"/>
      <c r="AA14" s="41"/>
      <c r="AB14" s="41"/>
      <c r="AC14" s="41"/>
      <c r="AD14" s="41"/>
      <c r="AE14" s="41"/>
      <c r="AF14" s="41"/>
      <c r="AG14" s="41"/>
      <c r="AH14" s="40"/>
      <c r="AI14" s="41"/>
      <c r="AJ14" s="41"/>
      <c r="AK14" s="41"/>
      <c r="AL14" s="41"/>
      <c r="AM14" s="41"/>
      <c r="AN14" s="41"/>
      <c r="AO14" s="41"/>
      <c r="AP14" s="41"/>
      <c r="AQ14" s="41"/>
      <c r="AR14" s="41"/>
      <c r="AS14" s="41"/>
      <c r="AT14" s="41"/>
      <c r="AU14" s="41"/>
      <c r="AV14" s="41"/>
      <c r="AW14" s="41"/>
    </row>
    <row r="15" spans="1:49" s="19" customFormat="1" ht="11.25" x14ac:dyDescent="0.15">
      <c r="A15" s="1"/>
      <c r="C15" s="58" t="s">
        <v>340</v>
      </c>
      <c r="D15" s="1"/>
      <c r="E15" s="1"/>
      <c r="F15" s="1"/>
      <c r="G15" s="1"/>
      <c r="H15" s="1"/>
      <c r="I15" s="1"/>
      <c r="J15" s="1"/>
      <c r="K15" s="1"/>
      <c r="L15" s="1"/>
      <c r="M15" s="1"/>
      <c r="N15" s="41"/>
      <c r="O15" s="41"/>
      <c r="P15" s="15"/>
      <c r="Q15" s="57"/>
      <c r="R15" s="1"/>
      <c r="S15" s="41"/>
      <c r="T15" s="41"/>
      <c r="V15" s="18"/>
      <c r="W15" s="41"/>
      <c r="X15" s="59"/>
      <c r="Y15" s="1"/>
      <c r="Z15" s="41"/>
      <c r="AA15" s="41"/>
      <c r="AB15" s="41"/>
      <c r="AC15" s="41"/>
      <c r="AD15" s="41"/>
      <c r="AE15" s="41"/>
      <c r="AF15" s="41"/>
      <c r="AG15" s="41"/>
      <c r="AH15" s="40"/>
      <c r="AI15" s="41"/>
      <c r="AJ15" s="41"/>
      <c r="AK15" s="41"/>
      <c r="AL15" s="41"/>
      <c r="AM15" s="41"/>
      <c r="AN15" s="41"/>
      <c r="AO15" s="41"/>
      <c r="AP15" s="41"/>
      <c r="AQ15" s="41"/>
      <c r="AR15" s="41"/>
      <c r="AS15" s="41"/>
      <c r="AT15" s="41"/>
      <c r="AU15" s="41"/>
      <c r="AV15" s="41"/>
      <c r="AW15" s="41"/>
    </row>
    <row r="16" spans="1:49" s="19" customFormat="1" ht="11.25" x14ac:dyDescent="0.15">
      <c r="A16" s="1"/>
      <c r="B16" s="41"/>
      <c r="C16" s="1"/>
      <c r="D16" s="1"/>
      <c r="E16" s="1"/>
      <c r="F16" s="1"/>
      <c r="G16" s="1"/>
      <c r="H16" s="1"/>
      <c r="I16" s="1"/>
      <c r="J16" s="1"/>
      <c r="K16" s="1"/>
      <c r="L16" s="41"/>
      <c r="M16" s="41"/>
      <c r="N16" s="41"/>
      <c r="O16" s="41"/>
      <c r="P16" s="15"/>
      <c r="Q16" s="57"/>
      <c r="R16" s="1"/>
      <c r="S16" s="41"/>
      <c r="T16" s="41"/>
      <c r="V16" s="59"/>
      <c r="W16" s="41"/>
      <c r="X16" s="41"/>
      <c r="Y16" s="24"/>
      <c r="Z16" s="41"/>
      <c r="AA16" s="41"/>
      <c r="AB16" s="41"/>
      <c r="AC16" s="41"/>
      <c r="AD16" s="41"/>
      <c r="AE16" s="41"/>
      <c r="AF16" s="41"/>
      <c r="AG16" s="41"/>
      <c r="AH16" s="40"/>
      <c r="AI16" s="41"/>
      <c r="AJ16" s="41"/>
      <c r="AK16" s="41"/>
      <c r="AL16" s="41"/>
      <c r="AM16" s="41"/>
      <c r="AN16" s="41"/>
      <c r="AO16" s="41"/>
      <c r="AP16" s="41"/>
      <c r="AQ16" s="41"/>
      <c r="AR16" s="41"/>
      <c r="AS16" s="41"/>
      <c r="AT16" s="41"/>
      <c r="AU16" s="41"/>
      <c r="AV16" s="41"/>
      <c r="AW16" s="41"/>
    </row>
    <row r="17" spans="1:49" s="19" customFormat="1" ht="11.25" x14ac:dyDescent="0.15">
      <c r="A17" s="41"/>
      <c r="B17" s="24" t="s">
        <v>342</v>
      </c>
      <c r="D17" s="1"/>
      <c r="E17" s="1"/>
      <c r="F17" s="41"/>
      <c r="G17" s="41"/>
      <c r="H17" s="41"/>
      <c r="I17" s="41"/>
      <c r="J17" s="41"/>
      <c r="K17" s="41"/>
      <c r="L17" s="1"/>
      <c r="M17" s="1"/>
      <c r="N17" s="41"/>
      <c r="O17" s="41"/>
      <c r="P17" s="15"/>
      <c r="Q17" s="57"/>
      <c r="R17" s="1"/>
      <c r="S17" s="41"/>
      <c r="T17" s="36"/>
      <c r="V17" s="58"/>
      <c r="W17" s="1"/>
      <c r="X17" s="41"/>
      <c r="Y17" s="24"/>
      <c r="Z17" s="41"/>
      <c r="AA17" s="41"/>
      <c r="AB17" s="41"/>
      <c r="AC17" s="41"/>
      <c r="AD17" s="41"/>
      <c r="AE17" s="41"/>
      <c r="AF17" s="41"/>
      <c r="AG17" s="41"/>
      <c r="AH17" s="40"/>
      <c r="AI17" s="41"/>
      <c r="AJ17" s="41"/>
      <c r="AK17" s="41"/>
      <c r="AL17" s="41"/>
      <c r="AM17" s="41"/>
      <c r="AN17" s="41"/>
      <c r="AO17" s="41"/>
      <c r="AP17" s="41"/>
      <c r="AQ17" s="41"/>
      <c r="AR17" s="41"/>
      <c r="AS17" s="41"/>
      <c r="AT17" s="41"/>
      <c r="AU17" s="41"/>
      <c r="AV17" s="41"/>
      <c r="AW17" s="41"/>
    </row>
    <row r="18" spans="1:49" s="19" customFormat="1" ht="11.25" x14ac:dyDescent="0.15">
      <c r="A18" s="1"/>
      <c r="C18" s="58" t="s">
        <v>242</v>
      </c>
      <c r="D18" s="41"/>
      <c r="E18" s="41"/>
      <c r="F18" s="1"/>
      <c r="G18" s="1"/>
      <c r="H18" s="1"/>
      <c r="I18" s="1"/>
      <c r="J18" s="1"/>
      <c r="K18" s="1"/>
      <c r="L18" s="1"/>
      <c r="M18" s="1"/>
      <c r="N18" s="1"/>
      <c r="O18" s="41"/>
      <c r="P18" s="41"/>
      <c r="Q18" s="57"/>
      <c r="R18" s="1"/>
      <c r="S18" s="41"/>
      <c r="T18" s="36"/>
      <c r="V18" s="1"/>
      <c r="W18" s="41"/>
      <c r="X18" s="24"/>
      <c r="Y18" s="1"/>
      <c r="Z18" s="41"/>
      <c r="AA18" s="41"/>
      <c r="AB18" s="41"/>
      <c r="AC18" s="41"/>
      <c r="AD18" s="41"/>
      <c r="AE18" s="41"/>
      <c r="AF18" s="41"/>
      <c r="AG18" s="41"/>
      <c r="AH18" s="40"/>
      <c r="AI18" s="41"/>
      <c r="AJ18" s="41"/>
      <c r="AK18" s="41"/>
      <c r="AL18" s="41"/>
      <c r="AM18" s="41"/>
      <c r="AN18" s="41"/>
      <c r="AO18" s="41"/>
      <c r="AP18" s="41"/>
      <c r="AQ18" s="41"/>
      <c r="AR18" s="41"/>
      <c r="AS18" s="41"/>
      <c r="AT18" s="41"/>
      <c r="AU18" s="41"/>
      <c r="AV18" s="41"/>
      <c r="AW18" s="41"/>
    </row>
    <row r="19" spans="1:49" s="19" customFormat="1" ht="11.25" x14ac:dyDescent="0.15">
      <c r="A19" s="1"/>
      <c r="C19" s="58" t="s">
        <v>243</v>
      </c>
      <c r="D19" s="1"/>
      <c r="E19" s="1"/>
      <c r="F19" s="1"/>
      <c r="G19" s="1"/>
      <c r="H19" s="1"/>
      <c r="I19" s="1"/>
      <c r="J19" s="1"/>
      <c r="K19" s="41"/>
      <c r="L19" s="41"/>
      <c r="M19" s="41"/>
      <c r="N19" s="41"/>
      <c r="O19" s="41"/>
      <c r="P19" s="41"/>
      <c r="Q19" s="57"/>
      <c r="R19" s="1"/>
      <c r="S19" s="41"/>
      <c r="T19" s="41"/>
      <c r="U19" s="41"/>
      <c r="V19" s="59"/>
      <c r="W19" s="41"/>
      <c r="X19" s="41"/>
      <c r="Y19" s="24"/>
      <c r="Z19" s="41"/>
      <c r="AA19" s="41"/>
      <c r="AB19" s="41"/>
      <c r="AC19" s="41"/>
      <c r="AD19" s="41"/>
      <c r="AE19" s="41"/>
      <c r="AH19" s="40"/>
      <c r="AI19" s="41"/>
      <c r="AJ19" s="41"/>
      <c r="AK19" s="41"/>
      <c r="AL19" s="41"/>
      <c r="AM19" s="41"/>
      <c r="AN19" s="41"/>
      <c r="AO19" s="41"/>
      <c r="AP19" s="41"/>
      <c r="AQ19" s="41"/>
      <c r="AR19" s="41"/>
      <c r="AS19" s="41"/>
      <c r="AT19" s="41"/>
      <c r="AU19" s="41"/>
      <c r="AV19" s="41"/>
      <c r="AW19" s="41"/>
    </row>
    <row r="20" spans="1:49" s="19" customFormat="1" ht="11.25" x14ac:dyDescent="0.15">
      <c r="A20" s="41"/>
      <c r="B20" s="1"/>
      <c r="C20" s="58" t="s">
        <v>244</v>
      </c>
      <c r="D20" s="24"/>
      <c r="E20" s="1"/>
      <c r="F20" s="41"/>
      <c r="G20" s="41"/>
      <c r="H20" s="41"/>
      <c r="I20" s="41"/>
      <c r="J20" s="41"/>
      <c r="K20" s="41"/>
      <c r="O20" s="41"/>
      <c r="P20" s="41"/>
      <c r="Q20" s="57"/>
      <c r="R20" s="1"/>
      <c r="S20" s="41"/>
      <c r="T20" s="41"/>
      <c r="U20" s="41"/>
      <c r="V20" s="59"/>
      <c r="W20" s="41"/>
      <c r="X20" s="41"/>
      <c r="Y20" s="24"/>
      <c r="Z20" s="41"/>
      <c r="AA20" s="41"/>
      <c r="AB20" s="41"/>
      <c r="AC20" s="41"/>
      <c r="AD20" s="41"/>
      <c r="AE20" s="41"/>
      <c r="AF20" s="41"/>
      <c r="AG20" s="41"/>
      <c r="AI20" s="41"/>
      <c r="AJ20" s="41"/>
      <c r="AK20" s="41"/>
      <c r="AL20" s="41"/>
      <c r="AM20" s="41"/>
      <c r="AN20" s="41"/>
      <c r="AO20" s="41"/>
      <c r="AP20" s="41"/>
      <c r="AQ20" s="41"/>
      <c r="AR20" s="41"/>
      <c r="AS20" s="41"/>
      <c r="AT20" s="41"/>
      <c r="AU20" s="41"/>
      <c r="AV20" s="41"/>
      <c r="AW20" s="41"/>
    </row>
    <row r="21" spans="1:49" s="19" customFormat="1" ht="11.25" x14ac:dyDescent="0.15">
      <c r="A21" s="41"/>
      <c r="O21" s="41"/>
      <c r="P21" s="41"/>
      <c r="Q21" s="57"/>
      <c r="R21" s="1"/>
      <c r="S21" s="41"/>
      <c r="T21" s="41"/>
      <c r="U21" s="41"/>
      <c r="V21" s="3"/>
      <c r="W21" s="41"/>
      <c r="X21" s="41"/>
      <c r="Y21" s="1"/>
      <c r="Z21" s="41"/>
      <c r="AA21" s="41"/>
      <c r="AB21" s="41"/>
      <c r="AC21" s="41"/>
      <c r="AD21" s="41"/>
      <c r="AE21" s="41"/>
      <c r="AF21" s="41"/>
      <c r="AG21" s="41"/>
      <c r="AH21" s="40"/>
      <c r="AI21" s="41"/>
      <c r="AJ21" s="41"/>
      <c r="AK21" s="41"/>
      <c r="AL21" s="41"/>
      <c r="AM21" s="41"/>
      <c r="AN21" s="41"/>
      <c r="AO21" s="41"/>
      <c r="AP21" s="41"/>
      <c r="AQ21" s="41"/>
      <c r="AR21" s="41"/>
      <c r="AS21" s="41"/>
      <c r="AT21" s="41"/>
      <c r="AU21" s="41"/>
      <c r="AV21" s="41"/>
      <c r="AW21" s="41"/>
    </row>
    <row r="22" spans="1:49" s="19" customFormat="1" ht="11.25" x14ac:dyDescent="0.15">
      <c r="A22" s="41"/>
      <c r="O22" s="41"/>
      <c r="P22" s="41"/>
      <c r="Q22" s="57"/>
      <c r="R22" s="1"/>
      <c r="S22" s="41"/>
      <c r="T22" s="41"/>
      <c r="AF22" s="41"/>
      <c r="AG22" s="41"/>
      <c r="AH22" s="40"/>
      <c r="AI22" s="41"/>
      <c r="AJ22" s="41"/>
      <c r="AK22" s="41"/>
      <c r="AL22" s="41"/>
      <c r="AM22" s="41"/>
      <c r="AN22" s="41"/>
      <c r="AO22" s="41"/>
      <c r="AP22" s="41"/>
      <c r="AQ22" s="41"/>
      <c r="AR22" s="41"/>
      <c r="AS22" s="41"/>
      <c r="AT22" s="41"/>
      <c r="AU22" s="41"/>
      <c r="AV22" s="41"/>
      <c r="AW22" s="41"/>
    </row>
    <row r="23" spans="1:49" s="19" customFormat="1" ht="11.25" x14ac:dyDescent="0.15">
      <c r="A23" s="41"/>
      <c r="O23" s="41"/>
      <c r="P23" s="41"/>
      <c r="Q23" s="57"/>
      <c r="R23" s="1"/>
      <c r="S23" s="41"/>
      <c r="T23" s="1"/>
      <c r="AF23" s="41"/>
      <c r="AG23" s="41"/>
      <c r="AH23" s="40"/>
      <c r="AI23" s="41"/>
      <c r="AJ23" s="41"/>
      <c r="AK23" s="41"/>
      <c r="AL23" s="41"/>
      <c r="AM23" s="41"/>
      <c r="AN23" s="41"/>
      <c r="AO23" s="41"/>
      <c r="AP23" s="41"/>
      <c r="AQ23" s="41"/>
      <c r="AR23" s="41"/>
      <c r="AS23" s="41"/>
      <c r="AT23" s="41"/>
      <c r="AU23" s="41"/>
      <c r="AV23" s="41"/>
      <c r="AW23" s="41"/>
    </row>
    <row r="24" spans="1:49" s="19" customFormat="1" ht="11.25" x14ac:dyDescent="0.15">
      <c r="A24" s="41"/>
      <c r="O24" s="41"/>
      <c r="P24" s="41"/>
      <c r="Q24" s="57"/>
      <c r="R24" s="1"/>
      <c r="S24" s="41"/>
      <c r="T24" s="41"/>
      <c r="AH24" s="40"/>
      <c r="AI24" s="41"/>
      <c r="AJ24" s="41"/>
      <c r="AK24" s="41"/>
      <c r="AL24" s="41"/>
      <c r="AM24" s="41"/>
      <c r="AN24" s="41"/>
      <c r="AO24" s="41"/>
      <c r="AP24" s="41"/>
      <c r="AQ24" s="41"/>
      <c r="AR24" s="41"/>
      <c r="AS24" s="41"/>
      <c r="AT24" s="41"/>
      <c r="AU24" s="41"/>
      <c r="AV24" s="41"/>
      <c r="AW24" s="41"/>
    </row>
    <row r="25" spans="1:49" s="19" customFormat="1" ht="11.25" x14ac:dyDescent="0.15">
      <c r="A25" s="41"/>
      <c r="L25" s="41"/>
      <c r="M25" s="41"/>
      <c r="N25" s="41"/>
      <c r="O25" s="41"/>
      <c r="P25" s="41"/>
      <c r="Q25" s="57"/>
      <c r="R25" s="1"/>
      <c r="S25" s="41"/>
      <c r="T25" s="41"/>
      <c r="U25" s="41"/>
      <c r="V25" s="18"/>
      <c r="W25" s="59"/>
      <c r="X25" s="41"/>
      <c r="Y25" s="1"/>
      <c r="Z25" s="41"/>
      <c r="AA25" s="41"/>
      <c r="AB25" s="41"/>
      <c r="AC25" s="41"/>
      <c r="AD25" s="41"/>
      <c r="AE25" s="41"/>
      <c r="AF25" s="41"/>
      <c r="AG25" s="41"/>
      <c r="AH25" s="40"/>
      <c r="AI25" s="41"/>
      <c r="AJ25" s="41"/>
      <c r="AK25" s="41"/>
      <c r="AL25" s="41"/>
      <c r="AM25" s="41"/>
      <c r="AN25" s="41"/>
      <c r="AO25" s="41"/>
      <c r="AP25" s="41"/>
      <c r="AQ25" s="41"/>
      <c r="AR25" s="41"/>
      <c r="AS25" s="41"/>
      <c r="AT25" s="41"/>
      <c r="AU25" s="41"/>
      <c r="AV25" s="41"/>
      <c r="AW25" s="41"/>
    </row>
    <row r="26" spans="1:49" s="19" customFormat="1" ht="11.25" x14ac:dyDescent="0.15">
      <c r="A26" s="41"/>
      <c r="B26" s="41"/>
      <c r="D26" s="59"/>
      <c r="E26" s="41"/>
      <c r="F26" s="41"/>
      <c r="G26" s="41"/>
      <c r="H26" s="41"/>
      <c r="I26" s="41"/>
      <c r="J26" s="41"/>
      <c r="K26" s="41"/>
      <c r="L26" s="41"/>
      <c r="M26" s="41"/>
      <c r="N26" s="41"/>
      <c r="O26" s="41"/>
      <c r="P26" s="41"/>
      <c r="Q26" s="57"/>
      <c r="R26" s="1"/>
      <c r="S26" s="41"/>
      <c r="T26" s="41"/>
      <c r="U26" s="41"/>
      <c r="V26" s="41"/>
      <c r="W26" s="59"/>
      <c r="X26" s="36"/>
      <c r="Y26" s="1"/>
      <c r="Z26" s="41"/>
      <c r="AA26" s="41"/>
      <c r="AB26" s="41"/>
      <c r="AC26" s="41"/>
      <c r="AD26" s="41"/>
      <c r="AE26" s="41"/>
      <c r="AF26" s="41"/>
      <c r="AG26" s="41"/>
      <c r="AH26" s="15"/>
      <c r="AI26" s="40"/>
      <c r="AJ26" s="41"/>
      <c r="AK26" s="41"/>
      <c r="AL26" s="41"/>
      <c r="AM26" s="41"/>
      <c r="AN26" s="41"/>
      <c r="AO26" s="41"/>
      <c r="AP26" s="41"/>
      <c r="AQ26" s="41"/>
      <c r="AR26" s="41"/>
      <c r="AS26" s="41"/>
      <c r="AT26" s="41"/>
      <c r="AU26" s="41"/>
      <c r="AV26" s="41"/>
      <c r="AW26" s="41"/>
    </row>
    <row r="27" spans="1:49" s="19" customFormat="1" ht="11.25" x14ac:dyDescent="0.15">
      <c r="A27" s="41"/>
      <c r="B27" s="41"/>
      <c r="D27" s="59"/>
      <c r="E27" s="41"/>
      <c r="F27" s="41"/>
      <c r="G27" s="41"/>
      <c r="H27" s="41"/>
      <c r="I27" s="41"/>
      <c r="J27" s="41"/>
      <c r="K27" s="41"/>
      <c r="L27" s="41"/>
      <c r="M27" s="41"/>
      <c r="N27" s="41"/>
      <c r="O27" s="41"/>
      <c r="P27" s="41"/>
      <c r="Q27" s="57"/>
      <c r="R27" s="1"/>
      <c r="S27" s="41"/>
      <c r="T27" s="36"/>
      <c r="U27" s="41"/>
      <c r="V27" s="41"/>
      <c r="W27" s="41"/>
      <c r="X27" s="59"/>
      <c r="Y27" s="1"/>
      <c r="Z27" s="41"/>
      <c r="AA27" s="41"/>
      <c r="AB27" s="41"/>
      <c r="AC27" s="41"/>
      <c r="AD27" s="41"/>
      <c r="AE27" s="41"/>
      <c r="AF27" s="41"/>
      <c r="AG27" s="41"/>
      <c r="AH27" s="15"/>
      <c r="AI27" s="40"/>
      <c r="AJ27" s="41"/>
      <c r="AK27" s="41"/>
      <c r="AL27" s="41"/>
      <c r="AM27" s="41"/>
      <c r="AN27" s="41"/>
      <c r="AO27" s="41"/>
      <c r="AP27" s="41"/>
      <c r="AQ27" s="41"/>
      <c r="AR27" s="41"/>
      <c r="AS27" s="41"/>
      <c r="AT27" s="41"/>
      <c r="AU27" s="41"/>
      <c r="AV27" s="41"/>
      <c r="AW27" s="41"/>
    </row>
    <row r="28" spans="1:49" s="19" customFormat="1" ht="11.25" x14ac:dyDescent="0.15">
      <c r="A28" s="41"/>
      <c r="B28" s="41"/>
      <c r="D28" s="59"/>
      <c r="E28" s="41"/>
      <c r="F28" s="41"/>
      <c r="G28" s="41"/>
      <c r="H28" s="41"/>
      <c r="I28" s="41"/>
      <c r="J28" s="41"/>
      <c r="K28" s="41"/>
      <c r="L28" s="41"/>
      <c r="M28" s="41"/>
      <c r="N28" s="41"/>
      <c r="O28" s="41"/>
      <c r="P28" s="41"/>
      <c r="Q28" s="57"/>
      <c r="R28" s="1"/>
      <c r="S28" s="1"/>
      <c r="T28" s="41"/>
      <c r="U28" s="41"/>
      <c r="V28" s="41"/>
      <c r="W28" s="41"/>
      <c r="X28" s="1"/>
      <c r="Y28" s="59"/>
      <c r="Z28" s="41"/>
      <c r="AA28" s="41"/>
      <c r="AB28" s="41"/>
      <c r="AC28" s="41"/>
      <c r="AD28" s="41"/>
      <c r="AE28" s="41"/>
      <c r="AF28" s="41"/>
      <c r="AG28" s="41"/>
      <c r="AH28" s="15"/>
      <c r="AI28" s="40"/>
      <c r="AJ28" s="41"/>
      <c r="AK28" s="41"/>
      <c r="AL28" s="36"/>
      <c r="AM28" s="36"/>
      <c r="AN28" s="36"/>
      <c r="AO28" s="36"/>
      <c r="AP28" s="36"/>
      <c r="AQ28" s="36"/>
      <c r="AR28" s="36"/>
      <c r="AS28" s="36"/>
      <c r="AT28" s="36"/>
      <c r="AU28" s="36"/>
      <c r="AV28" s="36"/>
      <c r="AW28" s="36"/>
    </row>
    <row r="29" spans="1:49" s="19" customFormat="1" ht="11.25" x14ac:dyDescent="0.15">
      <c r="A29" s="41"/>
      <c r="B29" s="41"/>
      <c r="E29" s="41"/>
      <c r="F29" s="41"/>
      <c r="G29" s="41"/>
      <c r="H29" s="41"/>
      <c r="I29" s="41"/>
      <c r="J29" s="41"/>
      <c r="K29" s="41"/>
      <c r="N29" s="41"/>
      <c r="O29" s="41"/>
      <c r="P29" s="41"/>
      <c r="Q29" s="57"/>
      <c r="R29" s="41"/>
      <c r="S29" s="1"/>
      <c r="T29" s="41"/>
      <c r="V29" s="41"/>
      <c r="W29" s="41"/>
      <c r="X29" s="60"/>
      <c r="Y29" s="41"/>
      <c r="Z29" s="41"/>
      <c r="AA29" s="41"/>
      <c r="AB29" s="41"/>
      <c r="AC29" s="41"/>
      <c r="AD29" s="41"/>
      <c r="AE29" s="41"/>
      <c r="AF29" s="41"/>
      <c r="AG29" s="41"/>
      <c r="AH29" s="15"/>
      <c r="AI29" s="40"/>
      <c r="AJ29" s="41"/>
      <c r="AK29" s="41"/>
      <c r="AL29" s="36"/>
      <c r="AM29" s="36"/>
      <c r="AN29" s="36"/>
      <c r="AO29" s="36"/>
      <c r="AP29" s="36"/>
      <c r="AQ29" s="36"/>
      <c r="AR29" s="36"/>
      <c r="AS29" s="36"/>
      <c r="AT29" s="36"/>
      <c r="AU29" s="36"/>
      <c r="AV29" s="36"/>
      <c r="AW29" s="36"/>
    </row>
    <row r="30" spans="1:49" s="19" customFormat="1" ht="11.25" x14ac:dyDescent="0.15">
      <c r="A30" s="41"/>
      <c r="B30" s="41"/>
      <c r="L30" s="41"/>
      <c r="M30" s="41"/>
      <c r="N30" s="41"/>
      <c r="O30" s="41"/>
      <c r="P30" s="41"/>
      <c r="Q30" s="57"/>
      <c r="R30" s="1"/>
      <c r="S30" s="41"/>
      <c r="T30" s="41"/>
      <c r="V30" s="41"/>
      <c r="W30" s="41"/>
      <c r="X30" s="41"/>
      <c r="Y30" s="59"/>
      <c r="Z30" s="41"/>
      <c r="AA30" s="41"/>
      <c r="AB30" s="41"/>
      <c r="AC30" s="41"/>
      <c r="AD30" s="41"/>
      <c r="AE30" s="41"/>
      <c r="AF30" s="1"/>
      <c r="AG30" s="1"/>
      <c r="AH30" s="15"/>
      <c r="AI30" s="40"/>
      <c r="AJ30" s="41"/>
      <c r="AK30" s="41"/>
      <c r="AL30" s="36"/>
      <c r="AM30" s="36"/>
      <c r="AN30" s="36"/>
      <c r="AO30" s="36"/>
      <c r="AP30" s="36"/>
      <c r="AQ30" s="36"/>
      <c r="AR30" s="36"/>
      <c r="AS30" s="36"/>
      <c r="AT30" s="36"/>
      <c r="AU30" s="36"/>
      <c r="AV30" s="36"/>
      <c r="AW30" s="36"/>
    </row>
    <row r="31" spans="1:49" s="19" customFormat="1" ht="11.25" x14ac:dyDescent="0.15">
      <c r="A31" s="41"/>
      <c r="B31" s="41"/>
      <c r="D31" s="41"/>
      <c r="F31" s="41"/>
      <c r="G31" s="41"/>
      <c r="H31" s="41"/>
      <c r="I31" s="41"/>
      <c r="J31" s="41"/>
      <c r="K31" s="41"/>
      <c r="L31" s="41"/>
      <c r="M31" s="41"/>
      <c r="N31" s="41"/>
      <c r="O31" s="41"/>
      <c r="P31" s="41"/>
      <c r="Q31" s="57"/>
      <c r="R31" s="1"/>
      <c r="S31" s="1"/>
      <c r="T31" s="41"/>
      <c r="V31" s="41"/>
      <c r="W31" s="41"/>
      <c r="X31" s="41"/>
      <c r="Y31" s="59"/>
      <c r="Z31" s="41"/>
      <c r="AA31" s="41"/>
      <c r="AB31" s="41"/>
      <c r="AC31" s="41"/>
      <c r="AD31" s="41"/>
      <c r="AE31" s="41"/>
      <c r="AF31" s="41"/>
      <c r="AG31" s="41"/>
      <c r="AH31" s="15"/>
      <c r="AI31" s="40"/>
      <c r="AJ31" s="41"/>
      <c r="AK31" s="41"/>
      <c r="AL31" s="36"/>
      <c r="AM31" s="36"/>
      <c r="AN31" s="36"/>
      <c r="AO31" s="36"/>
      <c r="AP31" s="36"/>
      <c r="AQ31" s="36"/>
      <c r="AR31" s="36"/>
      <c r="AS31" s="36"/>
      <c r="AT31" s="36"/>
      <c r="AU31" s="36"/>
      <c r="AV31" s="36"/>
      <c r="AW31" s="36"/>
    </row>
    <row r="32" spans="1:49" s="19" customFormat="1" ht="11.25" x14ac:dyDescent="0.15">
      <c r="A32" s="41"/>
      <c r="B32" s="41"/>
      <c r="D32" s="41"/>
      <c r="E32" s="59"/>
      <c r="F32" s="41"/>
      <c r="G32" s="41"/>
      <c r="H32" s="41"/>
      <c r="I32" s="41"/>
      <c r="J32" s="41"/>
      <c r="K32" s="41"/>
      <c r="L32" s="41"/>
      <c r="M32" s="41"/>
      <c r="N32" s="41"/>
      <c r="O32" s="41"/>
      <c r="P32" s="41"/>
      <c r="Q32" s="57"/>
      <c r="R32" s="1"/>
      <c r="S32" s="1"/>
      <c r="T32" s="41"/>
      <c r="V32" s="41"/>
      <c r="W32" s="41"/>
      <c r="X32" s="41"/>
      <c r="Y32" s="59"/>
      <c r="Z32" s="41"/>
      <c r="AA32" s="41"/>
      <c r="AB32" s="41"/>
      <c r="AC32" s="41"/>
      <c r="AD32" s="41"/>
      <c r="AE32" s="41"/>
      <c r="AF32" s="41"/>
      <c r="AG32" s="41"/>
      <c r="AH32" s="15"/>
      <c r="AI32" s="40"/>
      <c r="AJ32" s="41"/>
      <c r="AK32" s="41"/>
      <c r="AL32" s="36"/>
      <c r="AM32" s="36"/>
      <c r="AN32" s="36"/>
      <c r="AO32" s="36"/>
      <c r="AP32" s="36"/>
      <c r="AQ32" s="36"/>
      <c r="AR32" s="36"/>
      <c r="AS32" s="36"/>
      <c r="AT32" s="36"/>
      <c r="AU32" s="36"/>
      <c r="AV32" s="36"/>
      <c r="AW32" s="36"/>
    </row>
    <row r="33" spans="1:49" s="19" customFormat="1" ht="11.25" x14ac:dyDescent="0.15">
      <c r="A33" s="41"/>
      <c r="B33" s="41"/>
      <c r="D33" s="41"/>
      <c r="E33" s="59"/>
      <c r="F33" s="41"/>
      <c r="G33" s="41"/>
      <c r="H33" s="41"/>
      <c r="I33" s="41"/>
      <c r="J33" s="41"/>
      <c r="K33" s="41"/>
      <c r="L33" s="41"/>
      <c r="M33" s="41"/>
      <c r="N33" s="41"/>
      <c r="O33" s="41"/>
      <c r="P33" s="15"/>
      <c r="Q33" s="57"/>
      <c r="R33" s="1"/>
      <c r="S33" s="1"/>
      <c r="T33" s="41"/>
      <c r="V33" s="41"/>
      <c r="W33" s="41"/>
      <c r="X33" s="41"/>
      <c r="Y33" s="59"/>
      <c r="Z33" s="41"/>
      <c r="AA33" s="41"/>
      <c r="AB33" s="41"/>
      <c r="AC33" s="41"/>
      <c r="AD33" s="41"/>
      <c r="AE33" s="41"/>
      <c r="AF33" s="41"/>
      <c r="AG33" s="41"/>
      <c r="AH33" s="15"/>
      <c r="AI33" s="40"/>
      <c r="AJ33" s="41"/>
      <c r="AK33" s="41"/>
      <c r="AL33" s="36"/>
      <c r="AM33" s="36"/>
      <c r="AN33" s="36"/>
      <c r="AO33" s="36"/>
      <c r="AP33" s="36"/>
      <c r="AQ33" s="36"/>
      <c r="AR33" s="36"/>
      <c r="AS33" s="36"/>
      <c r="AT33" s="36"/>
      <c r="AU33" s="36"/>
      <c r="AV33" s="36"/>
      <c r="AW33" s="36"/>
    </row>
    <row r="34" spans="1:49" s="19" customFormat="1" ht="11.25" x14ac:dyDescent="0.15">
      <c r="A34" s="41"/>
      <c r="B34" s="18"/>
      <c r="D34" s="41"/>
      <c r="E34" s="41"/>
      <c r="F34" s="41"/>
      <c r="G34" s="41"/>
      <c r="H34" s="41"/>
      <c r="I34" s="41"/>
      <c r="J34" s="41"/>
      <c r="K34" s="41"/>
      <c r="L34" s="41"/>
      <c r="M34" s="41"/>
      <c r="N34" s="41"/>
      <c r="O34" s="41"/>
      <c r="P34" s="15"/>
      <c r="Q34" s="57"/>
      <c r="R34" s="1"/>
      <c r="S34" s="1"/>
      <c r="T34" s="41"/>
      <c r="V34" s="41"/>
      <c r="W34" s="41"/>
      <c r="X34" s="41"/>
      <c r="Y34" s="59"/>
      <c r="Z34" s="41"/>
      <c r="AA34" s="41"/>
      <c r="AB34" s="41"/>
      <c r="AC34" s="41"/>
      <c r="AD34" s="41"/>
      <c r="AE34" s="41"/>
      <c r="AF34" s="41"/>
      <c r="AG34" s="41"/>
      <c r="AH34" s="15"/>
      <c r="AI34" s="40"/>
      <c r="AJ34" s="41"/>
      <c r="AK34" s="41"/>
      <c r="AL34" s="36"/>
      <c r="AM34" s="36"/>
      <c r="AN34" s="36"/>
      <c r="AO34" s="36"/>
      <c r="AP34" s="36"/>
      <c r="AQ34" s="36"/>
      <c r="AR34" s="36"/>
      <c r="AS34" s="36"/>
      <c r="AT34" s="36"/>
      <c r="AU34" s="36"/>
      <c r="AV34" s="36"/>
      <c r="AW34" s="36"/>
    </row>
    <row r="35" spans="1:49" s="19" customFormat="1" ht="11.25" x14ac:dyDescent="0.15">
      <c r="A35" s="41"/>
      <c r="B35" s="41"/>
      <c r="C35" s="41"/>
      <c r="K35" s="41"/>
      <c r="L35" s="41"/>
      <c r="M35" s="41"/>
      <c r="N35" s="41"/>
      <c r="O35" s="41"/>
      <c r="P35" s="15"/>
      <c r="Q35" s="57"/>
      <c r="R35" s="1"/>
      <c r="S35" s="1"/>
      <c r="T35" s="41"/>
      <c r="V35" s="41"/>
      <c r="W35" s="41"/>
      <c r="X35" s="59"/>
      <c r="Y35" s="41"/>
      <c r="Z35" s="41"/>
      <c r="AA35" s="41"/>
      <c r="AB35" s="41"/>
      <c r="AC35" s="41"/>
      <c r="AD35" s="41"/>
      <c r="AE35" s="41"/>
      <c r="AF35" s="41"/>
      <c r="AG35" s="41"/>
      <c r="AH35" s="15"/>
      <c r="AI35" s="40"/>
      <c r="AJ35" s="41"/>
      <c r="AK35" s="41"/>
      <c r="AL35" s="36"/>
      <c r="AM35" s="36"/>
      <c r="AN35" s="36"/>
      <c r="AO35" s="36"/>
      <c r="AP35" s="36"/>
      <c r="AQ35" s="36"/>
      <c r="AR35" s="36"/>
      <c r="AS35" s="36"/>
      <c r="AT35" s="36"/>
      <c r="AU35" s="36"/>
      <c r="AV35" s="36"/>
      <c r="AW35" s="36"/>
    </row>
    <row r="36" spans="1:49" s="19" customFormat="1" ht="11.25" x14ac:dyDescent="0.15">
      <c r="A36" s="41"/>
      <c r="B36" s="41"/>
      <c r="C36" s="41"/>
      <c r="K36" s="41"/>
      <c r="L36" s="41"/>
      <c r="M36" s="41"/>
      <c r="N36" s="41"/>
      <c r="O36" s="41"/>
      <c r="P36" s="41"/>
      <c r="Q36" s="41"/>
      <c r="R36" s="41"/>
      <c r="S36" s="41"/>
      <c r="T36" s="41"/>
      <c r="U36" s="41"/>
      <c r="V36" s="41"/>
      <c r="W36" s="41"/>
      <c r="X36" s="41"/>
      <c r="Y36" s="41"/>
    </row>
    <row r="37" spans="1:49" s="19" customFormat="1" ht="11.25" x14ac:dyDescent="0.15">
      <c r="A37" s="41"/>
      <c r="B37" s="41"/>
      <c r="C37" s="41"/>
      <c r="E37" s="1"/>
      <c r="F37" s="1"/>
      <c r="G37" s="1"/>
      <c r="H37" s="1"/>
      <c r="I37" s="1"/>
      <c r="J37" s="15"/>
      <c r="K37" s="40"/>
      <c r="L37" s="41"/>
      <c r="M37" s="41"/>
      <c r="N37" s="41"/>
      <c r="O37" s="41"/>
      <c r="P37" s="41"/>
      <c r="Q37" s="41"/>
      <c r="R37" s="41"/>
      <c r="S37" s="41"/>
      <c r="T37" s="41"/>
      <c r="U37" s="41"/>
      <c r="V37" s="41"/>
      <c r="W37" s="41"/>
      <c r="X37" s="41"/>
      <c r="Y37" s="41"/>
    </row>
    <row r="38" spans="1:49" s="19" customFormat="1" ht="11.25" x14ac:dyDescent="0.15">
      <c r="A38" s="41"/>
      <c r="B38" s="41"/>
      <c r="C38" s="41"/>
      <c r="E38" s="1"/>
      <c r="F38" s="1"/>
      <c r="G38" s="1"/>
      <c r="H38" s="41"/>
      <c r="I38" s="41"/>
      <c r="J38" s="15"/>
      <c r="K38" s="40"/>
      <c r="L38" s="41"/>
      <c r="M38" s="41"/>
      <c r="N38" s="41"/>
      <c r="O38" s="41"/>
      <c r="P38" s="41"/>
      <c r="Q38" s="41"/>
      <c r="R38" s="41"/>
      <c r="S38" s="41"/>
      <c r="T38" s="41"/>
      <c r="U38" s="41"/>
      <c r="V38" s="41"/>
      <c r="W38" s="41"/>
      <c r="X38" s="41"/>
      <c r="Y38" s="41"/>
    </row>
    <row r="39" spans="1:49" ht="11.25" x14ac:dyDescent="0.15">
      <c r="A39" s="41"/>
      <c r="B39" s="41"/>
      <c r="C39" s="41"/>
      <c r="D39" s="1"/>
      <c r="E39" s="1"/>
      <c r="F39" s="1"/>
      <c r="G39" s="1"/>
      <c r="H39" s="41"/>
      <c r="I39" s="41"/>
      <c r="J39" s="15"/>
      <c r="K39" s="40"/>
      <c r="L39" s="41"/>
      <c r="M39" s="41"/>
      <c r="N39" s="41"/>
      <c r="O39" s="41"/>
      <c r="P39" s="41"/>
      <c r="Q39" s="41"/>
      <c r="R39" s="41"/>
      <c r="S39" s="41"/>
      <c r="T39" s="41"/>
      <c r="U39" s="41"/>
      <c r="V39" s="41"/>
      <c r="W39" s="41"/>
      <c r="X39" s="41"/>
      <c r="Y39" s="41"/>
      <c r="AH39" s="3"/>
    </row>
    <row r="40" spans="1:49" ht="15" customHeight="1" x14ac:dyDescent="0.15">
      <c r="A40" s="41"/>
      <c r="B40" s="41"/>
      <c r="C40" s="1"/>
      <c r="D40" s="1"/>
      <c r="E40" s="41"/>
      <c r="F40" s="41"/>
      <c r="G40" s="41"/>
      <c r="H40" s="41"/>
      <c r="I40" s="41"/>
      <c r="J40" s="15"/>
      <c r="K40" s="15"/>
      <c r="L40" s="41"/>
      <c r="M40" s="41"/>
      <c r="N40" s="41"/>
      <c r="O40" s="41"/>
      <c r="P40" s="41"/>
      <c r="Q40" s="41"/>
      <c r="R40" s="41"/>
      <c r="S40" s="41"/>
      <c r="T40" s="41"/>
      <c r="U40" s="41"/>
      <c r="V40" s="41"/>
      <c r="W40" s="41"/>
      <c r="X40" s="41"/>
      <c r="Y40" s="41"/>
      <c r="AH40" s="3"/>
    </row>
    <row r="41" spans="1:49" ht="15" customHeight="1" x14ac:dyDescent="0.15">
      <c r="A41" s="41"/>
      <c r="B41" s="41"/>
      <c r="C41" s="41"/>
      <c r="D41" s="41"/>
      <c r="E41" s="41"/>
      <c r="F41" s="41"/>
      <c r="G41" s="41"/>
      <c r="H41" s="41"/>
      <c r="I41" s="41"/>
      <c r="J41" s="2"/>
      <c r="K41" s="41"/>
      <c r="L41" s="41"/>
      <c r="M41" s="41"/>
      <c r="N41" s="41"/>
      <c r="O41" s="41"/>
      <c r="P41" s="41"/>
      <c r="Q41" s="41"/>
      <c r="R41" s="41"/>
      <c r="S41" s="41"/>
      <c r="T41" s="41"/>
      <c r="U41" s="41"/>
      <c r="V41" s="41"/>
      <c r="W41" s="41"/>
      <c r="X41" s="41"/>
      <c r="Y41" s="41"/>
      <c r="AH41" s="3"/>
    </row>
    <row r="42" spans="1:49" ht="15" customHeight="1" x14ac:dyDescent="0.15">
      <c r="A42" s="41"/>
      <c r="B42" s="41"/>
      <c r="C42" s="41"/>
      <c r="D42" s="41"/>
      <c r="E42" s="41"/>
      <c r="F42" s="41"/>
      <c r="G42" s="41"/>
      <c r="H42" s="41"/>
      <c r="I42" s="41"/>
      <c r="J42" s="2"/>
      <c r="K42" s="41"/>
      <c r="L42" s="41"/>
      <c r="M42" s="41"/>
      <c r="N42" s="41"/>
      <c r="O42" s="41"/>
      <c r="P42" s="41"/>
      <c r="Q42" s="41"/>
      <c r="R42" s="41"/>
      <c r="S42" s="41"/>
      <c r="T42" s="41"/>
      <c r="U42" s="41"/>
      <c r="V42" s="41"/>
      <c r="W42" s="41"/>
      <c r="X42" s="41"/>
      <c r="Y42" s="41"/>
      <c r="AH42" s="3"/>
    </row>
    <row r="43" spans="1:49" ht="15" customHeight="1" x14ac:dyDescent="0.15">
      <c r="A43" s="41"/>
      <c r="B43" s="41"/>
      <c r="C43" s="41"/>
      <c r="E43" s="41"/>
      <c r="F43" s="41"/>
      <c r="G43" s="41"/>
      <c r="H43" s="41"/>
      <c r="I43" s="41"/>
      <c r="J43" s="2"/>
      <c r="K43" s="41"/>
      <c r="L43" s="41"/>
      <c r="M43" s="41"/>
      <c r="N43" s="41"/>
      <c r="O43" s="41"/>
      <c r="P43" s="41"/>
      <c r="Q43" s="41"/>
      <c r="R43" s="41"/>
      <c r="S43" s="41"/>
      <c r="T43" s="41"/>
      <c r="U43" s="41"/>
      <c r="V43" s="41"/>
      <c r="W43" s="41"/>
      <c r="X43" s="41"/>
      <c r="Y43" s="41"/>
      <c r="AH43" s="3"/>
    </row>
    <row r="44" spans="1:49" ht="15" customHeight="1" x14ac:dyDescent="0.15">
      <c r="A44" s="41"/>
      <c r="B44" s="41"/>
      <c r="C44" s="41"/>
      <c r="E44" s="41"/>
      <c r="F44" s="41"/>
      <c r="G44" s="41"/>
      <c r="H44" s="41"/>
      <c r="I44" s="41"/>
      <c r="J44" s="1"/>
      <c r="K44" s="41"/>
      <c r="L44" s="41"/>
      <c r="M44" s="41"/>
      <c r="N44" s="41"/>
      <c r="O44" s="41"/>
      <c r="P44" s="41"/>
      <c r="Q44" s="41"/>
      <c r="R44" s="41"/>
      <c r="S44" s="41"/>
      <c r="T44" s="41"/>
      <c r="U44" s="41"/>
      <c r="V44" s="41"/>
      <c r="W44" s="41"/>
      <c r="X44" s="41"/>
      <c r="Y44" s="41"/>
      <c r="AH44" s="3"/>
    </row>
    <row r="45" spans="1:49" ht="15" customHeight="1" x14ac:dyDescent="0.15">
      <c r="A45" s="41"/>
      <c r="B45" s="41"/>
      <c r="C45" s="41"/>
      <c r="E45" s="41"/>
      <c r="F45" s="41"/>
      <c r="G45" s="41"/>
      <c r="H45" s="41"/>
      <c r="I45" s="41"/>
      <c r="J45" s="1"/>
      <c r="K45" s="41"/>
      <c r="L45" s="41"/>
      <c r="M45" s="41"/>
      <c r="N45" s="41"/>
      <c r="O45" s="41"/>
      <c r="P45" s="41"/>
      <c r="Q45" s="41"/>
      <c r="R45" s="41"/>
      <c r="S45" s="41"/>
      <c r="T45" s="41"/>
      <c r="U45" s="41"/>
      <c r="V45" s="41"/>
      <c r="W45" s="41"/>
      <c r="X45" s="41"/>
      <c r="Y45" s="41"/>
      <c r="AH45" s="3"/>
    </row>
    <row r="46" spans="1:49" ht="15" customHeight="1" x14ac:dyDescent="0.15">
      <c r="A46" s="41"/>
      <c r="B46" s="41"/>
      <c r="C46" s="41"/>
      <c r="E46" s="41"/>
      <c r="F46" s="41"/>
      <c r="G46" s="41"/>
      <c r="H46" s="41"/>
      <c r="I46" s="41"/>
      <c r="J46" s="1"/>
      <c r="K46" s="41"/>
      <c r="L46" s="41"/>
      <c r="M46" s="41"/>
      <c r="N46" s="41"/>
      <c r="O46" s="41"/>
      <c r="P46" s="41"/>
      <c r="Q46" s="41"/>
      <c r="R46" s="41"/>
      <c r="S46" s="41"/>
      <c r="T46" s="41"/>
      <c r="U46" s="41"/>
      <c r="V46" s="41"/>
      <c r="W46" s="41"/>
      <c r="X46" s="41"/>
      <c r="Y46" s="41"/>
      <c r="AH46" s="3"/>
    </row>
    <row r="47" spans="1:49" ht="15" customHeight="1" x14ac:dyDescent="0.15">
      <c r="A47" s="41"/>
      <c r="B47" s="41"/>
      <c r="C47" s="41"/>
      <c r="E47" s="41"/>
      <c r="F47" s="41"/>
      <c r="G47" s="41"/>
      <c r="H47" s="41"/>
      <c r="I47" s="41"/>
      <c r="J47" s="1"/>
      <c r="K47" s="41"/>
      <c r="L47" s="41"/>
      <c r="M47" s="41"/>
      <c r="N47" s="41"/>
      <c r="O47" s="41"/>
      <c r="P47" s="41"/>
      <c r="Q47" s="41"/>
      <c r="R47" s="41"/>
      <c r="S47" s="41"/>
      <c r="T47" s="41"/>
      <c r="U47" s="41"/>
      <c r="V47" s="41"/>
      <c r="W47" s="41"/>
      <c r="X47" s="41"/>
      <c r="Y47" s="41"/>
      <c r="AH47" s="3"/>
    </row>
    <row r="48" spans="1:49" ht="15" customHeight="1" x14ac:dyDescent="0.15">
      <c r="A48" s="41"/>
      <c r="B48" s="41"/>
      <c r="C48" s="41"/>
      <c r="E48" s="41"/>
      <c r="F48" s="41"/>
      <c r="G48" s="41"/>
      <c r="H48" s="41"/>
      <c r="I48" s="41"/>
      <c r="J48" s="1"/>
      <c r="K48" s="41"/>
      <c r="L48" s="41"/>
      <c r="M48" s="41"/>
      <c r="N48" s="41"/>
      <c r="O48" s="41"/>
      <c r="P48" s="41"/>
      <c r="Q48" s="41"/>
      <c r="R48" s="41"/>
      <c r="S48" s="41"/>
      <c r="T48" s="41"/>
      <c r="U48" s="41"/>
      <c r="V48" s="41"/>
      <c r="W48" s="41"/>
      <c r="X48" s="41"/>
      <c r="Y48" s="41"/>
      <c r="AH48" s="3"/>
    </row>
    <row r="49" spans="1:34" ht="15" customHeight="1" x14ac:dyDescent="0.15">
      <c r="A49" s="41"/>
      <c r="B49" s="41"/>
      <c r="C49" s="41"/>
      <c r="E49" s="41"/>
      <c r="F49" s="41"/>
      <c r="G49" s="41"/>
      <c r="H49" s="41"/>
      <c r="I49" s="41"/>
      <c r="J49" s="1"/>
      <c r="K49" s="41"/>
      <c r="L49" s="41"/>
      <c r="M49" s="41"/>
      <c r="N49" s="41"/>
      <c r="O49" s="41"/>
      <c r="P49" s="41"/>
      <c r="Q49" s="41"/>
      <c r="R49" s="41"/>
      <c r="S49" s="41"/>
      <c r="T49" s="41"/>
      <c r="U49" s="41"/>
      <c r="V49" s="41"/>
      <c r="W49" s="41"/>
      <c r="X49" s="41"/>
      <c r="Y49" s="41"/>
      <c r="AH49" s="3"/>
    </row>
    <row r="50" spans="1:34" ht="15" customHeight="1" x14ac:dyDescent="0.15">
      <c r="A50" s="41"/>
      <c r="B50" s="41"/>
      <c r="C50" s="41"/>
      <c r="E50" s="41"/>
      <c r="F50" s="41"/>
      <c r="G50" s="41"/>
      <c r="H50" s="41"/>
      <c r="I50" s="41"/>
      <c r="J50" s="1"/>
      <c r="K50" s="41"/>
      <c r="L50" s="41"/>
      <c r="M50" s="41"/>
      <c r="N50" s="41"/>
      <c r="O50" s="41"/>
      <c r="P50" s="41"/>
      <c r="Q50" s="41"/>
      <c r="R50" s="41"/>
      <c r="S50" s="41"/>
      <c r="T50" s="41"/>
      <c r="U50" s="41"/>
      <c r="V50" s="41"/>
      <c r="W50" s="41"/>
      <c r="X50" s="41"/>
      <c r="Y50" s="41"/>
      <c r="AH50" s="3"/>
    </row>
    <row r="51" spans="1:34" s="22" customFormat="1" ht="15" customHeight="1" x14ac:dyDescent="0.15">
      <c r="A51" s="41"/>
      <c r="B51" s="41"/>
      <c r="C51" s="41"/>
      <c r="D51" s="3"/>
      <c r="E51" s="3"/>
      <c r="F51" s="3"/>
      <c r="G51" s="3"/>
      <c r="H51" s="3"/>
      <c r="I51" s="3"/>
      <c r="J51" s="1"/>
      <c r="K51" s="41"/>
      <c r="L51" s="36"/>
      <c r="M51" s="36"/>
      <c r="N51" s="36"/>
      <c r="O51" s="36"/>
      <c r="P51" s="36"/>
      <c r="Q51" s="36"/>
      <c r="R51" s="36"/>
      <c r="S51" s="36"/>
      <c r="T51" s="36"/>
      <c r="U51" s="36"/>
      <c r="V51" s="36"/>
      <c r="W51" s="36"/>
      <c r="X51" s="36"/>
      <c r="Y51" s="36"/>
    </row>
    <row r="52" spans="1:34" ht="15" customHeight="1" x14ac:dyDescent="0.15">
      <c r="A52" s="41"/>
      <c r="B52" s="41"/>
      <c r="C52" s="41"/>
      <c r="D52" s="22"/>
      <c r="E52" s="22"/>
      <c r="F52" s="22"/>
      <c r="G52" s="22"/>
      <c r="H52" s="22"/>
      <c r="I52" s="22"/>
      <c r="J52" s="1"/>
      <c r="K52" s="41"/>
      <c r="L52" s="41"/>
      <c r="M52" s="41"/>
      <c r="N52" s="41"/>
      <c r="O52" s="41"/>
      <c r="P52" s="41"/>
      <c r="Q52" s="41"/>
      <c r="R52" s="41"/>
      <c r="S52" s="41"/>
      <c r="T52" s="41"/>
      <c r="U52" s="41"/>
      <c r="V52" s="41"/>
      <c r="W52" s="41"/>
      <c r="X52" s="41"/>
      <c r="Y52" s="41"/>
      <c r="AH52" s="3"/>
    </row>
    <row r="53" spans="1:34" ht="15" customHeight="1" x14ac:dyDescent="0.15">
      <c r="A53" s="41"/>
      <c r="B53" s="41"/>
      <c r="C53" s="41"/>
      <c r="J53" s="1"/>
      <c r="K53" s="41"/>
      <c r="L53" s="41"/>
      <c r="M53" s="41"/>
      <c r="N53" s="41"/>
      <c r="O53" s="41"/>
      <c r="P53" s="41"/>
      <c r="Q53" s="41"/>
      <c r="R53" s="41"/>
      <c r="S53" s="41"/>
      <c r="T53" s="41"/>
      <c r="U53" s="41"/>
      <c r="V53" s="41"/>
      <c r="W53" s="41"/>
      <c r="X53" s="41"/>
      <c r="Y53" s="41"/>
      <c r="AH53" s="3"/>
    </row>
    <row r="54" spans="1:34" ht="15" customHeight="1" x14ac:dyDescent="0.15">
      <c r="A54" s="41"/>
      <c r="B54" s="41"/>
      <c r="C54" s="41"/>
      <c r="J54" s="1"/>
      <c r="K54" s="36"/>
      <c r="L54" s="41"/>
      <c r="M54" s="41"/>
      <c r="N54" s="41"/>
      <c r="O54" s="41"/>
      <c r="P54" s="41"/>
      <c r="Q54" s="41"/>
      <c r="R54" s="41"/>
      <c r="S54" s="41"/>
      <c r="T54" s="41"/>
      <c r="U54" s="41"/>
      <c r="V54" s="41"/>
      <c r="W54" s="41"/>
      <c r="X54" s="41"/>
      <c r="Y54" s="41"/>
      <c r="AH54" s="3"/>
    </row>
    <row r="55" spans="1:34" ht="15" customHeight="1" x14ac:dyDescent="0.15">
      <c r="A55" s="41"/>
      <c r="B55" s="41"/>
      <c r="C55" s="41"/>
      <c r="J55" s="1"/>
      <c r="K55" s="41"/>
      <c r="L55" s="41"/>
      <c r="M55" s="41"/>
      <c r="N55" s="41"/>
      <c r="O55" s="41"/>
      <c r="P55" s="41"/>
      <c r="Q55" s="41"/>
      <c r="R55" s="41"/>
      <c r="S55" s="41"/>
      <c r="T55" s="41"/>
      <c r="U55" s="41"/>
      <c r="V55" s="41"/>
      <c r="W55" s="41"/>
      <c r="X55" s="41"/>
      <c r="Y55" s="41"/>
      <c r="AH55" s="3"/>
    </row>
    <row r="56" spans="1:34" ht="15" customHeight="1" x14ac:dyDescent="0.15">
      <c r="A56" s="41"/>
      <c r="B56" s="41"/>
      <c r="C56" s="41"/>
      <c r="J56" s="1"/>
      <c r="K56" s="41"/>
      <c r="L56" s="41"/>
      <c r="M56" s="41"/>
      <c r="N56" s="41"/>
      <c r="O56" s="41"/>
      <c r="P56" s="41"/>
      <c r="Q56" s="41"/>
      <c r="R56" s="41"/>
      <c r="S56" s="41"/>
      <c r="T56" s="41"/>
      <c r="U56" s="41"/>
      <c r="V56" s="41"/>
      <c r="W56" s="41"/>
      <c r="X56" s="41"/>
      <c r="Y56" s="41"/>
      <c r="AH56" s="3"/>
    </row>
    <row r="57" spans="1:34" ht="15" customHeight="1" x14ac:dyDescent="0.15">
      <c r="A57" s="41"/>
      <c r="B57" s="41"/>
      <c r="C57" s="41"/>
      <c r="J57" s="1"/>
      <c r="K57" s="41"/>
      <c r="L57" s="41"/>
      <c r="M57" s="41"/>
      <c r="N57" s="41"/>
      <c r="O57" s="41"/>
      <c r="P57" s="41"/>
      <c r="Q57" s="41"/>
      <c r="R57" s="41"/>
      <c r="S57" s="41"/>
      <c r="T57" s="41"/>
      <c r="U57" s="41"/>
      <c r="V57" s="41"/>
      <c r="W57" s="41"/>
      <c r="X57" s="41"/>
      <c r="Y57" s="41"/>
      <c r="AH57" s="3"/>
    </row>
    <row r="58" spans="1:34" ht="15" customHeight="1" x14ac:dyDescent="0.15">
      <c r="A58" s="41"/>
      <c r="B58" s="41"/>
      <c r="C58" s="41"/>
      <c r="D58" s="41"/>
      <c r="J58" s="1"/>
      <c r="K58" s="41"/>
      <c r="L58" s="41"/>
      <c r="M58" s="41"/>
      <c r="N58" s="41"/>
      <c r="O58" s="41"/>
      <c r="P58" s="41"/>
      <c r="Q58" s="41"/>
      <c r="R58" s="41"/>
      <c r="S58" s="41"/>
      <c r="T58" s="41"/>
      <c r="U58" s="41"/>
      <c r="V58" s="41"/>
      <c r="W58" s="41"/>
      <c r="X58" s="41"/>
      <c r="Y58" s="41"/>
      <c r="AH58" s="3"/>
    </row>
    <row r="59" spans="1:34" ht="15" customHeight="1" x14ac:dyDescent="0.15">
      <c r="A59" s="41"/>
      <c r="B59" s="41"/>
      <c r="J59" s="1"/>
      <c r="K59" s="41"/>
      <c r="L59" s="41"/>
      <c r="M59" s="41"/>
      <c r="N59" s="41"/>
      <c r="O59" s="41"/>
      <c r="P59" s="41"/>
      <c r="Q59" s="41"/>
      <c r="R59" s="41"/>
      <c r="S59" s="41"/>
      <c r="T59" s="41"/>
      <c r="U59" s="41"/>
      <c r="V59" s="41"/>
      <c r="W59" s="41"/>
      <c r="X59" s="41"/>
      <c r="Y59" s="41"/>
      <c r="AH59" s="3"/>
    </row>
    <row r="60" spans="1:34" ht="15" customHeight="1" x14ac:dyDescent="0.15">
      <c r="A60" s="41"/>
      <c r="B60" s="41"/>
      <c r="D60" s="41"/>
      <c r="J60" s="1"/>
      <c r="K60" s="41"/>
      <c r="L60" s="41"/>
      <c r="M60" s="41"/>
      <c r="N60" s="41"/>
      <c r="O60" s="41"/>
      <c r="P60" s="41"/>
      <c r="Q60" s="41"/>
      <c r="R60" s="41"/>
      <c r="S60" s="41"/>
      <c r="T60" s="41"/>
      <c r="U60" s="41"/>
      <c r="V60" s="41"/>
      <c r="W60" s="41"/>
      <c r="X60" s="41"/>
      <c r="Y60" s="41"/>
      <c r="AH60" s="3"/>
    </row>
    <row r="61" spans="1:34" ht="15" customHeight="1" x14ac:dyDescent="0.15">
      <c r="A61" s="41"/>
      <c r="B61" s="41"/>
      <c r="D61" s="41"/>
      <c r="J61" s="1"/>
      <c r="K61" s="41"/>
      <c r="L61" s="41"/>
      <c r="M61" s="41"/>
      <c r="N61" s="41"/>
      <c r="O61" s="41"/>
      <c r="P61" s="41"/>
      <c r="Q61" s="41"/>
      <c r="R61" s="41"/>
      <c r="S61" s="41"/>
      <c r="T61" s="41"/>
      <c r="U61" s="41"/>
      <c r="V61" s="41"/>
      <c r="W61" s="41"/>
      <c r="X61" s="41"/>
      <c r="Y61" s="41"/>
      <c r="AH61" s="3"/>
    </row>
    <row r="62" spans="1:34" ht="15" customHeight="1" x14ac:dyDescent="0.15">
      <c r="A62" s="41"/>
      <c r="B62" s="41"/>
      <c r="D62" s="41"/>
      <c r="J62" s="1"/>
      <c r="K62" s="41"/>
      <c r="L62" s="41"/>
      <c r="M62" s="41"/>
      <c r="N62" s="41"/>
      <c r="O62" s="41"/>
      <c r="P62" s="41"/>
      <c r="Q62" s="41"/>
      <c r="R62" s="41"/>
      <c r="S62" s="41"/>
      <c r="T62" s="41"/>
      <c r="U62" s="41"/>
      <c r="V62" s="41"/>
      <c r="W62" s="41"/>
      <c r="X62" s="41"/>
      <c r="Y62" s="41"/>
      <c r="AH62" s="3"/>
    </row>
    <row r="63" spans="1:34" ht="15" customHeight="1" x14ac:dyDescent="0.15">
      <c r="A63" s="41"/>
      <c r="B63" s="41"/>
      <c r="D63" s="41"/>
      <c r="J63" s="1"/>
      <c r="K63" s="41"/>
      <c r="L63" s="41"/>
      <c r="M63" s="41"/>
      <c r="N63" s="41"/>
      <c r="O63" s="41"/>
      <c r="P63" s="41"/>
      <c r="Q63" s="41"/>
      <c r="R63" s="41"/>
      <c r="S63" s="41"/>
      <c r="T63" s="41"/>
      <c r="U63" s="41"/>
      <c r="V63" s="41"/>
      <c r="W63" s="41"/>
      <c r="X63" s="41"/>
      <c r="Y63" s="41"/>
      <c r="AH63" s="3"/>
    </row>
    <row r="64" spans="1:34" ht="15" customHeight="1" x14ac:dyDescent="0.15">
      <c r="A64" s="41"/>
      <c r="B64" s="41"/>
      <c r="D64" s="41"/>
      <c r="J64" s="1"/>
      <c r="K64" s="41"/>
      <c r="L64" s="41"/>
      <c r="M64" s="41"/>
      <c r="N64" s="41"/>
      <c r="O64" s="41"/>
      <c r="P64" s="41"/>
      <c r="Q64" s="41"/>
      <c r="R64" s="41"/>
      <c r="S64" s="41"/>
      <c r="T64" s="41"/>
      <c r="U64" s="41"/>
      <c r="V64" s="41"/>
      <c r="W64" s="41"/>
      <c r="X64" s="41"/>
      <c r="Y64" s="41"/>
      <c r="AH64" s="3"/>
    </row>
    <row r="65" spans="1:34" ht="15" customHeight="1" x14ac:dyDescent="0.15">
      <c r="A65" s="41"/>
      <c r="B65" s="41"/>
      <c r="D65" s="41"/>
      <c r="J65" s="1"/>
      <c r="K65" s="41"/>
      <c r="L65" s="41"/>
      <c r="M65" s="41"/>
      <c r="N65" s="41"/>
      <c r="O65" s="41"/>
      <c r="P65" s="41"/>
      <c r="Q65" s="41"/>
      <c r="R65" s="41"/>
      <c r="S65" s="41"/>
      <c r="T65" s="41"/>
      <c r="U65" s="41"/>
      <c r="V65" s="41"/>
      <c r="W65" s="41"/>
      <c r="X65" s="41"/>
      <c r="Y65" s="41"/>
      <c r="AH65" s="3"/>
    </row>
    <row r="66" spans="1:34" ht="15" customHeight="1" x14ac:dyDescent="0.15">
      <c r="A66" s="41"/>
      <c r="B66" s="41"/>
      <c r="D66" s="41"/>
      <c r="J66" s="1"/>
      <c r="K66" s="41"/>
      <c r="L66" s="41"/>
      <c r="M66" s="41"/>
      <c r="N66" s="41"/>
      <c r="O66" s="1"/>
      <c r="P66" s="41"/>
      <c r="Q66" s="41"/>
      <c r="R66" s="41"/>
      <c r="S66" s="41"/>
      <c r="T66" s="41"/>
      <c r="U66" s="41"/>
      <c r="V66" s="41"/>
      <c r="W66" s="41"/>
      <c r="X66" s="41"/>
      <c r="Y66" s="41"/>
      <c r="AH66" s="3"/>
    </row>
    <row r="67" spans="1:34" ht="15" customHeight="1" x14ac:dyDescent="0.15">
      <c r="A67" s="41"/>
      <c r="B67" s="41"/>
      <c r="D67" s="41"/>
      <c r="E67" s="41"/>
      <c r="F67" s="41"/>
      <c r="G67" s="41"/>
      <c r="H67" s="41"/>
      <c r="I67" s="41"/>
      <c r="J67" s="1"/>
      <c r="K67" s="41"/>
      <c r="L67" s="41"/>
      <c r="M67" s="41"/>
      <c r="N67" s="41"/>
      <c r="O67" s="1"/>
      <c r="P67" s="41"/>
      <c r="Q67" s="41"/>
      <c r="R67" s="41"/>
      <c r="S67" s="41"/>
      <c r="T67" s="41"/>
      <c r="U67" s="41"/>
      <c r="V67" s="41"/>
      <c r="W67" s="41"/>
      <c r="X67" s="41"/>
      <c r="Y67" s="41"/>
      <c r="AH67" s="3"/>
    </row>
    <row r="68" spans="1:34" ht="15" customHeight="1" x14ac:dyDescent="0.15">
      <c r="A68" s="41"/>
      <c r="B68" s="41"/>
      <c r="D68" s="41"/>
      <c r="E68" s="41"/>
      <c r="F68" s="41"/>
      <c r="G68" s="41"/>
      <c r="H68" s="41"/>
      <c r="I68" s="41"/>
      <c r="J68" s="1"/>
      <c r="K68" s="41"/>
      <c r="L68" s="41"/>
      <c r="M68" s="41"/>
      <c r="N68" s="41"/>
      <c r="O68" s="1"/>
      <c r="P68" s="41"/>
      <c r="Q68" s="41"/>
      <c r="R68" s="41"/>
      <c r="S68" s="41"/>
      <c r="T68" s="41"/>
      <c r="U68" s="41"/>
      <c r="V68" s="41"/>
      <c r="W68" s="41"/>
      <c r="X68" s="41"/>
      <c r="Y68" s="41"/>
      <c r="AH68" s="3"/>
    </row>
    <row r="69" spans="1:34" ht="15" customHeight="1" x14ac:dyDescent="0.15">
      <c r="A69" s="41"/>
      <c r="B69" s="41"/>
      <c r="D69" s="41"/>
      <c r="E69" s="41"/>
      <c r="F69" s="41"/>
      <c r="G69" s="41"/>
      <c r="H69" s="41"/>
      <c r="I69" s="41"/>
      <c r="J69" s="1"/>
      <c r="K69" s="41"/>
      <c r="L69" s="41"/>
      <c r="M69" s="41"/>
      <c r="N69" s="41"/>
      <c r="O69" s="41"/>
      <c r="P69" s="41"/>
      <c r="Q69" s="41"/>
      <c r="R69" s="41"/>
      <c r="S69" s="41"/>
      <c r="T69" s="41"/>
      <c r="U69" s="41"/>
      <c r="V69" s="41"/>
      <c r="W69" s="41"/>
      <c r="X69" s="41"/>
      <c r="Y69" s="41"/>
      <c r="AH69" s="3"/>
    </row>
    <row r="70" spans="1:34" ht="15" customHeight="1" x14ac:dyDescent="0.15">
      <c r="A70" s="41"/>
      <c r="B70" s="41"/>
      <c r="D70" s="41"/>
      <c r="E70" s="41"/>
      <c r="F70" s="41"/>
      <c r="G70" s="41"/>
      <c r="H70" s="41"/>
      <c r="I70" s="15"/>
      <c r="J70" s="1"/>
      <c r="K70" s="41"/>
      <c r="L70" s="41"/>
      <c r="M70" s="41"/>
      <c r="N70" s="41"/>
      <c r="O70" s="41"/>
      <c r="P70" s="41"/>
      <c r="Q70" s="41"/>
      <c r="R70" s="41"/>
      <c r="S70" s="41"/>
      <c r="T70" s="41"/>
      <c r="U70" s="41"/>
      <c r="V70" s="41"/>
      <c r="W70" s="41"/>
      <c r="X70" s="41"/>
      <c r="Y70" s="41"/>
      <c r="AH70" s="3"/>
    </row>
    <row r="71" spans="1:34" ht="15" customHeight="1" x14ac:dyDescent="0.15">
      <c r="A71" s="41"/>
      <c r="B71" s="41"/>
      <c r="D71" s="41"/>
      <c r="E71" s="41"/>
      <c r="F71" s="41"/>
      <c r="G71" s="41"/>
      <c r="H71" s="41"/>
      <c r="I71" s="15"/>
      <c r="J71" s="1"/>
      <c r="K71" s="41"/>
      <c r="L71" s="41"/>
      <c r="M71" s="41"/>
      <c r="N71" s="41"/>
      <c r="O71" s="41"/>
      <c r="P71" s="41"/>
      <c r="Q71" s="41"/>
      <c r="R71" s="41"/>
      <c r="S71" s="41"/>
      <c r="T71" s="41"/>
      <c r="U71" s="41"/>
      <c r="V71" s="41"/>
      <c r="W71" s="41"/>
      <c r="X71" s="41"/>
      <c r="Y71" s="41"/>
      <c r="AH71" s="3"/>
    </row>
    <row r="72" spans="1:34" ht="15" customHeight="1" x14ac:dyDescent="0.15">
      <c r="A72" s="41"/>
      <c r="B72" s="41"/>
      <c r="D72" s="41"/>
      <c r="E72" s="41"/>
      <c r="F72" s="41"/>
      <c r="G72" s="41"/>
      <c r="H72" s="41"/>
      <c r="I72" s="15"/>
      <c r="J72" s="1"/>
      <c r="K72" s="41"/>
      <c r="L72" s="41"/>
      <c r="M72" s="41"/>
      <c r="N72" s="41"/>
      <c r="O72" s="41"/>
      <c r="P72" s="41"/>
      <c r="Q72" s="41"/>
      <c r="R72" s="41"/>
      <c r="S72" s="41"/>
      <c r="T72" s="41"/>
      <c r="U72" s="41"/>
      <c r="V72" s="41"/>
      <c r="W72" s="41"/>
      <c r="X72" s="41"/>
      <c r="Y72" s="41"/>
      <c r="AH72" s="3"/>
    </row>
    <row r="73" spans="1:34" ht="15" customHeight="1" x14ac:dyDescent="0.15">
      <c r="A73" s="41"/>
      <c r="B73" s="41"/>
      <c r="D73" s="41"/>
      <c r="E73" s="41"/>
      <c r="F73" s="41"/>
      <c r="G73" s="41"/>
      <c r="H73" s="41"/>
      <c r="I73" s="41"/>
      <c r="J73" s="2"/>
      <c r="K73" s="41"/>
      <c r="L73" s="41"/>
      <c r="M73" s="41"/>
      <c r="N73" s="41"/>
      <c r="O73" s="41"/>
      <c r="P73" s="41"/>
      <c r="Q73" s="41"/>
      <c r="AH73" s="3"/>
    </row>
    <row r="74" spans="1:34" ht="15" customHeight="1" x14ac:dyDescent="0.15">
      <c r="A74" s="15"/>
      <c r="B74" s="1"/>
      <c r="C74" s="41"/>
      <c r="D74" s="41"/>
      <c r="E74" s="41"/>
      <c r="F74" s="41"/>
      <c r="G74" s="41"/>
      <c r="H74" s="41"/>
      <c r="I74" s="41"/>
      <c r="J74" s="41"/>
      <c r="K74" s="41"/>
      <c r="L74" s="41"/>
      <c r="M74" s="41"/>
      <c r="N74" s="41"/>
      <c r="O74" s="41"/>
      <c r="P74" s="41"/>
      <c r="Q74" s="41"/>
      <c r="AH74" s="3"/>
    </row>
    <row r="75" spans="1:34" ht="15" customHeight="1" x14ac:dyDescent="0.15">
      <c r="A75" s="41"/>
      <c r="B75" s="2"/>
      <c r="C75" s="41"/>
      <c r="D75" s="41"/>
      <c r="E75" s="41"/>
      <c r="F75" s="41"/>
      <c r="G75" s="41"/>
      <c r="H75" s="41"/>
      <c r="I75" s="41"/>
      <c r="J75" s="41"/>
      <c r="K75" s="41"/>
      <c r="L75" s="41"/>
      <c r="M75" s="41"/>
      <c r="N75" s="41"/>
      <c r="O75" s="41"/>
      <c r="P75" s="41"/>
      <c r="Q75" s="41"/>
      <c r="AH75" s="3"/>
    </row>
    <row r="76" spans="1:34" ht="15" customHeight="1" x14ac:dyDescent="0.15">
      <c r="A76" s="41"/>
      <c r="B76" s="2"/>
      <c r="C76" s="41"/>
      <c r="D76" s="41"/>
      <c r="E76" s="41"/>
      <c r="F76" s="41"/>
      <c r="G76" s="41"/>
      <c r="H76" s="41"/>
      <c r="I76" s="41"/>
      <c r="J76" s="41"/>
      <c r="K76" s="41"/>
      <c r="L76" s="41"/>
      <c r="M76" s="41"/>
      <c r="N76" s="41"/>
      <c r="O76" s="41"/>
      <c r="P76" s="41"/>
      <c r="Q76" s="41"/>
      <c r="AH76" s="3"/>
    </row>
    <row r="77" spans="1:34" ht="15" customHeight="1" x14ac:dyDescent="0.15">
      <c r="A77" s="41"/>
      <c r="B77" s="2"/>
      <c r="C77" s="41"/>
      <c r="D77" s="41"/>
      <c r="E77" s="41"/>
      <c r="F77" s="41"/>
      <c r="G77" s="41"/>
      <c r="H77" s="41"/>
      <c r="I77" s="41"/>
      <c r="J77" s="41"/>
      <c r="K77" s="41"/>
      <c r="L77" s="41"/>
      <c r="M77" s="41"/>
      <c r="N77" s="41"/>
      <c r="O77" s="41"/>
      <c r="P77" s="41"/>
      <c r="Q77" s="41"/>
      <c r="AH77" s="3"/>
    </row>
    <row r="78" spans="1:34" ht="15" customHeight="1" x14ac:dyDescent="0.15">
      <c r="A78" s="41"/>
      <c r="B78" s="2"/>
      <c r="C78" s="41"/>
      <c r="D78" s="41"/>
      <c r="E78" s="41"/>
      <c r="F78" s="41"/>
      <c r="G78" s="41"/>
      <c r="H78" s="41"/>
      <c r="I78" s="41"/>
      <c r="J78" s="41"/>
      <c r="K78" s="41"/>
      <c r="L78" s="41"/>
      <c r="M78" s="41"/>
      <c r="N78" s="41"/>
      <c r="O78" s="41"/>
      <c r="P78" s="41"/>
      <c r="Q78" s="41"/>
      <c r="AH78" s="3"/>
    </row>
    <row r="79" spans="1:34" ht="15" customHeight="1" x14ac:dyDescent="0.15">
      <c r="A79" s="15"/>
      <c r="B79" s="15"/>
      <c r="C79" s="41"/>
      <c r="D79" s="41"/>
      <c r="E79" s="41"/>
      <c r="F79" s="41"/>
      <c r="G79" s="41"/>
      <c r="H79" s="41"/>
      <c r="I79" s="41"/>
      <c r="J79" s="41"/>
      <c r="K79" s="41"/>
      <c r="L79" s="41"/>
      <c r="M79" s="41"/>
      <c r="N79" s="41"/>
      <c r="O79" s="41"/>
      <c r="P79" s="41"/>
      <c r="Q79" s="41"/>
      <c r="AH79" s="3"/>
    </row>
    <row r="80" spans="1:34" ht="15" customHeight="1" x14ac:dyDescent="0.15">
      <c r="A80" s="15"/>
      <c r="B80" s="15"/>
      <c r="C80" s="41"/>
      <c r="D80" s="41"/>
      <c r="E80" s="41"/>
      <c r="F80" s="41"/>
      <c r="G80" s="41"/>
      <c r="H80" s="41"/>
      <c r="I80" s="41"/>
      <c r="J80" s="41"/>
      <c r="K80" s="41"/>
      <c r="L80" s="41"/>
      <c r="M80" s="41"/>
      <c r="N80" s="41"/>
      <c r="O80" s="41"/>
      <c r="P80" s="41"/>
      <c r="Q80" s="41"/>
      <c r="AH80" s="3"/>
    </row>
    <row r="81" spans="1:34" ht="15" customHeight="1" x14ac:dyDescent="0.15">
      <c r="A81" s="15"/>
      <c r="B81" s="15"/>
      <c r="C81" s="41"/>
      <c r="D81" s="41"/>
      <c r="E81" s="41"/>
      <c r="F81" s="41"/>
      <c r="G81" s="41"/>
      <c r="H81" s="41"/>
      <c r="I81" s="41"/>
      <c r="J81" s="41"/>
      <c r="K81" s="41"/>
      <c r="L81" s="41"/>
      <c r="M81" s="41"/>
      <c r="N81" s="41"/>
      <c r="O81" s="41"/>
      <c r="P81" s="41"/>
      <c r="Q81" s="41"/>
      <c r="AH81" s="3"/>
    </row>
    <row r="82" spans="1:34" ht="15" customHeight="1" x14ac:dyDescent="0.15">
      <c r="A82" s="15"/>
      <c r="B82" s="15"/>
      <c r="C82" s="41"/>
      <c r="D82" s="41"/>
      <c r="E82" s="41"/>
      <c r="F82" s="41"/>
      <c r="G82" s="41"/>
      <c r="H82" s="41"/>
      <c r="I82" s="41"/>
      <c r="J82" s="41"/>
      <c r="K82" s="41"/>
      <c r="L82" s="41"/>
      <c r="M82" s="41"/>
      <c r="N82" s="41"/>
      <c r="O82" s="41"/>
      <c r="P82" s="41"/>
      <c r="Q82" s="41"/>
      <c r="AH82" s="3"/>
    </row>
    <row r="83" spans="1:34" ht="15" customHeight="1" x14ac:dyDescent="0.15">
      <c r="A83" s="15"/>
      <c r="B83" s="15"/>
      <c r="C83" s="41"/>
      <c r="D83" s="41"/>
      <c r="E83" s="41"/>
      <c r="F83" s="41"/>
      <c r="G83" s="41"/>
      <c r="H83" s="41"/>
      <c r="I83" s="41"/>
      <c r="J83" s="41"/>
      <c r="K83" s="41"/>
      <c r="L83" s="41"/>
      <c r="M83" s="41"/>
      <c r="N83" s="41"/>
      <c r="O83" s="41"/>
      <c r="P83" s="41"/>
      <c r="Q83" s="41"/>
      <c r="AH83" s="3"/>
    </row>
    <row r="84" spans="1:34" ht="15" customHeight="1" x14ac:dyDescent="0.15">
      <c r="A84" s="15"/>
      <c r="B84" s="15"/>
      <c r="C84" s="41"/>
      <c r="D84" s="41"/>
      <c r="E84" s="41"/>
      <c r="F84" s="41"/>
      <c r="G84" s="41"/>
      <c r="H84" s="41"/>
      <c r="I84" s="41"/>
      <c r="J84" s="41"/>
      <c r="K84" s="41"/>
      <c r="L84" s="41"/>
      <c r="M84" s="41"/>
      <c r="N84" s="41"/>
      <c r="O84" s="41"/>
      <c r="P84" s="41"/>
      <c r="Q84" s="41"/>
      <c r="AH84" s="3"/>
    </row>
    <row r="85" spans="1:34" ht="15" customHeight="1" x14ac:dyDescent="0.15">
      <c r="A85" s="15"/>
      <c r="B85" s="15"/>
      <c r="C85" s="41"/>
      <c r="D85" s="41"/>
      <c r="E85" s="41"/>
      <c r="F85" s="41"/>
      <c r="G85" s="41"/>
      <c r="H85" s="41"/>
      <c r="I85" s="41"/>
      <c r="J85" s="41"/>
      <c r="K85" s="41"/>
      <c r="L85" s="41"/>
      <c r="M85" s="41"/>
      <c r="N85" s="41"/>
      <c r="O85" s="41"/>
      <c r="P85" s="41"/>
      <c r="Q85" s="41"/>
      <c r="AH85" s="3"/>
    </row>
    <row r="86" spans="1:34" s="22" customFormat="1" ht="15" customHeight="1" x14ac:dyDescent="0.15">
      <c r="A86" s="15"/>
      <c r="B86" s="15"/>
      <c r="C86" s="41"/>
      <c r="D86" s="41"/>
      <c r="E86" s="41"/>
      <c r="F86" s="41"/>
      <c r="G86" s="41"/>
      <c r="H86" s="41"/>
      <c r="I86" s="41"/>
      <c r="J86" s="41"/>
      <c r="K86" s="41"/>
      <c r="L86" s="36"/>
      <c r="M86" s="36"/>
      <c r="N86" s="36"/>
      <c r="O86" s="36"/>
      <c r="P86" s="36"/>
      <c r="Q86" s="36"/>
    </row>
    <row r="87" spans="1:34" ht="15" customHeight="1" x14ac:dyDescent="0.15">
      <c r="A87" s="15"/>
      <c r="B87" s="1"/>
      <c r="C87" s="41"/>
      <c r="D87" s="36"/>
      <c r="E87" s="36"/>
      <c r="F87" s="36"/>
      <c r="G87" s="36"/>
      <c r="H87" s="36"/>
      <c r="I87" s="36"/>
      <c r="J87" s="36"/>
      <c r="K87" s="36"/>
      <c r="L87" s="41"/>
      <c r="M87" s="41"/>
      <c r="N87" s="41"/>
      <c r="O87" s="41"/>
      <c r="P87" s="41"/>
      <c r="Q87" s="41"/>
      <c r="AH87" s="3"/>
    </row>
    <row r="88" spans="1:34" ht="15" customHeight="1" x14ac:dyDescent="0.15">
      <c r="A88" s="15"/>
      <c r="B88" s="1"/>
      <c r="C88" s="41"/>
      <c r="D88" s="41"/>
      <c r="E88" s="41"/>
      <c r="F88" s="41"/>
      <c r="G88" s="41"/>
      <c r="H88" s="41"/>
      <c r="I88" s="41"/>
      <c r="J88" s="41"/>
      <c r="K88" s="41"/>
      <c r="L88" s="41"/>
      <c r="M88" s="41"/>
      <c r="N88" s="41"/>
      <c r="O88" s="41"/>
      <c r="P88" s="41"/>
      <c r="Q88" s="41"/>
      <c r="AH88" s="3"/>
    </row>
    <row r="89" spans="1:34" ht="15" customHeight="1" x14ac:dyDescent="0.15">
      <c r="A89" s="15"/>
      <c r="B89" s="1"/>
      <c r="C89" s="36"/>
      <c r="D89" s="41"/>
      <c r="E89" s="41"/>
      <c r="F89" s="41"/>
      <c r="G89" s="41"/>
      <c r="H89" s="41"/>
      <c r="I89" s="41"/>
      <c r="J89" s="41"/>
      <c r="K89" s="41"/>
      <c r="L89" s="41"/>
      <c r="M89" s="41"/>
      <c r="N89" s="41"/>
      <c r="O89" s="41"/>
      <c r="P89" s="41"/>
      <c r="Q89" s="41"/>
      <c r="AH89" s="3"/>
    </row>
    <row r="90" spans="1:34" ht="15" customHeight="1" x14ac:dyDescent="0.15">
      <c r="A90" s="15"/>
      <c r="B90" s="1"/>
      <c r="C90" s="41"/>
      <c r="D90" s="41"/>
      <c r="E90" s="41"/>
      <c r="F90" s="41"/>
      <c r="G90" s="41"/>
      <c r="H90" s="41"/>
      <c r="I90" s="41"/>
      <c r="J90" s="41"/>
      <c r="K90" s="41"/>
      <c r="L90" s="41"/>
      <c r="M90" s="41"/>
      <c r="N90" s="41"/>
      <c r="O90" s="41"/>
      <c r="P90" s="41"/>
      <c r="Q90" s="41"/>
      <c r="AH90" s="3"/>
    </row>
    <row r="91" spans="1:34" ht="15" customHeight="1" x14ac:dyDescent="0.15">
      <c r="A91" s="15"/>
      <c r="B91" s="1"/>
      <c r="C91" s="41"/>
      <c r="D91" s="41"/>
      <c r="E91" s="41"/>
      <c r="F91" s="41"/>
      <c r="G91" s="41"/>
      <c r="H91" s="41"/>
      <c r="I91" s="41"/>
      <c r="J91" s="41"/>
      <c r="K91" s="41"/>
      <c r="L91" s="41"/>
      <c r="M91" s="41"/>
      <c r="N91" s="41"/>
      <c r="O91" s="41"/>
      <c r="P91" s="41"/>
      <c r="Q91" s="41"/>
      <c r="AH91" s="3"/>
    </row>
    <row r="92" spans="1:34" ht="15" customHeight="1" x14ac:dyDescent="0.15">
      <c r="A92" s="15"/>
      <c r="B92" s="1"/>
      <c r="C92" s="41"/>
      <c r="D92" s="41"/>
      <c r="E92" s="41"/>
      <c r="F92" s="41"/>
      <c r="G92" s="41"/>
      <c r="H92" s="41"/>
      <c r="I92" s="41"/>
      <c r="J92" s="41"/>
      <c r="K92" s="41"/>
      <c r="L92" s="41"/>
      <c r="M92" s="41"/>
      <c r="N92" s="41"/>
      <c r="O92" s="41"/>
      <c r="P92" s="41"/>
      <c r="Q92" s="41"/>
      <c r="AH92" s="3"/>
    </row>
    <row r="93" spans="1:34" ht="15" customHeight="1" x14ac:dyDescent="0.15">
      <c r="A93" s="15"/>
      <c r="B93" s="1"/>
      <c r="C93" s="41"/>
      <c r="D93" s="41"/>
      <c r="E93" s="41"/>
      <c r="F93" s="41"/>
      <c r="G93" s="41"/>
      <c r="H93" s="41"/>
      <c r="I93" s="41"/>
      <c r="J93" s="41"/>
      <c r="K93" s="41"/>
      <c r="L93" s="41"/>
      <c r="M93" s="41"/>
      <c r="N93" s="41"/>
      <c r="O93" s="41"/>
      <c r="P93" s="41"/>
      <c r="Q93" s="41"/>
      <c r="AH93" s="3"/>
    </row>
    <row r="94" spans="1:34" ht="15" customHeight="1" x14ac:dyDescent="0.15">
      <c r="A94" s="15"/>
      <c r="B94" s="1"/>
      <c r="C94" s="41"/>
      <c r="D94" s="41"/>
      <c r="E94" s="41"/>
      <c r="F94" s="41"/>
      <c r="G94" s="41"/>
      <c r="H94" s="41"/>
      <c r="I94" s="41"/>
      <c r="J94" s="41"/>
      <c r="K94" s="41"/>
      <c r="L94" s="41"/>
      <c r="M94" s="41"/>
      <c r="N94" s="41"/>
      <c r="O94" s="41"/>
      <c r="P94" s="41"/>
      <c r="Q94" s="41"/>
      <c r="AH94" s="3"/>
    </row>
    <row r="95" spans="1:34" ht="15" customHeight="1" x14ac:dyDescent="0.15">
      <c r="A95" s="15"/>
      <c r="B95" s="1"/>
      <c r="C95" s="41"/>
      <c r="D95" s="41"/>
      <c r="E95" s="41"/>
      <c r="F95" s="41"/>
      <c r="G95" s="41"/>
      <c r="H95" s="41"/>
      <c r="I95" s="41"/>
      <c r="J95" s="41"/>
      <c r="K95" s="41"/>
      <c r="L95" s="41"/>
      <c r="M95" s="41"/>
      <c r="N95" s="41"/>
      <c r="O95" s="41"/>
      <c r="P95" s="41"/>
      <c r="Q95" s="41"/>
      <c r="AH95" s="3"/>
    </row>
    <row r="96" spans="1:34" ht="15" customHeight="1" x14ac:dyDescent="0.15">
      <c r="A96" s="41"/>
      <c r="B96" s="2"/>
      <c r="C96" s="41"/>
      <c r="D96" s="41"/>
      <c r="E96" s="41"/>
      <c r="F96" s="41"/>
      <c r="G96" s="41"/>
      <c r="H96" s="41"/>
      <c r="I96" s="41"/>
      <c r="J96" s="41"/>
      <c r="K96" s="41"/>
      <c r="L96" s="41"/>
      <c r="M96" s="41"/>
      <c r="N96" s="41"/>
      <c r="O96" s="41"/>
      <c r="P96" s="41"/>
      <c r="Q96" s="41"/>
      <c r="AH96" s="3"/>
    </row>
    <row r="97" spans="1:49" ht="15" customHeight="1" x14ac:dyDescent="0.15">
      <c r="A97" s="41"/>
      <c r="B97" s="2"/>
      <c r="C97" s="41"/>
      <c r="D97" s="41"/>
      <c r="E97" s="41"/>
      <c r="F97" s="41"/>
      <c r="G97" s="41"/>
      <c r="H97" s="41"/>
      <c r="I97" s="41"/>
      <c r="J97" s="41"/>
      <c r="K97" s="41"/>
      <c r="L97" s="41"/>
      <c r="M97" s="41"/>
      <c r="N97" s="41"/>
      <c r="O97" s="41"/>
      <c r="P97" s="41"/>
      <c r="Q97" s="41"/>
      <c r="AH97" s="3"/>
    </row>
    <row r="98" spans="1:49" ht="15" customHeight="1" x14ac:dyDescent="0.15">
      <c r="A98" s="41"/>
      <c r="B98" s="2"/>
      <c r="C98" s="41"/>
      <c r="D98" s="41"/>
      <c r="E98" s="41"/>
      <c r="F98" s="41"/>
      <c r="G98" s="41"/>
      <c r="H98" s="41"/>
      <c r="I98" s="41"/>
      <c r="J98" s="41"/>
      <c r="K98" s="41"/>
      <c r="L98" s="41"/>
      <c r="M98" s="41"/>
      <c r="N98" s="41"/>
      <c r="O98" s="41"/>
      <c r="P98" s="41"/>
      <c r="Q98" s="41"/>
      <c r="AH98" s="3"/>
    </row>
    <row r="99" spans="1:49" ht="15" customHeight="1" x14ac:dyDescent="0.15">
      <c r="A99" s="41"/>
      <c r="B99" s="2"/>
      <c r="C99" s="41"/>
      <c r="D99" s="41"/>
      <c r="E99" s="41"/>
      <c r="F99" s="41"/>
      <c r="G99" s="41"/>
      <c r="H99" s="41"/>
      <c r="I99" s="41"/>
      <c r="J99" s="41"/>
      <c r="K99" s="41"/>
      <c r="L99" s="41"/>
      <c r="M99" s="41"/>
      <c r="N99" s="41"/>
      <c r="O99" s="41"/>
      <c r="P99" s="41"/>
      <c r="Q99" s="41"/>
      <c r="AH99" s="3"/>
    </row>
    <row r="100" spans="1:49" ht="15" customHeight="1" x14ac:dyDescent="0.15">
      <c r="A100" s="15"/>
      <c r="B100" s="1"/>
      <c r="C100" s="41"/>
      <c r="D100" s="41"/>
      <c r="E100" s="41"/>
      <c r="F100" s="41"/>
      <c r="G100" s="41"/>
      <c r="H100" s="41"/>
      <c r="I100" s="41"/>
      <c r="J100" s="41"/>
      <c r="K100" s="41"/>
      <c r="L100" s="41"/>
      <c r="M100" s="41"/>
      <c r="N100" s="41"/>
      <c r="O100" s="41"/>
      <c r="P100" s="41"/>
      <c r="Q100" s="41"/>
      <c r="AH100" s="3"/>
    </row>
    <row r="101" spans="1:49" ht="15" customHeight="1" x14ac:dyDescent="0.15">
      <c r="A101" s="15"/>
      <c r="B101" s="1"/>
      <c r="C101" s="41"/>
      <c r="D101" s="41"/>
      <c r="E101" s="41"/>
      <c r="F101" s="41"/>
      <c r="G101" s="41"/>
      <c r="H101" s="41"/>
      <c r="I101" s="41"/>
      <c r="J101" s="41"/>
      <c r="K101" s="41"/>
      <c r="L101" s="41"/>
      <c r="M101" s="41"/>
      <c r="N101" s="41"/>
      <c r="O101" s="41"/>
      <c r="P101" s="41"/>
      <c r="Q101" s="41"/>
      <c r="AH101" s="3"/>
    </row>
    <row r="102" spans="1:49" ht="15" customHeight="1" x14ac:dyDescent="0.15">
      <c r="A102" s="15"/>
      <c r="B102" s="1"/>
      <c r="C102" s="41"/>
      <c r="D102" s="41"/>
      <c r="E102" s="41"/>
      <c r="F102" s="41"/>
      <c r="G102" s="41"/>
      <c r="H102" s="41"/>
      <c r="I102" s="41"/>
      <c r="J102" s="41"/>
      <c r="K102" s="41"/>
      <c r="L102" s="41"/>
      <c r="M102" s="41"/>
      <c r="N102" s="41"/>
      <c r="O102" s="41"/>
      <c r="P102" s="41"/>
      <c r="Q102" s="41"/>
      <c r="AH102" s="3"/>
    </row>
    <row r="103" spans="1:49" ht="15" customHeight="1" x14ac:dyDescent="0.15">
      <c r="A103" s="15"/>
      <c r="B103" s="1"/>
      <c r="C103" s="41"/>
      <c r="D103" s="41"/>
      <c r="E103" s="41"/>
      <c r="F103" s="41"/>
      <c r="G103" s="41"/>
      <c r="H103" s="41"/>
      <c r="I103" s="41"/>
      <c r="J103" s="41"/>
      <c r="K103" s="41"/>
      <c r="L103" s="41"/>
      <c r="M103" s="41"/>
      <c r="N103" s="41"/>
      <c r="O103" s="41"/>
      <c r="P103" s="41"/>
      <c r="Q103" s="41"/>
      <c r="AH103" s="3"/>
    </row>
    <row r="104" spans="1:49" ht="15" customHeight="1" x14ac:dyDescent="0.15">
      <c r="A104" s="15"/>
      <c r="B104" s="1"/>
      <c r="C104" s="41"/>
      <c r="D104" s="41"/>
      <c r="E104" s="41"/>
      <c r="F104" s="41"/>
      <c r="G104" s="41"/>
      <c r="H104" s="41"/>
      <c r="I104" s="41"/>
      <c r="J104" s="41"/>
      <c r="K104" s="41"/>
      <c r="L104" s="41"/>
      <c r="M104" s="41"/>
      <c r="N104" s="41"/>
      <c r="O104" s="41"/>
      <c r="P104" s="41"/>
      <c r="Q104" s="41"/>
      <c r="AH104" s="3"/>
    </row>
    <row r="105" spans="1:49" ht="15" customHeight="1" x14ac:dyDescent="0.15">
      <c r="A105" s="15"/>
      <c r="B105" s="1"/>
      <c r="C105" s="41"/>
      <c r="D105" s="41"/>
      <c r="E105" s="41"/>
      <c r="F105" s="41"/>
      <c r="G105" s="41"/>
      <c r="H105" s="41"/>
      <c r="I105" s="41"/>
      <c r="J105" s="41"/>
      <c r="K105" s="41"/>
      <c r="L105" s="41"/>
      <c r="M105" s="41"/>
      <c r="N105" s="41"/>
      <c r="O105" s="41"/>
      <c r="P105" s="41"/>
      <c r="Q105" s="41"/>
      <c r="AH105" s="3"/>
    </row>
    <row r="106" spans="1:49" ht="15" customHeight="1" x14ac:dyDescent="0.15">
      <c r="A106" s="41"/>
      <c r="B106" s="2"/>
      <c r="C106" s="41"/>
      <c r="D106" s="41"/>
      <c r="E106" s="41"/>
      <c r="F106" s="41"/>
      <c r="G106" s="41"/>
      <c r="H106" s="41"/>
      <c r="I106" s="41"/>
      <c r="J106" s="41"/>
      <c r="K106" s="41"/>
      <c r="L106" s="41"/>
      <c r="M106" s="41"/>
      <c r="N106" s="41"/>
      <c r="O106" s="41"/>
      <c r="P106" s="41"/>
      <c r="Q106" s="41"/>
      <c r="AH106" s="3"/>
    </row>
    <row r="107" spans="1:49" ht="15" customHeight="1" x14ac:dyDescent="0.15">
      <c r="A107" s="41"/>
      <c r="B107" s="2"/>
      <c r="C107" s="41"/>
      <c r="D107" s="41"/>
      <c r="E107" s="41"/>
      <c r="F107" s="41"/>
      <c r="G107" s="41"/>
      <c r="H107" s="41"/>
      <c r="I107" s="41"/>
      <c r="J107" s="41"/>
      <c r="K107" s="41"/>
      <c r="L107" s="41"/>
      <c r="M107" s="41"/>
      <c r="N107" s="41"/>
      <c r="O107" s="41"/>
      <c r="P107" s="41"/>
      <c r="Q107" s="41"/>
      <c r="AH107" s="3"/>
    </row>
    <row r="108" spans="1:49" ht="15" customHeight="1" x14ac:dyDescent="0.15">
      <c r="A108" s="41"/>
      <c r="B108" s="2"/>
      <c r="C108" s="41"/>
      <c r="D108" s="41"/>
      <c r="E108" s="41"/>
      <c r="F108" s="41"/>
      <c r="G108" s="41"/>
      <c r="H108" s="41"/>
      <c r="I108" s="41"/>
      <c r="J108" s="41"/>
      <c r="K108" s="41"/>
      <c r="L108" s="41"/>
      <c r="M108" s="41"/>
      <c r="N108" s="41"/>
      <c r="O108" s="41"/>
      <c r="P108" s="41"/>
      <c r="Q108" s="41"/>
      <c r="AH108" s="3"/>
    </row>
    <row r="109" spans="1:49" ht="15" customHeight="1" x14ac:dyDescent="0.15">
      <c r="A109" s="41"/>
      <c r="B109" s="2"/>
      <c r="C109" s="41"/>
      <c r="D109" s="41"/>
      <c r="E109" s="41"/>
      <c r="F109" s="41"/>
      <c r="G109" s="41"/>
      <c r="H109" s="41"/>
      <c r="I109" s="41"/>
      <c r="J109" s="41"/>
      <c r="K109" s="41"/>
      <c r="L109" s="41"/>
      <c r="M109" s="41"/>
      <c r="N109" s="41"/>
      <c r="O109" s="41"/>
      <c r="P109" s="41"/>
      <c r="R109" s="41"/>
      <c r="S109" s="41"/>
      <c r="T109" s="41"/>
      <c r="U109" s="41"/>
      <c r="V109" s="41"/>
      <c r="W109" s="41"/>
      <c r="X109" s="41"/>
      <c r="Y109" s="41"/>
      <c r="Z109" s="41"/>
      <c r="AA109" s="41"/>
      <c r="AB109" s="41"/>
      <c r="AC109" s="41"/>
      <c r="AD109" s="41"/>
      <c r="AE109" s="41"/>
      <c r="AF109" s="41"/>
      <c r="AG109" s="41"/>
      <c r="AI109" s="41"/>
      <c r="AJ109" s="41"/>
      <c r="AK109" s="41"/>
      <c r="AL109" s="41"/>
      <c r="AM109" s="41"/>
      <c r="AN109" s="41"/>
      <c r="AO109" s="41"/>
      <c r="AP109" s="41"/>
      <c r="AQ109" s="41"/>
      <c r="AR109" s="41"/>
      <c r="AS109" s="41"/>
      <c r="AT109" s="41"/>
      <c r="AU109" s="41"/>
      <c r="AV109" s="41"/>
      <c r="AW109" s="41"/>
    </row>
    <row r="110" spans="1:49" ht="15" customHeight="1" x14ac:dyDescent="0.15">
      <c r="A110" s="41"/>
      <c r="B110" s="41"/>
      <c r="C110" s="41"/>
      <c r="D110" s="41"/>
      <c r="E110" s="41"/>
      <c r="F110" s="41"/>
      <c r="G110" s="41"/>
      <c r="H110" s="41"/>
      <c r="I110" s="41"/>
      <c r="J110" s="41"/>
      <c r="K110" s="41"/>
    </row>
  </sheetData>
  <mergeCells count="17">
    <mergeCell ref="AC3:AF3"/>
    <mergeCell ref="AG3:AI3"/>
    <mergeCell ref="E1:N1"/>
    <mergeCell ref="AG1:AI1"/>
    <mergeCell ref="E2:N2"/>
    <mergeCell ref="AC2:AF2"/>
    <mergeCell ref="AG2:AI2"/>
    <mergeCell ref="AC1:AF1"/>
    <mergeCell ref="A1:D1"/>
    <mergeCell ref="O1:R3"/>
    <mergeCell ref="AA1:AB1"/>
    <mergeCell ref="A2:D2"/>
    <mergeCell ref="AA2:AB2"/>
    <mergeCell ref="A3:D3"/>
    <mergeCell ref="AA3:AB3"/>
    <mergeCell ref="S1:Z3"/>
    <mergeCell ref="E3:N3"/>
  </mergeCells>
  <phoneticPr fontId="4"/>
  <printOptions horizontalCentered="1"/>
  <pageMargins left="0.39370078740157477" right="0.39370078740157477" top="0.39370078740157477" bottom="0.39370078740157477" header="0.19685039370078738" footer="0.19685039370078738"/>
  <pageSetup paperSize="9" fitToHeight="0" orientation="landscape" r:id="rId1"/>
  <headerFooter alignWithMargins="0"/>
  <rowBreaks count="1" manualBreakCount="1">
    <brk id="39" max="3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0">
    <pageSetUpPr fitToPage="1"/>
  </sheetPr>
  <dimension ref="A1:AI25"/>
  <sheetViews>
    <sheetView showGridLines="0" view="pageBreakPreview" zoomScaleNormal="100" zoomScaleSheetLayoutView="100" workbookViewId="0">
      <selection sqref="A1:D1"/>
    </sheetView>
  </sheetViews>
  <sheetFormatPr defaultColWidth="4.83203125" defaultRowHeight="15" customHeight="1" x14ac:dyDescent="0.15"/>
  <cols>
    <col min="1" max="16384" width="4.83203125" style="14"/>
  </cols>
  <sheetData>
    <row r="1" spans="1:35" ht="12" customHeight="1" x14ac:dyDescent="0.15">
      <c r="A1" s="107" t="s">
        <v>225</v>
      </c>
      <c r="B1" s="108"/>
      <c r="C1" s="108"/>
      <c r="D1" s="109"/>
      <c r="E1" s="128" t="str">
        <f ca="1">IF(INDIRECT("変更履歴!E1")&lt;&gt;"",INDIRECT("変更履歴!E1"),"")</f>
        <v>サンプルプロジェクト</v>
      </c>
      <c r="F1" s="129"/>
      <c r="G1" s="129"/>
      <c r="H1" s="129"/>
      <c r="I1" s="129"/>
      <c r="J1" s="129"/>
      <c r="K1" s="129"/>
      <c r="L1" s="129"/>
      <c r="M1" s="129"/>
      <c r="N1" s="130"/>
      <c r="O1" s="110" t="s">
        <v>236</v>
      </c>
      <c r="P1" s="111"/>
      <c r="Q1" s="111"/>
      <c r="R1" s="112"/>
      <c r="S1" s="160" t="str">
        <f ca="1">IF(INDIRECT("変更履歴!S1")&lt;&gt;"",INDIRECT("変更履歴!S1"),"")</f>
        <v>単体テスト標準</v>
      </c>
      <c r="T1" s="161"/>
      <c r="U1" s="161"/>
      <c r="V1" s="161"/>
      <c r="W1" s="161"/>
      <c r="X1" s="161"/>
      <c r="Y1" s="161"/>
      <c r="Z1" s="162"/>
      <c r="AA1" s="107" t="s">
        <v>232</v>
      </c>
      <c r="AB1" s="109"/>
      <c r="AC1" s="146" t="str">
        <f ca="1">IF(INDIRECT("変更履歴!AC1")&lt;&gt;"",INDIRECT("変更履歴!AC1"),"")</f>
        <v>TIS</v>
      </c>
      <c r="AD1" s="147"/>
      <c r="AE1" s="147"/>
      <c r="AF1" s="148"/>
      <c r="AG1" s="149">
        <f ca="1">IF(INDIRECT("変更履歴!AG1")&lt;&gt;"",INDIRECT("変更履歴!AG1"),"")</f>
        <v>45061</v>
      </c>
      <c r="AH1" s="150"/>
      <c r="AI1" s="151"/>
    </row>
    <row r="2" spans="1:35" ht="12" customHeight="1" x14ac:dyDescent="0.15">
      <c r="A2" s="107" t="s">
        <v>228</v>
      </c>
      <c r="B2" s="108"/>
      <c r="C2" s="108"/>
      <c r="D2" s="109"/>
      <c r="E2" s="128" t="str">
        <f ca="1">IF(INDIRECT("変更履歴!E2")&lt;&gt;"",INDIRECT("変更履歴!E2"),"")</f>
        <v>サンプルシステム</v>
      </c>
      <c r="F2" s="129"/>
      <c r="G2" s="129"/>
      <c r="H2" s="129"/>
      <c r="I2" s="129"/>
      <c r="J2" s="129"/>
      <c r="K2" s="129"/>
      <c r="L2" s="129"/>
      <c r="M2" s="129"/>
      <c r="N2" s="130"/>
      <c r="O2" s="113"/>
      <c r="P2" s="114"/>
      <c r="Q2" s="114"/>
      <c r="R2" s="115"/>
      <c r="S2" s="163"/>
      <c r="T2" s="164"/>
      <c r="U2" s="164"/>
      <c r="V2" s="164"/>
      <c r="W2" s="164"/>
      <c r="X2" s="164"/>
      <c r="Y2" s="164"/>
      <c r="Z2" s="165"/>
      <c r="AA2" s="107" t="s">
        <v>233</v>
      </c>
      <c r="AB2" s="109"/>
      <c r="AC2" s="146" t="str">
        <f ca="1">IF(INDIRECT("変更履歴!AC2")&lt;&gt;"",INDIRECT("変更履歴!AC2"),"")</f>
        <v/>
      </c>
      <c r="AD2" s="147"/>
      <c r="AE2" s="147"/>
      <c r="AF2" s="148"/>
      <c r="AG2" s="149" t="str">
        <f ca="1">IF(INDIRECT("変更履歴!AG2")&lt;&gt;"",INDIRECT("変更履歴!AG2"),"")</f>
        <v/>
      </c>
      <c r="AH2" s="150"/>
      <c r="AI2" s="151"/>
    </row>
    <row r="3" spans="1:35" ht="11.25" x14ac:dyDescent="0.15">
      <c r="A3" s="107" t="s">
        <v>230</v>
      </c>
      <c r="B3" s="108"/>
      <c r="C3" s="108"/>
      <c r="D3" s="109"/>
      <c r="E3" s="128" t="str">
        <f ca="1">IF(INDIRECT("変更履歴!E3")&lt;&gt;"",INDIRECT("変更履歴!E3"),"")</f>
        <v/>
      </c>
      <c r="F3" s="129"/>
      <c r="G3" s="129"/>
      <c r="H3" s="129"/>
      <c r="I3" s="129"/>
      <c r="J3" s="129"/>
      <c r="K3" s="129"/>
      <c r="L3" s="129"/>
      <c r="M3" s="129"/>
      <c r="N3" s="130"/>
      <c r="O3" s="116"/>
      <c r="P3" s="117"/>
      <c r="Q3" s="117"/>
      <c r="R3" s="118"/>
      <c r="S3" s="166"/>
      <c r="T3" s="167"/>
      <c r="U3" s="167"/>
      <c r="V3" s="167"/>
      <c r="W3" s="167"/>
      <c r="X3" s="167"/>
      <c r="Y3" s="167"/>
      <c r="Z3" s="168"/>
      <c r="AA3" s="107"/>
      <c r="AB3" s="109"/>
      <c r="AC3" s="146" t="str">
        <f ca="1">IF(INDIRECT("変更履歴!AC3")&lt;&gt;"",INDIRECT("変更履歴!AC3"),"")</f>
        <v/>
      </c>
      <c r="AD3" s="147"/>
      <c r="AE3" s="147"/>
      <c r="AF3" s="148"/>
      <c r="AG3" s="149" t="str">
        <f ca="1">IF(INDIRECT("変更履歴!AG3")&lt;&gt;"",INDIRECT("変更履歴!AG3"),"")</f>
        <v/>
      </c>
      <c r="AH3" s="150"/>
      <c r="AI3" s="151"/>
    </row>
    <row r="4" spans="1:35" ht="11.25" x14ac:dyDescent="0.1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1.25" x14ac:dyDescent="0.15">
      <c r="B5" s="24" t="s">
        <v>245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11.25" x14ac:dyDescent="0.15">
      <c r="A6" s="1"/>
      <c r="C6" s="24" t="s">
        <v>246</v>
      </c>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row>
    <row r="7" spans="1:35" ht="11.25" x14ac:dyDescent="0.15">
      <c r="A7" s="1"/>
      <c r="C7" s="24"/>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row>
    <row r="8" spans="1:35" ht="11.25" x14ac:dyDescent="0.15">
      <c r="A8" s="1"/>
      <c r="C8" s="1"/>
      <c r="D8" s="1" t="s">
        <v>91</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row>
    <row r="9" spans="1:35" ht="11.25" x14ac:dyDescent="0.15">
      <c r="A9" s="1"/>
      <c r="C9" s="1"/>
      <c r="D9" s="1" t="s">
        <v>92</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row>
    <row r="10" spans="1:35" ht="11.25" x14ac:dyDescent="0.15">
      <c r="A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row>
    <row r="11" spans="1:35" ht="11.25" x14ac:dyDescent="0.15">
      <c r="A11" s="1"/>
      <c r="C11" s="1"/>
      <c r="D11" s="1" t="s">
        <v>205</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row>
    <row r="12" spans="1:35" ht="11.25" x14ac:dyDescent="0.15">
      <c r="A12" s="1"/>
      <c r="C12" s="1"/>
      <c r="D12" s="1" t="s">
        <v>206</v>
      </c>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row>
    <row r="13" spans="1:35" ht="11.25" x14ac:dyDescent="0.15"/>
    <row r="14" spans="1:35" ht="15" customHeight="1" x14ac:dyDescent="0.15">
      <c r="A14" s="1"/>
      <c r="B14" s="1"/>
      <c r="C14" s="24" t="s">
        <v>285</v>
      </c>
      <c r="D14" s="24" t="s">
        <v>286</v>
      </c>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row>
    <row r="15" spans="1:35" ht="15" customHeight="1" x14ac:dyDescent="0.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row>
    <row r="16" spans="1:35" ht="15" customHeight="1" x14ac:dyDescent="0.15">
      <c r="A16" s="1"/>
      <c r="B16" s="1"/>
      <c r="C16" s="1"/>
      <c r="D16" s="24" t="s">
        <v>287</v>
      </c>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row>
    <row r="17" spans="1:35" ht="15" customHeight="1" x14ac:dyDescent="0.1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row>
    <row r="18" spans="1:35" ht="15" customHeight="1" x14ac:dyDescent="0.15">
      <c r="A18" s="1"/>
      <c r="B18" s="1"/>
      <c r="C18" s="1"/>
      <c r="D18" s="24" t="s">
        <v>288</v>
      </c>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row>
    <row r="19" spans="1:35" ht="15" customHeight="1" x14ac:dyDescent="0.15">
      <c r="A19" s="1"/>
      <c r="B19" s="1"/>
      <c r="C19" s="1"/>
      <c r="D19" s="24" t="s">
        <v>289</v>
      </c>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1:35" ht="15" customHeight="1" x14ac:dyDescent="0.1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1:35" ht="15" customHeight="1" x14ac:dyDescent="0.15">
      <c r="A21" s="1"/>
      <c r="B21" s="1"/>
      <c r="C21" s="1"/>
      <c r="D21" s="24" t="s">
        <v>290</v>
      </c>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1:35" ht="15" customHeight="1" x14ac:dyDescent="0.15">
      <c r="A22" s="1"/>
      <c r="B22" s="1"/>
      <c r="C22" s="1"/>
      <c r="D22" s="73" t="s">
        <v>291</v>
      </c>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1:35" ht="15" customHeight="1" x14ac:dyDescent="0.1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1:35" ht="15" customHeight="1" x14ac:dyDescent="0.1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1:35" ht="15" customHeight="1" x14ac:dyDescent="0.1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sheetData>
  <mergeCells count="17">
    <mergeCell ref="AC3:AF3"/>
    <mergeCell ref="AG3:AI3"/>
    <mergeCell ref="AG1:AI1"/>
    <mergeCell ref="E2:N2"/>
    <mergeCell ref="AC2:AF2"/>
    <mergeCell ref="AG2:AI2"/>
    <mergeCell ref="E1:N1"/>
    <mergeCell ref="AC1:AF1"/>
    <mergeCell ref="A1:D1"/>
    <mergeCell ref="O1:R3"/>
    <mergeCell ref="S1:Z3"/>
    <mergeCell ref="AA1:AB1"/>
    <mergeCell ref="A2:D2"/>
    <mergeCell ref="AA2:AB2"/>
    <mergeCell ref="A3:D3"/>
    <mergeCell ref="AA3:AB3"/>
    <mergeCell ref="E3:N3"/>
  </mergeCells>
  <phoneticPr fontId="4"/>
  <hyperlinks>
    <hyperlink ref="D22" r:id="rId1" xr:uid="{1BAB0FFD-796C-4722-A09C-063D32F06B1B}"/>
  </hyperlinks>
  <printOptions horizontalCentered="1"/>
  <pageMargins left="0.39370078740157483" right="0.39370078740157483" top="0.39370078740157483" bottom="0.39370078740157483" header="0.19685039370078741" footer="0.19685039370078741"/>
  <pageSetup paperSize="9" fitToHeight="0" orientation="landscape" r:id="rId2"/>
  <headerFooter alignWithMargins="0">
    <oddFooter>&amp;C- &amp;P -</oddFooter>
  </headerFooter>
  <rowBreaks count="1" manualBreakCount="1">
    <brk id="201"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2">
    <pageSetUpPr fitToPage="1"/>
  </sheetPr>
  <dimension ref="A1:AK73"/>
  <sheetViews>
    <sheetView showGridLines="0" view="pageBreakPreview" zoomScaleNormal="100" zoomScaleSheetLayoutView="100" workbookViewId="0">
      <selection sqref="A1:D1"/>
    </sheetView>
  </sheetViews>
  <sheetFormatPr defaultColWidth="4.83203125" defaultRowHeight="15" customHeight="1" x14ac:dyDescent="0.15"/>
  <cols>
    <col min="1" max="16384" width="4.83203125" style="1"/>
  </cols>
  <sheetData>
    <row r="1" spans="1:37" ht="12" customHeight="1" x14ac:dyDescent="0.15">
      <c r="A1" s="107" t="s">
        <v>225</v>
      </c>
      <c r="B1" s="108"/>
      <c r="C1" s="108"/>
      <c r="D1" s="109"/>
      <c r="E1" s="128" t="str">
        <f ca="1">IF(INDIRECT("変更履歴!E1")&lt;&gt;"",INDIRECT("変更履歴!E1"),"")</f>
        <v>サンプルプロジェクト</v>
      </c>
      <c r="F1" s="129"/>
      <c r="G1" s="129"/>
      <c r="H1" s="129"/>
      <c r="I1" s="129"/>
      <c r="J1" s="129"/>
      <c r="K1" s="129"/>
      <c r="L1" s="129"/>
      <c r="M1" s="129"/>
      <c r="N1" s="130"/>
      <c r="O1" s="110" t="s">
        <v>231</v>
      </c>
      <c r="P1" s="111"/>
      <c r="Q1" s="111"/>
      <c r="R1" s="112"/>
      <c r="S1" s="160" t="str">
        <f ca="1">IF(INDIRECT("変更履歴!S1")&lt;&gt;"",INDIRECT("変更履歴!S1"),"")</f>
        <v>単体テスト標準</v>
      </c>
      <c r="T1" s="161"/>
      <c r="U1" s="161"/>
      <c r="V1" s="161"/>
      <c r="W1" s="161"/>
      <c r="X1" s="161"/>
      <c r="Y1" s="161"/>
      <c r="Z1" s="162"/>
      <c r="AA1" s="107" t="s">
        <v>232</v>
      </c>
      <c r="AB1" s="109"/>
      <c r="AC1" s="146" t="str">
        <f ca="1">IF(INDIRECT("変更履歴!AC1")&lt;&gt;"",INDIRECT("変更履歴!AC1"),"")</f>
        <v>TIS</v>
      </c>
      <c r="AD1" s="147"/>
      <c r="AE1" s="147"/>
      <c r="AF1" s="148"/>
      <c r="AG1" s="149">
        <f ca="1">IF(INDIRECT("変更履歴!AG1")&lt;&gt;"",INDIRECT("変更履歴!AG1"),"")</f>
        <v>45061</v>
      </c>
      <c r="AH1" s="150"/>
      <c r="AI1" s="151"/>
    </row>
    <row r="2" spans="1:37" ht="12" customHeight="1" x14ac:dyDescent="0.15">
      <c r="A2" s="107" t="s">
        <v>228</v>
      </c>
      <c r="B2" s="108"/>
      <c r="C2" s="108"/>
      <c r="D2" s="109"/>
      <c r="E2" s="128" t="str">
        <f ca="1">IF(INDIRECT("変更履歴!E2")&lt;&gt;"",INDIRECT("変更履歴!E2"),"")</f>
        <v>サンプルシステム</v>
      </c>
      <c r="F2" s="129"/>
      <c r="G2" s="129"/>
      <c r="H2" s="129"/>
      <c r="I2" s="129"/>
      <c r="J2" s="129"/>
      <c r="K2" s="129"/>
      <c r="L2" s="129"/>
      <c r="M2" s="129"/>
      <c r="N2" s="130"/>
      <c r="O2" s="113"/>
      <c r="P2" s="114"/>
      <c r="Q2" s="114"/>
      <c r="R2" s="115"/>
      <c r="S2" s="163"/>
      <c r="T2" s="164"/>
      <c r="U2" s="164"/>
      <c r="V2" s="164"/>
      <c r="W2" s="164"/>
      <c r="X2" s="164"/>
      <c r="Y2" s="164"/>
      <c r="Z2" s="165"/>
      <c r="AA2" s="107" t="s">
        <v>233</v>
      </c>
      <c r="AB2" s="109"/>
      <c r="AC2" s="146" t="str">
        <f ca="1">IF(INDIRECT("変更履歴!AC2")&lt;&gt;"",INDIRECT("変更履歴!AC2"),"")</f>
        <v/>
      </c>
      <c r="AD2" s="147"/>
      <c r="AE2" s="147"/>
      <c r="AF2" s="148"/>
      <c r="AG2" s="149" t="str">
        <f ca="1">IF(INDIRECT("変更履歴!AG2")&lt;&gt;"",INDIRECT("変更履歴!AG2"),"")</f>
        <v/>
      </c>
      <c r="AH2" s="150"/>
      <c r="AI2" s="151"/>
    </row>
    <row r="3" spans="1:37" ht="11.25" x14ac:dyDescent="0.15">
      <c r="A3" s="107" t="s">
        <v>230</v>
      </c>
      <c r="B3" s="108"/>
      <c r="C3" s="108"/>
      <c r="D3" s="109"/>
      <c r="E3" s="128" t="str">
        <f ca="1">IF(INDIRECT("変更履歴!E3")&lt;&gt;"",INDIRECT("変更履歴!E3"),"")</f>
        <v/>
      </c>
      <c r="F3" s="129"/>
      <c r="G3" s="129"/>
      <c r="H3" s="129"/>
      <c r="I3" s="129"/>
      <c r="J3" s="129"/>
      <c r="K3" s="129"/>
      <c r="L3" s="129"/>
      <c r="M3" s="129"/>
      <c r="N3" s="130"/>
      <c r="O3" s="116"/>
      <c r="P3" s="117"/>
      <c r="Q3" s="117"/>
      <c r="R3" s="118"/>
      <c r="S3" s="166"/>
      <c r="T3" s="167"/>
      <c r="U3" s="167"/>
      <c r="V3" s="167"/>
      <c r="W3" s="167"/>
      <c r="X3" s="167"/>
      <c r="Y3" s="167"/>
      <c r="Z3" s="168"/>
      <c r="AA3" s="107"/>
      <c r="AB3" s="109"/>
      <c r="AC3" s="146" t="str">
        <f ca="1">IF(INDIRECT("変更履歴!AC3")&lt;&gt;"",INDIRECT("変更履歴!AC3"),"")</f>
        <v/>
      </c>
      <c r="AD3" s="147"/>
      <c r="AE3" s="147"/>
      <c r="AF3" s="148"/>
      <c r="AG3" s="149" t="str">
        <f ca="1">IF(INDIRECT("変更履歴!AG3")&lt;&gt;"",INDIRECT("変更履歴!AG3"),"")</f>
        <v/>
      </c>
      <c r="AH3" s="150"/>
      <c r="AI3" s="151"/>
    </row>
    <row r="4" spans="1:37" ht="11.25" x14ac:dyDescent="0.15"/>
    <row r="5" spans="1:37" ht="11.25" x14ac:dyDescent="0.15">
      <c r="B5" s="24" t="s">
        <v>247</v>
      </c>
    </row>
    <row r="6" spans="1:37" ht="11.25" x14ac:dyDescent="0.15">
      <c r="B6" s="24"/>
    </row>
    <row r="7" spans="1:37" ht="11.25" x14ac:dyDescent="0.15">
      <c r="C7" s="58" t="s">
        <v>120</v>
      </c>
      <c r="D7" s="24" t="s">
        <v>292</v>
      </c>
      <c r="E7" s="37"/>
      <c r="F7" s="37"/>
      <c r="G7" s="37"/>
    </row>
    <row r="8" spans="1:37" ht="11.25" x14ac:dyDescent="0.15">
      <c r="C8" s="58"/>
      <c r="D8" s="24"/>
      <c r="E8" s="37"/>
      <c r="F8" s="37"/>
      <c r="G8" s="37"/>
    </row>
    <row r="9" spans="1:37" ht="11.25" x14ac:dyDescent="0.15">
      <c r="C9" s="18"/>
      <c r="D9" s="24" t="s">
        <v>343</v>
      </c>
    </row>
    <row r="10" spans="1:37" ht="11.25" x14ac:dyDescent="0.15">
      <c r="C10" s="18"/>
      <c r="D10" s="24" t="s">
        <v>307</v>
      </c>
      <c r="AK10" s="24"/>
    </row>
    <row r="11" spans="1:37" ht="11.25" x14ac:dyDescent="0.15">
      <c r="C11" s="18"/>
      <c r="D11" s="73" t="s">
        <v>297</v>
      </c>
      <c r="AK11" s="24"/>
    </row>
    <row r="12" spans="1:37" ht="11.25" x14ac:dyDescent="0.15"/>
    <row r="13" spans="1:37" ht="11.25" x14ac:dyDescent="0.15">
      <c r="C13" s="58" t="s">
        <v>295</v>
      </c>
      <c r="D13" s="1" t="s">
        <v>59</v>
      </c>
    </row>
    <row r="14" spans="1:37" ht="11.25" x14ac:dyDescent="0.15">
      <c r="C14" s="18"/>
    </row>
    <row r="15" spans="1:37" ht="11.25" x14ac:dyDescent="0.15">
      <c r="C15" s="18"/>
      <c r="D15" s="24" t="s">
        <v>298</v>
      </c>
    </row>
    <row r="16" spans="1:37" ht="11.25" x14ac:dyDescent="0.15"/>
    <row r="17" spans="4:34" ht="11.25" x14ac:dyDescent="0.15"/>
    <row r="18" spans="4:34" ht="11.25" x14ac:dyDescent="0.15"/>
    <row r="19" spans="4:34" ht="11.25" x14ac:dyDescent="0.15"/>
    <row r="20" spans="4:34" ht="11.25" x14ac:dyDescent="0.15"/>
    <row r="21" spans="4:34" ht="11.25" x14ac:dyDescent="0.15"/>
    <row r="22" spans="4:34" ht="11.25" x14ac:dyDescent="0.15"/>
    <row r="23" spans="4:34" ht="11.25" x14ac:dyDescent="0.15"/>
    <row r="24" spans="4:34" ht="11.25" x14ac:dyDescent="0.15"/>
    <row r="25" spans="4:34" ht="11.25" x14ac:dyDescent="0.15"/>
    <row r="26" spans="4:34" ht="11.25" x14ac:dyDescent="0.15"/>
    <row r="27" spans="4:34" ht="11.25" x14ac:dyDescent="0.15"/>
    <row r="28" spans="4:34" ht="11.25" x14ac:dyDescent="0.15"/>
    <row r="29" spans="4:34" ht="11.25" x14ac:dyDescent="0.15">
      <c r="D29" s="1" t="s">
        <v>50</v>
      </c>
    </row>
    <row r="30" spans="4:34" ht="11.25" x14ac:dyDescent="0.15"/>
    <row r="31" spans="4:34" ht="11.25" x14ac:dyDescent="0.15">
      <c r="D31" s="169" t="s">
        <v>60</v>
      </c>
      <c r="E31" s="170"/>
      <c r="F31" s="170"/>
      <c r="G31" s="170"/>
      <c r="H31" s="170"/>
      <c r="I31" s="171"/>
      <c r="J31" s="169" t="s">
        <v>61</v>
      </c>
      <c r="K31" s="170"/>
      <c r="L31" s="170"/>
      <c r="M31" s="170"/>
      <c r="N31" s="170"/>
      <c r="O31" s="170"/>
      <c r="P31" s="170"/>
      <c r="Q31" s="170"/>
      <c r="R31" s="170"/>
      <c r="S31" s="170"/>
      <c r="T31" s="170"/>
      <c r="U31" s="170"/>
      <c r="V31" s="170"/>
      <c r="W31" s="170"/>
      <c r="X31" s="170"/>
      <c r="Y31" s="170"/>
      <c r="Z31" s="170"/>
      <c r="AA31" s="170"/>
      <c r="AB31" s="170"/>
      <c r="AC31" s="170"/>
      <c r="AD31" s="170"/>
      <c r="AE31" s="170"/>
      <c r="AF31" s="170"/>
      <c r="AG31" s="170"/>
      <c r="AH31" s="171"/>
    </row>
    <row r="32" spans="4:34" ht="11.25" x14ac:dyDescent="0.15">
      <c r="D32" s="175" t="s">
        <v>62</v>
      </c>
      <c r="E32" s="176"/>
      <c r="F32" s="176"/>
      <c r="G32" s="176"/>
      <c r="H32" s="176"/>
      <c r="I32" s="177"/>
      <c r="J32" s="184" t="s">
        <v>344</v>
      </c>
      <c r="K32" s="185"/>
      <c r="L32" s="185"/>
      <c r="M32" s="185"/>
      <c r="N32" s="185"/>
      <c r="O32" s="185"/>
      <c r="P32" s="185"/>
      <c r="Q32" s="185"/>
      <c r="R32" s="185"/>
      <c r="S32" s="185"/>
      <c r="T32" s="185"/>
      <c r="U32" s="185"/>
      <c r="V32" s="185"/>
      <c r="W32" s="185"/>
      <c r="X32" s="185"/>
      <c r="Y32" s="185"/>
      <c r="Z32" s="185"/>
      <c r="AA32" s="185"/>
      <c r="AB32" s="185"/>
      <c r="AC32" s="185"/>
      <c r="AD32" s="185"/>
      <c r="AE32" s="185"/>
      <c r="AF32" s="185"/>
      <c r="AG32" s="185"/>
      <c r="AH32" s="186"/>
    </row>
    <row r="33" spans="4:34" ht="11.25" x14ac:dyDescent="0.15">
      <c r="D33" s="178"/>
      <c r="E33" s="179"/>
      <c r="F33" s="179"/>
      <c r="G33" s="179"/>
      <c r="H33" s="179"/>
      <c r="I33" s="180"/>
      <c r="J33" s="187"/>
      <c r="K33" s="188"/>
      <c r="L33" s="188"/>
      <c r="M33" s="188"/>
      <c r="N33" s="188"/>
      <c r="O33" s="188"/>
      <c r="P33" s="188"/>
      <c r="Q33" s="188"/>
      <c r="R33" s="188"/>
      <c r="S33" s="188"/>
      <c r="T33" s="188"/>
      <c r="U33" s="188"/>
      <c r="V33" s="188"/>
      <c r="W33" s="188"/>
      <c r="X33" s="188"/>
      <c r="Y33" s="188"/>
      <c r="Z33" s="188"/>
      <c r="AA33" s="188"/>
      <c r="AB33" s="188"/>
      <c r="AC33" s="188"/>
      <c r="AD33" s="188"/>
      <c r="AE33" s="188"/>
      <c r="AF33" s="188"/>
      <c r="AG33" s="188"/>
      <c r="AH33" s="189"/>
    </row>
    <row r="34" spans="4:34" ht="11.25" x14ac:dyDescent="0.15">
      <c r="D34" s="178"/>
      <c r="E34" s="179"/>
      <c r="F34" s="179"/>
      <c r="G34" s="179"/>
      <c r="H34" s="179"/>
      <c r="I34" s="180"/>
      <c r="J34" s="187"/>
      <c r="K34" s="188"/>
      <c r="L34" s="188"/>
      <c r="M34" s="188"/>
      <c r="N34" s="188"/>
      <c r="O34" s="188"/>
      <c r="P34" s="188"/>
      <c r="Q34" s="188"/>
      <c r="R34" s="188"/>
      <c r="S34" s="188"/>
      <c r="T34" s="188"/>
      <c r="U34" s="188"/>
      <c r="V34" s="188"/>
      <c r="W34" s="188"/>
      <c r="X34" s="188"/>
      <c r="Y34" s="188"/>
      <c r="Z34" s="188"/>
      <c r="AA34" s="188"/>
      <c r="AB34" s="188"/>
      <c r="AC34" s="188"/>
      <c r="AD34" s="188"/>
      <c r="AE34" s="188"/>
      <c r="AF34" s="188"/>
      <c r="AG34" s="188"/>
      <c r="AH34" s="189"/>
    </row>
    <row r="35" spans="4:34" ht="11.25" x14ac:dyDescent="0.15">
      <c r="D35" s="181"/>
      <c r="E35" s="182"/>
      <c r="F35" s="182"/>
      <c r="G35" s="182"/>
      <c r="H35" s="182"/>
      <c r="I35" s="183"/>
      <c r="J35" s="190"/>
      <c r="K35" s="191"/>
      <c r="L35" s="191"/>
      <c r="M35" s="191"/>
      <c r="N35" s="191"/>
      <c r="O35" s="191"/>
      <c r="P35" s="191"/>
      <c r="Q35" s="191"/>
      <c r="R35" s="191"/>
      <c r="S35" s="191"/>
      <c r="T35" s="191"/>
      <c r="U35" s="191"/>
      <c r="V35" s="191"/>
      <c r="W35" s="191"/>
      <c r="X35" s="191"/>
      <c r="Y35" s="191"/>
      <c r="Z35" s="191"/>
      <c r="AA35" s="191"/>
      <c r="AB35" s="191"/>
      <c r="AC35" s="191"/>
      <c r="AD35" s="191"/>
      <c r="AE35" s="191"/>
      <c r="AF35" s="191"/>
      <c r="AG35" s="191"/>
      <c r="AH35" s="192"/>
    </row>
    <row r="36" spans="4:34" ht="11.25" x14ac:dyDescent="0.15">
      <c r="D36" s="175" t="s">
        <v>63</v>
      </c>
      <c r="E36" s="176"/>
      <c r="F36" s="176"/>
      <c r="G36" s="176"/>
      <c r="H36" s="176"/>
      <c r="I36" s="177"/>
      <c r="J36" s="193" t="s">
        <v>293</v>
      </c>
      <c r="K36" s="194"/>
      <c r="L36" s="194"/>
      <c r="M36" s="194"/>
      <c r="N36" s="194"/>
      <c r="O36" s="194"/>
      <c r="P36" s="194"/>
      <c r="Q36" s="194"/>
      <c r="R36" s="194"/>
      <c r="S36" s="194"/>
      <c r="T36" s="194"/>
      <c r="U36" s="194"/>
      <c r="V36" s="194"/>
      <c r="W36" s="194"/>
      <c r="X36" s="194"/>
      <c r="Y36" s="194"/>
      <c r="Z36" s="194"/>
      <c r="AA36" s="194"/>
      <c r="AB36" s="194"/>
      <c r="AC36" s="194"/>
      <c r="AD36" s="194"/>
      <c r="AE36" s="194"/>
      <c r="AF36" s="194"/>
      <c r="AG36" s="194"/>
      <c r="AH36" s="195"/>
    </row>
    <row r="37" spans="4:34" ht="11.25" x14ac:dyDescent="0.15">
      <c r="D37" s="178"/>
      <c r="E37" s="179"/>
      <c r="F37" s="179"/>
      <c r="G37" s="179"/>
      <c r="H37" s="179"/>
      <c r="I37" s="180"/>
      <c r="J37" s="196"/>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8"/>
    </row>
    <row r="38" spans="4:34" ht="11.25" x14ac:dyDescent="0.15">
      <c r="D38" s="178"/>
      <c r="E38" s="179"/>
      <c r="F38" s="179"/>
      <c r="G38" s="179"/>
      <c r="H38" s="179"/>
      <c r="I38" s="180"/>
      <c r="J38" s="196"/>
      <c r="K38" s="197"/>
      <c r="L38" s="197"/>
      <c r="M38" s="197"/>
      <c r="N38" s="197"/>
      <c r="O38" s="197"/>
      <c r="P38" s="197"/>
      <c r="Q38" s="197"/>
      <c r="R38" s="197"/>
      <c r="S38" s="197"/>
      <c r="T38" s="197"/>
      <c r="U38" s="197"/>
      <c r="V38" s="197"/>
      <c r="W38" s="197"/>
      <c r="X38" s="197"/>
      <c r="Y38" s="197"/>
      <c r="Z38" s="197"/>
      <c r="AA38" s="197"/>
      <c r="AB38" s="197"/>
      <c r="AC38" s="197"/>
      <c r="AD38" s="197"/>
      <c r="AE38" s="197"/>
      <c r="AF38" s="197"/>
      <c r="AG38" s="197"/>
      <c r="AH38" s="198"/>
    </row>
    <row r="39" spans="4:34" ht="11.25" x14ac:dyDescent="0.15">
      <c r="D39" s="181"/>
      <c r="E39" s="182"/>
      <c r="F39" s="182"/>
      <c r="G39" s="182"/>
      <c r="H39" s="182"/>
      <c r="I39" s="183"/>
      <c r="J39" s="199"/>
      <c r="K39" s="200"/>
      <c r="L39" s="200"/>
      <c r="M39" s="200"/>
      <c r="N39" s="200"/>
      <c r="O39" s="200"/>
      <c r="P39" s="200"/>
      <c r="Q39" s="200"/>
      <c r="R39" s="200"/>
      <c r="S39" s="200"/>
      <c r="T39" s="200"/>
      <c r="U39" s="200"/>
      <c r="V39" s="200"/>
      <c r="W39" s="200"/>
      <c r="X39" s="200"/>
      <c r="Y39" s="200"/>
      <c r="Z39" s="200"/>
      <c r="AA39" s="200"/>
      <c r="AB39" s="200"/>
      <c r="AC39" s="200"/>
      <c r="AD39" s="200"/>
      <c r="AE39" s="200"/>
      <c r="AF39" s="200"/>
      <c r="AG39" s="200"/>
      <c r="AH39" s="201"/>
    </row>
    <row r="40" spans="4:34" ht="11.25" x14ac:dyDescent="0.15">
      <c r="D40" s="175" t="s">
        <v>64</v>
      </c>
      <c r="E40" s="176"/>
      <c r="F40" s="176"/>
      <c r="G40" s="176"/>
      <c r="H40" s="176"/>
      <c r="I40" s="177"/>
      <c r="J40" s="193" t="s">
        <v>294</v>
      </c>
      <c r="K40" s="194"/>
      <c r="L40" s="194"/>
      <c r="M40" s="194"/>
      <c r="N40" s="194"/>
      <c r="O40" s="194"/>
      <c r="P40" s="194"/>
      <c r="Q40" s="194"/>
      <c r="R40" s="194"/>
      <c r="S40" s="194"/>
      <c r="T40" s="194"/>
      <c r="U40" s="194"/>
      <c r="V40" s="194"/>
      <c r="W40" s="194"/>
      <c r="X40" s="194"/>
      <c r="Y40" s="194"/>
      <c r="Z40" s="194"/>
      <c r="AA40" s="194"/>
      <c r="AB40" s="194"/>
      <c r="AC40" s="194"/>
      <c r="AD40" s="194"/>
      <c r="AE40" s="194"/>
      <c r="AF40" s="194"/>
      <c r="AG40" s="194"/>
      <c r="AH40" s="195"/>
    </row>
    <row r="41" spans="4:34" ht="11.25" x14ac:dyDescent="0.15">
      <c r="D41" s="178"/>
      <c r="E41" s="179"/>
      <c r="F41" s="179"/>
      <c r="G41" s="179"/>
      <c r="H41" s="179"/>
      <c r="I41" s="180"/>
      <c r="J41" s="196"/>
      <c r="K41" s="197"/>
      <c r="L41" s="197"/>
      <c r="M41" s="197"/>
      <c r="N41" s="197"/>
      <c r="O41" s="197"/>
      <c r="P41" s="197"/>
      <c r="Q41" s="197"/>
      <c r="R41" s="197"/>
      <c r="S41" s="197"/>
      <c r="T41" s="197"/>
      <c r="U41" s="197"/>
      <c r="V41" s="197"/>
      <c r="W41" s="197"/>
      <c r="X41" s="197"/>
      <c r="Y41" s="197"/>
      <c r="Z41" s="197"/>
      <c r="AA41" s="197"/>
      <c r="AB41" s="197"/>
      <c r="AC41" s="197"/>
      <c r="AD41" s="197"/>
      <c r="AE41" s="197"/>
      <c r="AF41" s="197"/>
      <c r="AG41" s="197"/>
      <c r="AH41" s="198"/>
    </row>
    <row r="42" spans="4:34" ht="11.25" x14ac:dyDescent="0.15">
      <c r="D42" s="178"/>
      <c r="E42" s="179"/>
      <c r="F42" s="179"/>
      <c r="G42" s="179"/>
      <c r="H42" s="179"/>
      <c r="I42" s="180"/>
      <c r="J42" s="196"/>
      <c r="K42" s="197"/>
      <c r="L42" s="197"/>
      <c r="M42" s="197"/>
      <c r="N42" s="197"/>
      <c r="O42" s="197"/>
      <c r="P42" s="197"/>
      <c r="Q42" s="197"/>
      <c r="R42" s="197"/>
      <c r="S42" s="197"/>
      <c r="T42" s="197"/>
      <c r="U42" s="197"/>
      <c r="V42" s="197"/>
      <c r="W42" s="197"/>
      <c r="X42" s="197"/>
      <c r="Y42" s="197"/>
      <c r="Z42" s="197"/>
      <c r="AA42" s="197"/>
      <c r="AB42" s="197"/>
      <c r="AC42" s="197"/>
      <c r="AD42" s="197"/>
      <c r="AE42" s="197"/>
      <c r="AF42" s="197"/>
      <c r="AG42" s="197"/>
      <c r="AH42" s="198"/>
    </row>
    <row r="43" spans="4:34" ht="11.25" x14ac:dyDescent="0.15">
      <c r="D43" s="181"/>
      <c r="E43" s="182"/>
      <c r="F43" s="182"/>
      <c r="G43" s="182"/>
      <c r="H43" s="182"/>
      <c r="I43" s="183"/>
      <c r="J43" s="199"/>
      <c r="K43" s="200"/>
      <c r="L43" s="200"/>
      <c r="M43" s="200"/>
      <c r="N43" s="200"/>
      <c r="O43" s="200"/>
      <c r="P43" s="200"/>
      <c r="Q43" s="200"/>
      <c r="R43" s="200"/>
      <c r="S43" s="200"/>
      <c r="T43" s="200"/>
      <c r="U43" s="200"/>
      <c r="V43" s="200"/>
      <c r="W43" s="200"/>
      <c r="X43" s="200"/>
      <c r="Y43" s="200"/>
      <c r="Z43" s="200"/>
      <c r="AA43" s="200"/>
      <c r="AB43" s="200"/>
      <c r="AC43" s="200"/>
      <c r="AD43" s="200"/>
      <c r="AE43" s="200"/>
      <c r="AF43" s="200"/>
      <c r="AG43" s="200"/>
      <c r="AH43" s="201"/>
    </row>
    <row r="44" spans="4:34" ht="11.25" x14ac:dyDescent="0.15">
      <c r="D44" s="25" t="s">
        <v>186</v>
      </c>
      <c r="E44" s="1" t="s">
        <v>95</v>
      </c>
    </row>
    <row r="45" spans="4:34" ht="11.25" x14ac:dyDescent="0.15"/>
    <row r="46" spans="4:34" ht="11.25" x14ac:dyDescent="0.15">
      <c r="D46" s="1" t="s">
        <v>101</v>
      </c>
    </row>
    <row r="47" spans="4:34" ht="11.25" x14ac:dyDescent="0.15">
      <c r="D47" s="1" t="s">
        <v>71</v>
      </c>
    </row>
    <row r="48" spans="4:34" ht="11.25" x14ac:dyDescent="0.15"/>
    <row r="49" spans="3:35" ht="48.75" customHeight="1" x14ac:dyDescent="0.15">
      <c r="D49" s="203" t="s">
        <v>248</v>
      </c>
      <c r="E49" s="204"/>
      <c r="F49" s="204"/>
      <c r="G49" s="205"/>
      <c r="H49" s="172" t="s">
        <v>165</v>
      </c>
      <c r="I49" s="173"/>
      <c r="J49" s="174"/>
      <c r="K49" s="172" t="s">
        <v>166</v>
      </c>
      <c r="L49" s="173"/>
      <c r="M49" s="174"/>
      <c r="N49" s="172" t="s">
        <v>167</v>
      </c>
      <c r="O49" s="173"/>
      <c r="P49" s="174"/>
      <c r="Q49" s="172" t="s">
        <v>168</v>
      </c>
      <c r="R49" s="173"/>
      <c r="S49" s="174"/>
      <c r="T49" s="172" t="s">
        <v>169</v>
      </c>
      <c r="U49" s="173"/>
      <c r="V49" s="174"/>
      <c r="W49" s="172" t="s">
        <v>171</v>
      </c>
      <c r="X49" s="173"/>
      <c r="Y49" s="174"/>
      <c r="Z49" s="172" t="s">
        <v>170</v>
      </c>
      <c r="AA49" s="173"/>
      <c r="AB49" s="174"/>
      <c r="AC49" s="202" t="s">
        <v>283</v>
      </c>
      <c r="AD49" s="173"/>
      <c r="AE49" s="174"/>
    </row>
    <row r="50" spans="3:35" ht="11.25" x14ac:dyDescent="0.15">
      <c r="D50" s="95" t="s">
        <v>97</v>
      </c>
      <c r="E50" s="96"/>
      <c r="F50" s="96"/>
      <c r="G50" s="97"/>
      <c r="H50" s="95" t="s">
        <v>65</v>
      </c>
      <c r="I50" s="96"/>
      <c r="J50" s="97"/>
      <c r="K50" s="95" t="s">
        <v>65</v>
      </c>
      <c r="L50" s="96"/>
      <c r="M50" s="97"/>
      <c r="N50" s="95" t="s">
        <v>65</v>
      </c>
      <c r="O50" s="96"/>
      <c r="P50" s="97"/>
      <c r="Q50" s="95" t="s">
        <v>65</v>
      </c>
      <c r="R50" s="96"/>
      <c r="S50" s="97"/>
      <c r="T50" s="95" t="s">
        <v>65</v>
      </c>
      <c r="U50" s="96"/>
      <c r="V50" s="97"/>
      <c r="W50" s="95" t="s">
        <v>65</v>
      </c>
      <c r="X50" s="96"/>
      <c r="Y50" s="97"/>
      <c r="Z50" s="95" t="s">
        <v>76</v>
      </c>
      <c r="AA50" s="96"/>
      <c r="AB50" s="97"/>
      <c r="AC50" s="95" t="s">
        <v>65</v>
      </c>
      <c r="AD50" s="96"/>
      <c r="AE50" s="97"/>
    </row>
    <row r="51" spans="3:35" ht="31.5" customHeight="1" x14ac:dyDescent="0.15">
      <c r="D51" s="145" t="s">
        <v>52</v>
      </c>
      <c r="E51" s="99"/>
      <c r="F51" s="99"/>
      <c r="G51" s="100"/>
      <c r="H51" s="98" t="s">
        <v>100</v>
      </c>
      <c r="I51" s="99"/>
      <c r="J51" s="100"/>
      <c r="K51" s="98" t="s">
        <v>100</v>
      </c>
      <c r="L51" s="99"/>
      <c r="M51" s="100"/>
      <c r="N51" s="98" t="s">
        <v>65</v>
      </c>
      <c r="O51" s="99"/>
      <c r="P51" s="100"/>
      <c r="Q51" s="98" t="s">
        <v>65</v>
      </c>
      <c r="R51" s="99"/>
      <c r="S51" s="100"/>
      <c r="T51" s="98" t="s">
        <v>65</v>
      </c>
      <c r="U51" s="99"/>
      <c r="V51" s="100"/>
      <c r="W51" s="98" t="s">
        <v>65</v>
      </c>
      <c r="X51" s="99"/>
      <c r="Y51" s="100"/>
      <c r="Z51" s="98" t="s">
        <v>76</v>
      </c>
      <c r="AA51" s="99"/>
      <c r="AB51" s="100"/>
      <c r="AC51" s="98" t="s">
        <v>65</v>
      </c>
      <c r="AD51" s="99"/>
      <c r="AE51" s="100"/>
    </row>
    <row r="52" spans="3:35" ht="11.25" x14ac:dyDescent="0.15">
      <c r="D52" s="95" t="s">
        <v>98</v>
      </c>
      <c r="E52" s="96"/>
      <c r="F52" s="96"/>
      <c r="G52" s="97"/>
      <c r="H52" s="95" t="s">
        <v>99</v>
      </c>
      <c r="I52" s="96"/>
      <c r="J52" s="97"/>
      <c r="K52" s="95" t="s">
        <v>99</v>
      </c>
      <c r="L52" s="96"/>
      <c r="M52" s="97"/>
      <c r="N52" s="95" t="s">
        <v>96</v>
      </c>
      <c r="O52" s="96"/>
      <c r="P52" s="97"/>
      <c r="Q52" s="95" t="s">
        <v>96</v>
      </c>
      <c r="R52" s="96"/>
      <c r="S52" s="97"/>
      <c r="T52" s="95" t="s">
        <v>96</v>
      </c>
      <c r="U52" s="96"/>
      <c r="V52" s="97"/>
      <c r="W52" s="95" t="s">
        <v>96</v>
      </c>
      <c r="X52" s="96"/>
      <c r="Y52" s="97"/>
      <c r="Z52" s="95" t="s">
        <v>76</v>
      </c>
      <c r="AA52" s="96"/>
      <c r="AB52" s="97"/>
      <c r="AC52" s="95" t="s">
        <v>96</v>
      </c>
      <c r="AD52" s="96"/>
      <c r="AE52" s="97"/>
    </row>
    <row r="53" spans="3:35" ht="11.25" x14ac:dyDescent="0.15">
      <c r="D53" s="1" t="s">
        <v>121</v>
      </c>
      <c r="E53" s="1" t="s">
        <v>73</v>
      </c>
    </row>
    <row r="54" spans="3:35" ht="11.25" x14ac:dyDescent="0.15">
      <c r="D54" s="1" t="s">
        <v>15</v>
      </c>
      <c r="E54" s="1" t="s">
        <v>72</v>
      </c>
    </row>
    <row r="55" spans="3:35" ht="11.25" x14ac:dyDescent="0.15">
      <c r="D55" s="1" t="s">
        <v>16</v>
      </c>
      <c r="E55" s="1" t="s">
        <v>74</v>
      </c>
    </row>
    <row r="56" spans="3:35" ht="11.25" x14ac:dyDescent="0.15">
      <c r="E56" s="1" t="s">
        <v>75</v>
      </c>
    </row>
    <row r="57" spans="3:35" ht="11.25" x14ac:dyDescent="0.15">
      <c r="D57" s="1" t="s">
        <v>122</v>
      </c>
      <c r="E57" s="1" t="s">
        <v>123</v>
      </c>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row>
    <row r="58" spans="3:35" ht="11.25" x14ac:dyDescent="0.15">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3:35" ht="11.25" x14ac:dyDescent="0.15"/>
    <row r="60" spans="3:35" ht="11.25" x14ac:dyDescent="0.15">
      <c r="C60" s="58" t="s">
        <v>296</v>
      </c>
    </row>
    <row r="61" spans="3:35" ht="11.25" x14ac:dyDescent="0.15">
      <c r="C61" s="58"/>
    </row>
    <row r="62" spans="3:35" ht="11.25" x14ac:dyDescent="0.15">
      <c r="D62" s="24" t="s">
        <v>263</v>
      </c>
    </row>
    <row r="63" spans="3:35" ht="11.25" x14ac:dyDescent="0.15">
      <c r="D63" s="24"/>
    </row>
    <row r="64" spans="3:35" ht="11.25" x14ac:dyDescent="0.15">
      <c r="C64" s="58" t="s">
        <v>249</v>
      </c>
    </row>
    <row r="65" spans="3:23" ht="11.25" x14ac:dyDescent="0.15">
      <c r="C65" s="58"/>
    </row>
    <row r="66" spans="3:23" ht="11.25" x14ac:dyDescent="0.15">
      <c r="D66" s="1" t="s">
        <v>160</v>
      </c>
    </row>
    <row r="67" spans="3:23" ht="11.25" x14ac:dyDescent="0.15"/>
    <row r="68" spans="3:23" ht="11.25" x14ac:dyDescent="0.15">
      <c r="D68" s="15" t="s">
        <v>11</v>
      </c>
      <c r="E68" s="1" t="s">
        <v>93</v>
      </c>
    </row>
    <row r="69" spans="3:23" ht="11.25" x14ac:dyDescent="0.15">
      <c r="D69" s="15"/>
      <c r="E69" s="1" t="s">
        <v>161</v>
      </c>
    </row>
    <row r="70" spans="3:23" s="17" customFormat="1" ht="12" x14ac:dyDescent="0.15">
      <c r="E70" s="42" t="s">
        <v>221</v>
      </c>
      <c r="F70" s="28"/>
      <c r="G70" s="16"/>
      <c r="H70" s="16"/>
      <c r="I70" s="16"/>
      <c r="J70" s="16"/>
      <c r="K70" s="16"/>
      <c r="L70" s="16"/>
      <c r="M70" s="16"/>
      <c r="N70" s="16"/>
      <c r="O70" s="16"/>
      <c r="P70" s="16"/>
      <c r="Q70" s="16"/>
      <c r="R70" s="16"/>
      <c r="S70" s="16"/>
      <c r="T70" s="16"/>
      <c r="U70" s="16"/>
      <c r="V70" s="16"/>
      <c r="W70" s="16"/>
    </row>
    <row r="71" spans="3:23" s="17" customFormat="1" ht="12" x14ac:dyDescent="0.15">
      <c r="E71" s="42" t="s">
        <v>222</v>
      </c>
      <c r="F71" s="28"/>
      <c r="G71" s="16"/>
      <c r="H71" s="16"/>
      <c r="I71" s="16"/>
      <c r="J71" s="16"/>
      <c r="K71" s="16"/>
      <c r="L71" s="16"/>
      <c r="M71" s="16"/>
      <c r="N71" s="16"/>
      <c r="O71" s="16"/>
      <c r="P71" s="16"/>
      <c r="Q71" s="16"/>
      <c r="R71" s="16"/>
      <c r="S71" s="16"/>
      <c r="T71" s="16"/>
      <c r="U71" s="16"/>
      <c r="V71" s="16"/>
      <c r="W71" s="16"/>
    </row>
    <row r="72" spans="3:23" ht="11.25" x14ac:dyDescent="0.15">
      <c r="D72" s="15" t="s">
        <v>12</v>
      </c>
      <c r="E72" s="1" t="s">
        <v>159</v>
      </c>
    </row>
    <row r="73" spans="3:23" ht="11.25" x14ac:dyDescent="0.15">
      <c r="D73" s="15" t="s">
        <v>94</v>
      </c>
      <c r="E73" s="1" t="s">
        <v>163</v>
      </c>
    </row>
  </sheetData>
  <mergeCells count="61">
    <mergeCell ref="AC49:AE49"/>
    <mergeCell ref="A1:D1"/>
    <mergeCell ref="O1:R3"/>
    <mergeCell ref="S1:Z3"/>
    <mergeCell ref="D49:G49"/>
    <mergeCell ref="D31:I31"/>
    <mergeCell ref="AA1:AB1"/>
    <mergeCell ref="A2:D2"/>
    <mergeCell ref="AA2:AB2"/>
    <mergeCell ref="A3:D3"/>
    <mergeCell ref="AA3:AB3"/>
    <mergeCell ref="E1:N1"/>
    <mergeCell ref="E2:N2"/>
    <mergeCell ref="D52:G52"/>
    <mergeCell ref="D32:I35"/>
    <mergeCell ref="D36:I39"/>
    <mergeCell ref="D40:I43"/>
    <mergeCell ref="D51:G51"/>
    <mergeCell ref="D50:G50"/>
    <mergeCell ref="H52:J52"/>
    <mergeCell ref="H51:J51"/>
    <mergeCell ref="H50:J50"/>
    <mergeCell ref="J32:AH35"/>
    <mergeCell ref="J36:AH39"/>
    <mergeCell ref="J40:AH43"/>
    <mergeCell ref="Z49:AB49"/>
    <mergeCell ref="Z50:AB50"/>
    <mergeCell ref="AC50:AE50"/>
    <mergeCell ref="K51:M51"/>
    <mergeCell ref="AG1:AI1"/>
    <mergeCell ref="K52:M52"/>
    <mergeCell ref="N52:P52"/>
    <mergeCell ref="AC1:AF1"/>
    <mergeCell ref="AC2:AF2"/>
    <mergeCell ref="AG2:AI2"/>
    <mergeCell ref="AC3:AF3"/>
    <mergeCell ref="AG3:AI3"/>
    <mergeCell ref="J31:AH31"/>
    <mergeCell ref="E3:N3"/>
    <mergeCell ref="H49:J49"/>
    <mergeCell ref="K49:M49"/>
    <mergeCell ref="N49:P49"/>
    <mergeCell ref="Q49:S49"/>
    <mergeCell ref="T49:V49"/>
    <mergeCell ref="W49:Y49"/>
    <mergeCell ref="AC51:AE51"/>
    <mergeCell ref="K50:M50"/>
    <mergeCell ref="N50:P50"/>
    <mergeCell ref="Q50:S50"/>
    <mergeCell ref="T50:V50"/>
    <mergeCell ref="W50:Y50"/>
    <mergeCell ref="N51:P51"/>
    <mergeCell ref="Q51:S51"/>
    <mergeCell ref="T51:V51"/>
    <mergeCell ref="W51:Y51"/>
    <mergeCell ref="Z51:AB51"/>
    <mergeCell ref="Q52:S52"/>
    <mergeCell ref="T52:V52"/>
    <mergeCell ref="W52:Y52"/>
    <mergeCell ref="Z52:AB52"/>
    <mergeCell ref="AC52:AE52"/>
  </mergeCells>
  <phoneticPr fontId="4"/>
  <hyperlinks>
    <hyperlink ref="D11" r:id="rId1" xr:uid="{B32AF878-E611-415F-9444-BE56F45953A1}"/>
  </hyperlinks>
  <printOptions horizontalCentered="1"/>
  <pageMargins left="0.39370078740157483" right="0.39370078740157483" top="0.39370078740157483" bottom="0.39370078740157483" header="0.19685039370078741" footer="0.19685039370078741"/>
  <pageSetup paperSize="9" fitToHeight="0" orientation="landscape" r:id="rId2"/>
  <headerFooter alignWithMargins="0">
    <oddFooter>&amp;C- &amp;P -</oddFooter>
  </headerFooter>
  <rowBreaks count="3" manualBreakCount="3">
    <brk id="27" max="34" man="1"/>
    <brk id="58" max="34" man="1"/>
    <brk id="249" max="16383" man="1"/>
  </rowBreak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pageSetUpPr fitToPage="1"/>
  </sheetPr>
  <dimension ref="A1:AK194"/>
  <sheetViews>
    <sheetView showGridLines="0" view="pageBreakPreview" zoomScaleNormal="100" zoomScaleSheetLayoutView="100" workbookViewId="0">
      <selection sqref="A1:D1"/>
    </sheetView>
  </sheetViews>
  <sheetFormatPr defaultColWidth="4.83203125" defaultRowHeight="11.25" x14ac:dyDescent="0.15"/>
  <cols>
    <col min="1" max="9" width="4.83203125" style="37" customWidth="1"/>
    <col min="10" max="16384" width="4.83203125" style="37"/>
  </cols>
  <sheetData>
    <row r="1" spans="1:35" s="1" customFormat="1" ht="12" customHeight="1" x14ac:dyDescent="0.15">
      <c r="A1" s="107" t="s">
        <v>225</v>
      </c>
      <c r="B1" s="108"/>
      <c r="C1" s="108"/>
      <c r="D1" s="109"/>
      <c r="E1" s="128" t="str">
        <f ca="1">IF(INDIRECT("変更履歴!E1")&lt;&gt;"",INDIRECT("変更履歴!E1"),"")</f>
        <v>サンプルプロジェクト</v>
      </c>
      <c r="F1" s="129"/>
      <c r="G1" s="129"/>
      <c r="H1" s="129"/>
      <c r="I1" s="129"/>
      <c r="J1" s="129"/>
      <c r="K1" s="129"/>
      <c r="L1" s="129"/>
      <c r="M1" s="129"/>
      <c r="N1" s="130"/>
      <c r="O1" s="110" t="s">
        <v>231</v>
      </c>
      <c r="P1" s="111"/>
      <c r="Q1" s="111"/>
      <c r="R1" s="112"/>
      <c r="S1" s="160" t="str">
        <f ca="1">IF(INDIRECT("変更履歴!S1")&lt;&gt;"",INDIRECT("変更履歴!S1"),"")</f>
        <v>単体テスト標準</v>
      </c>
      <c r="T1" s="161"/>
      <c r="U1" s="161"/>
      <c r="V1" s="161"/>
      <c r="W1" s="161"/>
      <c r="X1" s="161"/>
      <c r="Y1" s="161"/>
      <c r="Z1" s="162"/>
      <c r="AA1" s="107" t="s">
        <v>232</v>
      </c>
      <c r="AB1" s="109"/>
      <c r="AC1" s="146" t="str">
        <f ca="1">IF(INDIRECT("変更履歴!AC1")&lt;&gt;"",INDIRECT("変更履歴!AC1"),"")</f>
        <v>TIS</v>
      </c>
      <c r="AD1" s="147"/>
      <c r="AE1" s="147"/>
      <c r="AF1" s="148"/>
      <c r="AG1" s="149">
        <f ca="1">IF(INDIRECT("変更履歴!AG1")&lt;&gt;"",INDIRECT("変更履歴!AG1"),"")</f>
        <v>45061</v>
      </c>
      <c r="AH1" s="150"/>
      <c r="AI1" s="151"/>
    </row>
    <row r="2" spans="1:35" s="1" customFormat="1" ht="12" customHeight="1" x14ac:dyDescent="0.15">
      <c r="A2" s="107" t="s">
        <v>228</v>
      </c>
      <c r="B2" s="108"/>
      <c r="C2" s="108"/>
      <c r="D2" s="109"/>
      <c r="E2" s="128" t="str">
        <f ca="1">IF(INDIRECT("変更履歴!E2")&lt;&gt;"",INDIRECT("変更履歴!E2"),"")</f>
        <v>サンプルシステム</v>
      </c>
      <c r="F2" s="129"/>
      <c r="G2" s="129"/>
      <c r="H2" s="129"/>
      <c r="I2" s="129"/>
      <c r="J2" s="129"/>
      <c r="K2" s="129"/>
      <c r="L2" s="129"/>
      <c r="M2" s="129"/>
      <c r="N2" s="130"/>
      <c r="O2" s="113"/>
      <c r="P2" s="114"/>
      <c r="Q2" s="114"/>
      <c r="R2" s="115"/>
      <c r="S2" s="163"/>
      <c r="T2" s="164"/>
      <c r="U2" s="164"/>
      <c r="V2" s="164"/>
      <c r="W2" s="164"/>
      <c r="X2" s="164"/>
      <c r="Y2" s="164"/>
      <c r="Z2" s="165"/>
      <c r="AA2" s="107" t="s">
        <v>233</v>
      </c>
      <c r="AB2" s="109"/>
      <c r="AC2" s="146" t="str">
        <f ca="1">IF(INDIRECT("変更履歴!AC2")&lt;&gt;"",INDIRECT("変更履歴!AC2"),"")</f>
        <v/>
      </c>
      <c r="AD2" s="147"/>
      <c r="AE2" s="147"/>
      <c r="AF2" s="148"/>
      <c r="AG2" s="149" t="str">
        <f ca="1">IF(INDIRECT("変更履歴!AG2")&lt;&gt;"",INDIRECT("変更履歴!AG2"),"")</f>
        <v/>
      </c>
      <c r="AH2" s="150"/>
      <c r="AI2" s="151"/>
    </row>
    <row r="3" spans="1:35" s="1" customFormat="1" x14ac:dyDescent="0.15">
      <c r="A3" s="107" t="s">
        <v>230</v>
      </c>
      <c r="B3" s="108"/>
      <c r="C3" s="108"/>
      <c r="D3" s="109"/>
      <c r="E3" s="128" t="str">
        <f ca="1">IF(INDIRECT("変更履歴!E3")&lt;&gt;"",INDIRECT("変更履歴!E3"),"")</f>
        <v/>
      </c>
      <c r="F3" s="129"/>
      <c r="G3" s="129"/>
      <c r="H3" s="129"/>
      <c r="I3" s="129"/>
      <c r="J3" s="129"/>
      <c r="K3" s="129"/>
      <c r="L3" s="129"/>
      <c r="M3" s="129"/>
      <c r="N3" s="130"/>
      <c r="O3" s="116"/>
      <c r="P3" s="117"/>
      <c r="Q3" s="117"/>
      <c r="R3" s="118"/>
      <c r="S3" s="166"/>
      <c r="T3" s="167"/>
      <c r="U3" s="167"/>
      <c r="V3" s="167"/>
      <c r="W3" s="167"/>
      <c r="X3" s="167"/>
      <c r="Y3" s="167"/>
      <c r="Z3" s="168"/>
      <c r="AA3" s="107"/>
      <c r="AB3" s="109"/>
      <c r="AC3" s="146" t="str">
        <f ca="1">IF(INDIRECT("変更履歴!AC3")&lt;&gt;"",INDIRECT("変更履歴!AC3"),"")</f>
        <v/>
      </c>
      <c r="AD3" s="147"/>
      <c r="AE3" s="147"/>
      <c r="AF3" s="148"/>
      <c r="AG3" s="149" t="str">
        <f ca="1">IF(INDIRECT("変更履歴!AG3")&lt;&gt;"",INDIRECT("変更履歴!AG3"),"")</f>
        <v/>
      </c>
      <c r="AH3" s="150"/>
      <c r="AI3" s="151"/>
    </row>
    <row r="4" spans="1:35" s="1" customFormat="1" x14ac:dyDescent="0.15"/>
    <row r="5" spans="1:35" s="1" customFormat="1" x14ac:dyDescent="0.15">
      <c r="B5" s="1" t="s">
        <v>261</v>
      </c>
    </row>
    <row r="6" spans="1:35" s="1" customFormat="1" x14ac:dyDescent="0.15"/>
    <row r="7" spans="1:35" s="1" customFormat="1" x14ac:dyDescent="0.15">
      <c r="C7" s="18" t="s">
        <v>124</v>
      </c>
      <c r="D7" s="1" t="s">
        <v>106</v>
      </c>
    </row>
    <row r="8" spans="1:35" s="1" customFormat="1" x14ac:dyDescent="0.15">
      <c r="C8" s="18"/>
    </row>
    <row r="9" spans="1:35" s="1" customFormat="1" x14ac:dyDescent="0.15">
      <c r="C9" s="18"/>
      <c r="D9" s="25" t="s">
        <v>207</v>
      </c>
    </row>
    <row r="10" spans="1:35" s="1" customFormat="1" x14ac:dyDescent="0.15">
      <c r="C10" s="18"/>
      <c r="D10" s="24" t="s">
        <v>299</v>
      </c>
    </row>
    <row r="11" spans="1:35" s="1" customFormat="1" x14ac:dyDescent="0.15">
      <c r="C11" s="18"/>
      <c r="D11" s="1" t="s">
        <v>216</v>
      </c>
    </row>
    <row r="12" spans="1:35" s="1" customFormat="1" x14ac:dyDescent="0.15">
      <c r="C12" s="18"/>
    </row>
    <row r="13" spans="1:35" s="25" customFormat="1" x14ac:dyDescent="0.15">
      <c r="C13" s="26"/>
      <c r="D13" s="25" t="s">
        <v>208</v>
      </c>
    </row>
    <row r="14" spans="1:35" s="1" customFormat="1" x14ac:dyDescent="0.15">
      <c r="C14" s="18"/>
      <c r="D14" s="25" t="s">
        <v>204</v>
      </c>
      <c r="E14" s="25"/>
    </row>
    <row r="15" spans="1:35" s="1" customFormat="1" x14ac:dyDescent="0.15">
      <c r="C15" s="18"/>
      <c r="D15" s="25"/>
      <c r="E15" s="25"/>
    </row>
    <row r="16" spans="1:35" s="1" customFormat="1" x14ac:dyDescent="0.15">
      <c r="C16" s="18"/>
    </row>
    <row r="17" spans="3:37" s="1" customFormat="1" x14ac:dyDescent="0.15">
      <c r="C17" s="18" t="s">
        <v>17</v>
      </c>
      <c r="D17" s="1" t="s">
        <v>162</v>
      </c>
    </row>
    <row r="18" spans="3:37" s="1" customFormat="1" x14ac:dyDescent="0.15">
      <c r="C18" s="18"/>
    </row>
    <row r="19" spans="3:37" s="1" customFormat="1" x14ac:dyDescent="0.15">
      <c r="C19" s="18"/>
      <c r="D19" s="24" t="s">
        <v>300</v>
      </c>
    </row>
    <row r="20" spans="3:37" s="1" customFormat="1" x14ac:dyDescent="0.15">
      <c r="C20" s="18"/>
      <c r="D20" s="1" t="s">
        <v>301</v>
      </c>
    </row>
    <row r="21" spans="3:37" s="1" customFormat="1" x14ac:dyDescent="0.15">
      <c r="C21" s="18"/>
    </row>
    <row r="22" spans="3:37" s="1" customFormat="1" x14ac:dyDescent="0.15">
      <c r="C22" s="18"/>
    </row>
    <row r="23" spans="3:37" s="1" customFormat="1" x14ac:dyDescent="0.15">
      <c r="C23" s="18"/>
    </row>
    <row r="24" spans="3:37" s="1" customFormat="1" x14ac:dyDescent="0.15">
      <c r="C24" s="18"/>
    </row>
    <row r="25" spans="3:37" s="1" customFormat="1" x14ac:dyDescent="0.15">
      <c r="C25" s="18"/>
    </row>
    <row r="26" spans="3:37" s="1" customFormat="1" x14ac:dyDescent="0.15">
      <c r="C26" s="18"/>
    </row>
    <row r="27" spans="3:37" s="1" customFormat="1" x14ac:dyDescent="0.15">
      <c r="C27" s="18"/>
      <c r="AK27" s="24"/>
    </row>
    <row r="28" spans="3:37" s="1" customFormat="1" x14ac:dyDescent="0.15">
      <c r="C28" s="18"/>
      <c r="AK28" s="24"/>
    </row>
    <row r="29" spans="3:37" s="1" customFormat="1" x14ac:dyDescent="0.15">
      <c r="C29" s="18"/>
      <c r="Z29" s="1" t="s">
        <v>302</v>
      </c>
    </row>
    <row r="30" spans="3:37" s="1" customFormat="1" x14ac:dyDescent="0.15">
      <c r="C30" s="18"/>
    </row>
    <row r="31" spans="3:37" s="1" customFormat="1" x14ac:dyDescent="0.15">
      <c r="C31" s="18"/>
    </row>
    <row r="32" spans="3:37" s="1" customFormat="1" x14ac:dyDescent="0.15">
      <c r="C32" s="18"/>
    </row>
    <row r="33" spans="3:5" s="1" customFormat="1" x14ac:dyDescent="0.15">
      <c r="C33" s="18"/>
    </row>
    <row r="34" spans="3:5" s="1" customFormat="1" x14ac:dyDescent="0.15">
      <c r="C34" s="18"/>
    </row>
    <row r="35" spans="3:5" s="1" customFormat="1" x14ac:dyDescent="0.15">
      <c r="C35" s="18"/>
    </row>
    <row r="36" spans="3:5" s="1" customFormat="1" x14ac:dyDescent="0.15">
      <c r="C36" s="18"/>
      <c r="D36" s="74"/>
    </row>
    <row r="37" spans="3:5" s="1" customFormat="1" x14ac:dyDescent="0.15">
      <c r="C37" s="18"/>
      <c r="D37" s="37"/>
    </row>
    <row r="38" spans="3:5" s="1" customFormat="1" x14ac:dyDescent="0.15">
      <c r="C38" s="18"/>
    </row>
    <row r="39" spans="3:5" s="1" customFormat="1" x14ac:dyDescent="0.15">
      <c r="C39" s="18"/>
    </row>
    <row r="40" spans="3:5" s="1" customFormat="1" x14ac:dyDescent="0.15">
      <c r="C40" s="18"/>
    </row>
    <row r="41" spans="3:5" s="1" customFormat="1" x14ac:dyDescent="0.15">
      <c r="C41" s="18"/>
    </row>
    <row r="42" spans="3:5" s="1" customFormat="1" x14ac:dyDescent="0.15">
      <c r="C42" s="18"/>
      <c r="D42" s="24" t="s">
        <v>303</v>
      </c>
    </row>
    <row r="43" spans="3:5" s="1" customFormat="1" x14ac:dyDescent="0.15">
      <c r="C43" s="18"/>
    </row>
    <row r="44" spans="3:5" s="1" customFormat="1" x14ac:dyDescent="0.15">
      <c r="C44" s="18"/>
      <c r="E44" s="24" t="s">
        <v>304</v>
      </c>
    </row>
    <row r="45" spans="3:5" s="1" customFormat="1" x14ac:dyDescent="0.15">
      <c r="C45" s="18"/>
      <c r="E45" s="24" t="s">
        <v>305</v>
      </c>
    </row>
    <row r="46" spans="3:5" s="1" customFormat="1" x14ac:dyDescent="0.15">
      <c r="C46" s="18"/>
      <c r="E46" s="24" t="s">
        <v>306</v>
      </c>
    </row>
    <row r="47" spans="3:5" s="1" customFormat="1" x14ac:dyDescent="0.15">
      <c r="C47" s="18"/>
    </row>
    <row r="48" spans="3:5" s="1" customFormat="1" x14ac:dyDescent="0.15">
      <c r="C48" s="18"/>
      <c r="D48" s="24" t="s">
        <v>308</v>
      </c>
    </row>
    <row r="49" spans="3:25" s="1" customFormat="1" x14ac:dyDescent="0.15">
      <c r="C49" s="18"/>
      <c r="D49" s="24" t="s">
        <v>309</v>
      </c>
    </row>
    <row r="50" spans="3:25" s="1" customFormat="1" x14ac:dyDescent="0.15">
      <c r="C50" s="18"/>
    </row>
    <row r="51" spans="3:25" s="1" customFormat="1" x14ac:dyDescent="0.15">
      <c r="C51" s="18"/>
      <c r="D51" s="75" t="s">
        <v>310</v>
      </c>
      <c r="E51" s="76"/>
      <c r="F51" s="77"/>
      <c r="G51" s="75" t="s">
        <v>311</v>
      </c>
      <c r="H51" s="78"/>
      <c r="I51" s="78"/>
      <c r="J51" s="76"/>
      <c r="K51" s="76"/>
      <c r="L51" s="77"/>
      <c r="M51" s="76" t="s">
        <v>312</v>
      </c>
      <c r="N51" s="78"/>
      <c r="O51" s="78"/>
      <c r="P51" s="78"/>
      <c r="Q51" s="78"/>
      <c r="R51" s="78"/>
      <c r="S51" s="78"/>
      <c r="T51" s="78"/>
      <c r="U51" s="78"/>
      <c r="V51" s="78"/>
      <c r="W51" s="78"/>
      <c r="X51" s="78"/>
      <c r="Y51" s="77"/>
    </row>
    <row r="52" spans="3:25" s="1" customFormat="1" x14ac:dyDescent="0.15">
      <c r="C52" s="18"/>
      <c r="D52" s="79" t="s">
        <v>313</v>
      </c>
      <c r="E52" s="80"/>
      <c r="F52" s="81"/>
      <c r="G52" s="82" t="s">
        <v>62</v>
      </c>
      <c r="H52" s="72"/>
      <c r="I52" s="72"/>
      <c r="J52" s="83"/>
      <c r="K52" s="83"/>
      <c r="L52" s="84"/>
      <c r="M52" s="83" t="s">
        <v>314</v>
      </c>
      <c r="N52" s="72"/>
      <c r="O52" s="72"/>
      <c r="P52" s="72"/>
      <c r="Q52" s="72"/>
      <c r="R52" s="72"/>
      <c r="S52" s="72"/>
      <c r="T52" s="72"/>
      <c r="U52" s="72"/>
      <c r="V52" s="72"/>
      <c r="W52" s="72"/>
      <c r="X52" s="72"/>
      <c r="Y52" s="84"/>
    </row>
    <row r="53" spans="3:25" s="1" customFormat="1" x14ac:dyDescent="0.15">
      <c r="C53" s="18"/>
      <c r="D53" s="85"/>
      <c r="E53" s="86"/>
      <c r="F53" s="87"/>
      <c r="G53" s="82" t="s">
        <v>63</v>
      </c>
      <c r="H53" s="72"/>
      <c r="I53" s="72"/>
      <c r="J53" s="83"/>
      <c r="K53" s="83"/>
      <c r="L53" s="84"/>
      <c r="M53" s="83" t="s">
        <v>315</v>
      </c>
      <c r="N53" s="72"/>
      <c r="O53" s="72"/>
      <c r="P53" s="72"/>
      <c r="Q53" s="72"/>
      <c r="R53" s="72"/>
      <c r="S53" s="72"/>
      <c r="T53" s="72"/>
      <c r="U53" s="72"/>
      <c r="V53" s="72"/>
      <c r="W53" s="72"/>
      <c r="X53" s="72"/>
      <c r="Y53" s="84"/>
    </row>
    <row r="54" spans="3:25" s="1" customFormat="1" x14ac:dyDescent="0.15">
      <c r="C54" s="18"/>
      <c r="D54" s="79" t="s">
        <v>316</v>
      </c>
      <c r="E54" s="80"/>
      <c r="F54" s="81"/>
      <c r="G54" s="82" t="s">
        <v>62</v>
      </c>
      <c r="H54" s="72"/>
      <c r="I54" s="72"/>
      <c r="J54" s="83"/>
      <c r="K54" s="83"/>
      <c r="L54" s="84"/>
      <c r="M54" s="83" t="s">
        <v>314</v>
      </c>
      <c r="N54" s="72"/>
      <c r="O54" s="72"/>
      <c r="P54" s="72"/>
      <c r="Q54" s="72"/>
      <c r="R54" s="72"/>
      <c r="S54" s="72"/>
      <c r="T54" s="72"/>
      <c r="U54" s="72"/>
      <c r="V54" s="72"/>
      <c r="W54" s="72"/>
      <c r="X54" s="72"/>
      <c r="Y54" s="84"/>
    </row>
    <row r="55" spans="3:25" s="1" customFormat="1" x14ac:dyDescent="0.15">
      <c r="C55" s="18"/>
      <c r="D55" s="85"/>
      <c r="E55" s="86"/>
      <c r="F55" s="87"/>
      <c r="G55" s="82" t="s">
        <v>63</v>
      </c>
      <c r="H55" s="72"/>
      <c r="I55" s="72"/>
      <c r="J55" s="83"/>
      <c r="K55" s="83"/>
      <c r="L55" s="84"/>
      <c r="M55" s="83" t="s">
        <v>317</v>
      </c>
      <c r="N55" s="72"/>
      <c r="O55" s="72"/>
      <c r="P55" s="72"/>
      <c r="Q55" s="72"/>
      <c r="R55" s="72"/>
      <c r="S55" s="72"/>
      <c r="T55" s="72"/>
      <c r="U55" s="72"/>
      <c r="V55" s="72"/>
      <c r="W55" s="72"/>
      <c r="X55" s="72"/>
      <c r="Y55" s="84"/>
    </row>
    <row r="56" spans="3:25" s="1" customFormat="1" x14ac:dyDescent="0.15">
      <c r="C56" s="18"/>
      <c r="D56" s="79" t="s">
        <v>318</v>
      </c>
      <c r="E56" s="80"/>
      <c r="F56" s="81"/>
      <c r="G56" s="82" t="s">
        <v>62</v>
      </c>
      <c r="H56" s="72"/>
      <c r="I56" s="72"/>
      <c r="J56" s="83"/>
      <c r="K56" s="83"/>
      <c r="L56" s="84"/>
      <c r="M56" s="83" t="s">
        <v>314</v>
      </c>
      <c r="N56" s="72"/>
      <c r="O56" s="72"/>
      <c r="P56" s="72"/>
      <c r="Q56" s="72"/>
      <c r="R56" s="72"/>
      <c r="S56" s="72"/>
      <c r="T56" s="72"/>
      <c r="U56" s="72"/>
      <c r="V56" s="72"/>
      <c r="W56" s="72"/>
      <c r="X56" s="72"/>
      <c r="Y56" s="84"/>
    </row>
    <row r="57" spans="3:25" s="1" customFormat="1" x14ac:dyDescent="0.15">
      <c r="C57" s="18"/>
      <c r="D57" s="88"/>
      <c r="E57" s="86"/>
      <c r="F57" s="87"/>
      <c r="G57" s="82" t="s">
        <v>63</v>
      </c>
      <c r="H57" s="72"/>
      <c r="I57" s="72"/>
      <c r="J57" s="83"/>
      <c r="K57" s="83"/>
      <c r="L57" s="84"/>
      <c r="M57" s="83" t="s">
        <v>319</v>
      </c>
      <c r="N57" s="72"/>
      <c r="O57" s="72"/>
      <c r="P57" s="72"/>
      <c r="Q57" s="72"/>
      <c r="R57" s="72"/>
      <c r="S57" s="72"/>
      <c r="T57" s="72"/>
      <c r="U57" s="72"/>
      <c r="V57" s="72"/>
      <c r="W57" s="72"/>
      <c r="X57" s="72"/>
      <c r="Y57" s="84"/>
    </row>
    <row r="58" spans="3:25" s="1" customFormat="1" x14ac:dyDescent="0.15">
      <c r="C58" s="18"/>
      <c r="D58" s="24"/>
      <c r="E58" s="24"/>
      <c r="I58" s="24"/>
    </row>
    <row r="59" spans="3:25" s="1" customFormat="1" x14ac:dyDescent="0.15">
      <c r="C59" s="18"/>
      <c r="D59" s="24" t="s">
        <v>320</v>
      </c>
      <c r="E59" s="24"/>
      <c r="I59" s="24"/>
    </row>
    <row r="60" spans="3:25" s="1" customFormat="1" x14ac:dyDescent="0.15">
      <c r="C60" s="18"/>
      <c r="D60" s="24" t="s">
        <v>321</v>
      </c>
      <c r="E60" s="24"/>
      <c r="I60" s="24"/>
    </row>
    <row r="61" spans="3:25" s="1" customFormat="1" x14ac:dyDescent="0.15">
      <c r="C61" s="18"/>
      <c r="D61" s="24" t="s">
        <v>322</v>
      </c>
      <c r="E61" s="24"/>
      <c r="I61" s="24"/>
    </row>
    <row r="62" spans="3:25" s="1" customFormat="1" x14ac:dyDescent="0.15">
      <c r="C62" s="18"/>
      <c r="D62" s="24"/>
      <c r="E62" s="24"/>
      <c r="I62" s="24"/>
    </row>
    <row r="63" spans="3:25" s="1" customFormat="1" x14ac:dyDescent="0.15">
      <c r="C63" s="18"/>
      <c r="D63" s="24" t="s">
        <v>323</v>
      </c>
      <c r="E63" s="24"/>
      <c r="I63" s="24"/>
    </row>
    <row r="64" spans="3:25" s="1" customFormat="1" x14ac:dyDescent="0.15">
      <c r="C64" s="18"/>
      <c r="D64" s="24" t="s">
        <v>324</v>
      </c>
      <c r="E64" s="24"/>
      <c r="I64" s="24"/>
    </row>
    <row r="65" spans="3:34" s="1" customFormat="1" x14ac:dyDescent="0.15">
      <c r="C65" s="18"/>
      <c r="D65" s="24"/>
      <c r="E65" s="24"/>
      <c r="I65" s="24"/>
    </row>
    <row r="66" spans="3:34" s="1" customFormat="1" x14ac:dyDescent="0.15">
      <c r="C66" s="18"/>
      <c r="D66" s="24" t="s">
        <v>325</v>
      </c>
      <c r="E66" s="24"/>
      <c r="I66" s="24"/>
    </row>
    <row r="67" spans="3:34" s="1" customFormat="1" x14ac:dyDescent="0.15">
      <c r="C67" s="18"/>
      <c r="D67" s="24" t="s">
        <v>326</v>
      </c>
      <c r="E67" s="24"/>
      <c r="I67" s="24"/>
    </row>
    <row r="70" spans="3:34" s="1" customFormat="1" x14ac:dyDescent="0.15">
      <c r="C70" s="18" t="s">
        <v>274</v>
      </c>
    </row>
    <row r="71" spans="3:34" s="1" customFormat="1" x14ac:dyDescent="0.15">
      <c r="C71" s="18"/>
    </row>
    <row r="72" spans="3:34" s="1" customFormat="1" x14ac:dyDescent="0.15">
      <c r="C72" s="37"/>
      <c r="D72" s="37" t="s">
        <v>108</v>
      </c>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spans="3:34" s="1" customFormat="1" x14ac:dyDescent="0.15">
      <c r="C73" s="37"/>
      <c r="D73" s="37" t="s">
        <v>126</v>
      </c>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spans="3:34" s="1" customFormat="1" x14ac:dyDescent="0.15">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spans="3:34" s="1" customFormat="1" x14ac:dyDescent="0.15">
      <c r="C75" s="37"/>
      <c r="D75" s="37" t="s">
        <v>275</v>
      </c>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spans="3:34" s="1" customFormat="1" x14ac:dyDescent="0.15">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spans="3:34" s="1" customFormat="1" x14ac:dyDescent="0.15">
      <c r="C77" s="37"/>
      <c r="D77" s="37"/>
      <c r="E77" s="37" t="s">
        <v>115</v>
      </c>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spans="3:34" s="1" customFormat="1" x14ac:dyDescent="0.15">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spans="3:34" s="1" customFormat="1" x14ac:dyDescent="0.15">
      <c r="C79" s="37"/>
      <c r="D79" s="37"/>
      <c r="E79" s="206" t="s">
        <v>116</v>
      </c>
      <c r="F79" s="207"/>
      <c r="G79" s="207"/>
      <c r="H79" s="207"/>
      <c r="I79" s="207"/>
      <c r="J79" s="208"/>
      <c r="K79" s="206" t="s">
        <v>27</v>
      </c>
      <c r="L79" s="208"/>
      <c r="M79" s="206" t="s">
        <v>117</v>
      </c>
      <c r="N79" s="207"/>
      <c r="O79" s="207"/>
      <c r="P79" s="207"/>
      <c r="Q79" s="207"/>
      <c r="R79" s="207"/>
      <c r="S79" s="207"/>
      <c r="T79" s="207"/>
      <c r="U79" s="207"/>
      <c r="V79" s="207"/>
      <c r="W79" s="207"/>
      <c r="X79" s="207"/>
      <c r="Y79" s="207"/>
      <c r="Z79" s="207"/>
      <c r="AA79" s="207"/>
      <c r="AB79" s="207"/>
      <c r="AC79" s="207"/>
      <c r="AD79" s="207"/>
      <c r="AE79" s="207"/>
      <c r="AF79" s="207"/>
      <c r="AG79" s="207"/>
      <c r="AH79" s="208"/>
    </row>
    <row r="80" spans="3:34" s="1" customFormat="1" x14ac:dyDescent="0.15">
      <c r="C80" s="37"/>
      <c r="D80" s="37"/>
      <c r="E80" s="215" t="s">
        <v>28</v>
      </c>
      <c r="F80" s="219"/>
      <c r="G80" s="219"/>
      <c r="H80" s="219"/>
      <c r="I80" s="219"/>
      <c r="J80" s="216"/>
      <c r="K80" s="157" t="s">
        <v>10</v>
      </c>
      <c r="L80" s="158"/>
      <c r="M80" s="209" t="s">
        <v>251</v>
      </c>
      <c r="N80" s="210"/>
      <c r="O80" s="210"/>
      <c r="P80" s="210"/>
      <c r="Q80" s="210"/>
      <c r="R80" s="210"/>
      <c r="S80" s="210"/>
      <c r="T80" s="210"/>
      <c r="U80" s="210"/>
      <c r="V80" s="210"/>
      <c r="W80" s="210"/>
      <c r="X80" s="210"/>
      <c r="Y80" s="210"/>
      <c r="Z80" s="210"/>
      <c r="AA80" s="210"/>
      <c r="AB80" s="210"/>
      <c r="AC80" s="210"/>
      <c r="AD80" s="210"/>
      <c r="AE80" s="210"/>
      <c r="AF80" s="210"/>
      <c r="AG80" s="210"/>
      <c r="AH80" s="211"/>
    </row>
    <row r="81" spans="3:34" s="1" customFormat="1" x14ac:dyDescent="0.15">
      <c r="C81" s="37"/>
      <c r="D81" s="37"/>
      <c r="E81" s="217"/>
      <c r="F81" s="220"/>
      <c r="G81" s="220"/>
      <c r="H81" s="220"/>
      <c r="I81" s="220"/>
      <c r="J81" s="218"/>
      <c r="K81" s="226"/>
      <c r="L81" s="227"/>
      <c r="M81" s="212"/>
      <c r="N81" s="213"/>
      <c r="O81" s="213"/>
      <c r="P81" s="213"/>
      <c r="Q81" s="213"/>
      <c r="R81" s="213"/>
      <c r="S81" s="213"/>
      <c r="T81" s="213"/>
      <c r="U81" s="213"/>
      <c r="V81" s="213"/>
      <c r="W81" s="213"/>
      <c r="X81" s="213"/>
      <c r="Y81" s="213"/>
      <c r="Z81" s="213"/>
      <c r="AA81" s="213"/>
      <c r="AB81" s="213"/>
      <c r="AC81" s="213"/>
      <c r="AD81" s="213"/>
      <c r="AE81" s="213"/>
      <c r="AF81" s="213"/>
      <c r="AG81" s="213"/>
      <c r="AH81" s="214"/>
    </row>
    <row r="82" spans="3:34" s="1" customFormat="1" x14ac:dyDescent="0.15">
      <c r="C82" s="37"/>
      <c r="D82" s="37"/>
      <c r="E82" s="95" t="s">
        <v>29</v>
      </c>
      <c r="F82" s="96"/>
      <c r="G82" s="96"/>
      <c r="H82" s="96"/>
      <c r="I82" s="96"/>
      <c r="J82" s="97"/>
      <c r="K82" s="232" t="s">
        <v>10</v>
      </c>
      <c r="L82" s="233"/>
      <c r="M82" s="95" t="s">
        <v>118</v>
      </c>
      <c r="N82" s="96"/>
      <c r="O82" s="96"/>
      <c r="P82" s="96"/>
      <c r="Q82" s="96"/>
      <c r="R82" s="96"/>
      <c r="S82" s="96"/>
      <c r="T82" s="96"/>
      <c r="U82" s="96"/>
      <c r="V82" s="96"/>
      <c r="W82" s="96"/>
      <c r="X82" s="96"/>
      <c r="Y82" s="96"/>
      <c r="Z82" s="96"/>
      <c r="AA82" s="96"/>
      <c r="AB82" s="96"/>
      <c r="AC82" s="96"/>
      <c r="AD82" s="96"/>
      <c r="AE82" s="96"/>
      <c r="AF82" s="96"/>
      <c r="AG82" s="96"/>
      <c r="AH82" s="97"/>
    </row>
    <row r="83" spans="3:34" s="1" customFormat="1" x14ac:dyDescent="0.15">
      <c r="C83" s="37"/>
      <c r="D83" s="37"/>
      <c r="E83" s="95" t="s">
        <v>30</v>
      </c>
      <c r="F83" s="96"/>
      <c r="G83" s="96"/>
      <c r="H83" s="96"/>
      <c r="I83" s="96"/>
      <c r="J83" s="97"/>
      <c r="K83" s="232" t="s">
        <v>10</v>
      </c>
      <c r="L83" s="233"/>
      <c r="M83" s="95" t="s">
        <v>127</v>
      </c>
      <c r="N83" s="96"/>
      <c r="O83" s="96"/>
      <c r="P83" s="96"/>
      <c r="Q83" s="96"/>
      <c r="R83" s="96"/>
      <c r="S83" s="96"/>
      <c r="T83" s="96"/>
      <c r="U83" s="96"/>
      <c r="V83" s="96"/>
      <c r="W83" s="96"/>
      <c r="X83" s="96"/>
      <c r="Y83" s="96"/>
      <c r="Z83" s="96"/>
      <c r="AA83" s="96"/>
      <c r="AB83" s="96"/>
      <c r="AC83" s="96"/>
      <c r="AD83" s="96"/>
      <c r="AE83" s="96"/>
      <c r="AF83" s="96"/>
      <c r="AG83" s="96"/>
      <c r="AH83" s="97"/>
    </row>
    <row r="84" spans="3:34" s="1" customFormat="1" x14ac:dyDescent="0.15">
      <c r="C84" s="37"/>
      <c r="D84" s="37"/>
      <c r="E84" s="215" t="s">
        <v>128</v>
      </c>
      <c r="F84" s="219"/>
      <c r="G84" s="219"/>
      <c r="H84" s="219"/>
      <c r="I84" s="219"/>
      <c r="J84" s="216"/>
      <c r="K84" s="157" t="s">
        <v>10</v>
      </c>
      <c r="L84" s="158"/>
      <c r="M84" s="209" t="s">
        <v>252</v>
      </c>
      <c r="N84" s="210"/>
      <c r="O84" s="210"/>
      <c r="P84" s="210"/>
      <c r="Q84" s="210"/>
      <c r="R84" s="210"/>
      <c r="S84" s="210"/>
      <c r="T84" s="210"/>
      <c r="U84" s="210"/>
      <c r="V84" s="210"/>
      <c r="W84" s="210"/>
      <c r="X84" s="210"/>
      <c r="Y84" s="210"/>
      <c r="Z84" s="210"/>
      <c r="AA84" s="210"/>
      <c r="AB84" s="210"/>
      <c r="AC84" s="210"/>
      <c r="AD84" s="210"/>
      <c r="AE84" s="210"/>
      <c r="AF84" s="210"/>
      <c r="AG84" s="210"/>
      <c r="AH84" s="211"/>
    </row>
    <row r="85" spans="3:34" s="1" customFormat="1" x14ac:dyDescent="0.15">
      <c r="C85" s="37"/>
      <c r="D85" s="37"/>
      <c r="E85" s="217"/>
      <c r="F85" s="220"/>
      <c r="G85" s="220"/>
      <c r="H85" s="220"/>
      <c r="I85" s="220"/>
      <c r="J85" s="218"/>
      <c r="K85" s="226"/>
      <c r="L85" s="227"/>
      <c r="M85" s="212"/>
      <c r="N85" s="213"/>
      <c r="O85" s="213"/>
      <c r="P85" s="213"/>
      <c r="Q85" s="213"/>
      <c r="R85" s="213"/>
      <c r="S85" s="213"/>
      <c r="T85" s="213"/>
      <c r="U85" s="213"/>
      <c r="V85" s="213"/>
      <c r="W85" s="213"/>
      <c r="X85" s="213"/>
      <c r="Y85" s="213"/>
      <c r="Z85" s="213"/>
      <c r="AA85" s="213"/>
      <c r="AB85" s="213"/>
      <c r="AC85" s="213"/>
      <c r="AD85" s="213"/>
      <c r="AE85" s="213"/>
      <c r="AF85" s="213"/>
      <c r="AG85" s="213"/>
      <c r="AH85" s="214"/>
    </row>
    <row r="86" spans="3:34" s="1" customFormat="1" x14ac:dyDescent="0.15">
      <c r="C86" s="37"/>
      <c r="D86" s="37"/>
      <c r="AC86" s="37"/>
      <c r="AD86" s="37"/>
    </row>
    <row r="87" spans="3:34" s="1" customFormat="1" x14ac:dyDescent="0.15">
      <c r="C87" s="37"/>
      <c r="D87" s="37" t="s">
        <v>276</v>
      </c>
      <c r="AC87" s="37"/>
      <c r="AD87" s="37"/>
    </row>
    <row r="88" spans="3:34" s="1" customFormat="1" x14ac:dyDescent="0.15">
      <c r="C88" s="37"/>
      <c r="D88" s="37"/>
      <c r="AC88" s="37"/>
      <c r="AD88" s="37"/>
    </row>
    <row r="89" spans="3:34" s="1" customFormat="1" x14ac:dyDescent="0.15">
      <c r="E89" s="1" t="s">
        <v>119</v>
      </c>
    </row>
    <row r="90" spans="3:34" s="1" customFormat="1" x14ac:dyDescent="0.15"/>
    <row r="91" spans="3:34" s="1" customFormat="1" x14ac:dyDescent="0.15">
      <c r="E91" s="40" t="s">
        <v>277</v>
      </c>
    </row>
    <row r="92" spans="3:34" s="1" customFormat="1" x14ac:dyDescent="0.15">
      <c r="E92" s="40"/>
    </row>
    <row r="93" spans="3:34" s="1" customFormat="1" x14ac:dyDescent="0.15">
      <c r="E93" s="206" t="s">
        <v>116</v>
      </c>
      <c r="F93" s="207"/>
      <c r="G93" s="207"/>
      <c r="H93" s="207"/>
      <c r="I93" s="207"/>
      <c r="J93" s="208"/>
      <c r="K93" s="206" t="s">
        <v>27</v>
      </c>
      <c r="L93" s="208"/>
      <c r="M93" s="206" t="s">
        <v>117</v>
      </c>
      <c r="N93" s="207"/>
      <c r="O93" s="207"/>
      <c r="P93" s="207"/>
      <c r="Q93" s="207"/>
      <c r="R93" s="207"/>
      <c r="S93" s="207"/>
      <c r="T93" s="207"/>
      <c r="U93" s="207"/>
      <c r="V93" s="207"/>
      <c r="W93" s="207"/>
      <c r="X93" s="207"/>
      <c r="Y93" s="207"/>
      <c r="Z93" s="207"/>
      <c r="AA93" s="207"/>
      <c r="AB93" s="207"/>
      <c r="AC93" s="207"/>
      <c r="AD93" s="207"/>
      <c r="AE93" s="207"/>
      <c r="AF93" s="207"/>
      <c r="AG93" s="207"/>
      <c r="AH93" s="208"/>
    </row>
    <row r="94" spans="3:34" s="1" customFormat="1" x14ac:dyDescent="0.15">
      <c r="E94" s="215" t="s">
        <v>28</v>
      </c>
      <c r="F94" s="219"/>
      <c r="G94" s="219"/>
      <c r="H94" s="219"/>
      <c r="I94" s="219"/>
      <c r="J94" s="216"/>
      <c r="K94" s="157" t="s">
        <v>10</v>
      </c>
      <c r="L94" s="158"/>
      <c r="M94" s="209" t="s">
        <v>251</v>
      </c>
      <c r="N94" s="210"/>
      <c r="O94" s="210"/>
      <c r="P94" s="210"/>
      <c r="Q94" s="210"/>
      <c r="R94" s="210"/>
      <c r="S94" s="210"/>
      <c r="T94" s="210"/>
      <c r="U94" s="210"/>
      <c r="V94" s="210"/>
      <c r="W94" s="210"/>
      <c r="X94" s="210"/>
      <c r="Y94" s="210"/>
      <c r="Z94" s="210"/>
      <c r="AA94" s="210"/>
      <c r="AB94" s="210"/>
      <c r="AC94" s="210"/>
      <c r="AD94" s="210"/>
      <c r="AE94" s="210"/>
      <c r="AF94" s="210"/>
      <c r="AG94" s="210"/>
      <c r="AH94" s="211"/>
    </row>
    <row r="95" spans="3:34" s="1" customFormat="1" x14ac:dyDescent="0.15">
      <c r="E95" s="217"/>
      <c r="F95" s="220"/>
      <c r="G95" s="220"/>
      <c r="H95" s="220"/>
      <c r="I95" s="220"/>
      <c r="J95" s="218"/>
      <c r="K95" s="226"/>
      <c r="L95" s="227"/>
      <c r="M95" s="212"/>
      <c r="N95" s="213"/>
      <c r="O95" s="213"/>
      <c r="P95" s="213"/>
      <c r="Q95" s="213"/>
      <c r="R95" s="213"/>
      <c r="S95" s="213"/>
      <c r="T95" s="213"/>
      <c r="U95" s="213"/>
      <c r="V95" s="213"/>
      <c r="W95" s="213"/>
      <c r="X95" s="213"/>
      <c r="Y95" s="213"/>
      <c r="Z95" s="213"/>
      <c r="AA95" s="213"/>
      <c r="AB95" s="213"/>
      <c r="AC95" s="213"/>
      <c r="AD95" s="213"/>
      <c r="AE95" s="213"/>
      <c r="AF95" s="213"/>
      <c r="AG95" s="213"/>
      <c r="AH95" s="214"/>
    </row>
    <row r="96" spans="3:34" s="1" customFormat="1" x14ac:dyDescent="0.15">
      <c r="E96" s="95" t="s">
        <v>29</v>
      </c>
      <c r="F96" s="96"/>
      <c r="G96" s="96"/>
      <c r="H96" s="96"/>
      <c r="I96" s="96"/>
      <c r="J96" s="97"/>
      <c r="K96" s="232" t="s">
        <v>10</v>
      </c>
      <c r="L96" s="233"/>
      <c r="M96" s="95" t="s">
        <v>118</v>
      </c>
      <c r="N96" s="96"/>
      <c r="O96" s="96"/>
      <c r="P96" s="96"/>
      <c r="Q96" s="96"/>
      <c r="R96" s="96"/>
      <c r="S96" s="96"/>
      <c r="T96" s="96"/>
      <c r="U96" s="96"/>
      <c r="V96" s="96"/>
      <c r="W96" s="96"/>
      <c r="X96" s="96"/>
      <c r="Y96" s="96"/>
      <c r="Z96" s="96"/>
      <c r="AA96" s="96"/>
      <c r="AB96" s="96"/>
      <c r="AC96" s="96"/>
      <c r="AD96" s="96"/>
      <c r="AE96" s="96"/>
      <c r="AF96" s="96"/>
      <c r="AG96" s="96"/>
      <c r="AH96" s="97"/>
    </row>
    <row r="97" spans="5:34" s="1" customFormat="1" x14ac:dyDescent="0.15">
      <c r="E97" s="95" t="s">
        <v>30</v>
      </c>
      <c r="F97" s="96"/>
      <c r="G97" s="96"/>
      <c r="H97" s="96"/>
      <c r="I97" s="96"/>
      <c r="J97" s="97"/>
      <c r="K97" s="232" t="s">
        <v>10</v>
      </c>
      <c r="L97" s="233"/>
      <c r="M97" s="95" t="s">
        <v>127</v>
      </c>
      <c r="N97" s="96"/>
      <c r="O97" s="96"/>
      <c r="P97" s="96"/>
      <c r="Q97" s="96"/>
      <c r="R97" s="96"/>
      <c r="S97" s="96"/>
      <c r="T97" s="96"/>
      <c r="U97" s="96"/>
      <c r="V97" s="96"/>
      <c r="W97" s="96"/>
      <c r="X97" s="96"/>
      <c r="Y97" s="96"/>
      <c r="Z97" s="96"/>
      <c r="AA97" s="96"/>
      <c r="AB97" s="96"/>
      <c r="AC97" s="96"/>
      <c r="AD97" s="96"/>
      <c r="AE97" s="96"/>
      <c r="AF97" s="96"/>
      <c r="AG97" s="96"/>
      <c r="AH97" s="97"/>
    </row>
    <row r="98" spans="5:34" s="1" customFormat="1" ht="15" customHeight="1" x14ac:dyDescent="0.15">
      <c r="E98" s="215" t="s">
        <v>128</v>
      </c>
      <c r="F98" s="219"/>
      <c r="G98" s="219"/>
      <c r="H98" s="219"/>
      <c r="I98" s="219"/>
      <c r="J98" s="216"/>
      <c r="K98" s="157" t="s">
        <v>10</v>
      </c>
      <c r="L98" s="158"/>
      <c r="M98" s="209" t="s">
        <v>252</v>
      </c>
      <c r="N98" s="210"/>
      <c r="O98" s="210"/>
      <c r="P98" s="210"/>
      <c r="Q98" s="210"/>
      <c r="R98" s="210"/>
      <c r="S98" s="210"/>
      <c r="T98" s="210"/>
      <c r="U98" s="210"/>
      <c r="V98" s="210"/>
      <c r="W98" s="210"/>
      <c r="X98" s="210"/>
      <c r="Y98" s="210"/>
      <c r="Z98" s="210"/>
      <c r="AA98" s="210"/>
      <c r="AB98" s="210"/>
      <c r="AC98" s="210"/>
      <c r="AD98" s="210"/>
      <c r="AE98" s="210"/>
      <c r="AF98" s="210"/>
      <c r="AG98" s="210"/>
      <c r="AH98" s="211"/>
    </row>
    <row r="99" spans="5:34" s="1" customFormat="1" ht="15" customHeight="1" x14ac:dyDescent="0.15">
      <c r="E99" s="217"/>
      <c r="F99" s="220"/>
      <c r="G99" s="220"/>
      <c r="H99" s="220"/>
      <c r="I99" s="220"/>
      <c r="J99" s="218"/>
      <c r="K99" s="226"/>
      <c r="L99" s="227"/>
      <c r="M99" s="212"/>
      <c r="N99" s="213"/>
      <c r="O99" s="213"/>
      <c r="P99" s="213"/>
      <c r="Q99" s="213"/>
      <c r="R99" s="213"/>
      <c r="S99" s="213"/>
      <c r="T99" s="213"/>
      <c r="U99" s="213"/>
      <c r="V99" s="213"/>
      <c r="W99" s="213"/>
      <c r="X99" s="213"/>
      <c r="Y99" s="213"/>
      <c r="Z99" s="213"/>
      <c r="AA99" s="213"/>
      <c r="AB99" s="213"/>
      <c r="AC99" s="213"/>
      <c r="AD99" s="213"/>
      <c r="AE99" s="213"/>
      <c r="AF99" s="213"/>
      <c r="AG99" s="213"/>
      <c r="AH99" s="214"/>
    </row>
    <row r="100" spans="5:34" s="1" customFormat="1" ht="15" customHeight="1" x14ac:dyDescent="0.15"/>
    <row r="101" spans="5:34" s="1" customFormat="1" ht="15" customHeight="1" x14ac:dyDescent="0.15"/>
    <row r="102" spans="5:34" s="1" customFormat="1" ht="15" customHeight="1" x14ac:dyDescent="0.15">
      <c r="E102" s="40" t="s">
        <v>278</v>
      </c>
    </row>
    <row r="103" spans="5:34" s="1" customFormat="1" ht="15" customHeight="1" x14ac:dyDescent="0.15">
      <c r="E103" s="40"/>
    </row>
    <row r="104" spans="5:34" s="1" customFormat="1" ht="15" customHeight="1" x14ac:dyDescent="0.15">
      <c r="F104" s="1" t="s">
        <v>22</v>
      </c>
    </row>
    <row r="105" spans="5:34" s="1" customFormat="1" ht="15" customHeight="1" x14ac:dyDescent="0.15">
      <c r="F105" s="1" t="s">
        <v>46</v>
      </c>
    </row>
    <row r="106" spans="5:34" s="1" customFormat="1" ht="15" customHeight="1" x14ac:dyDescent="0.15">
      <c r="G106" s="24" t="s">
        <v>327</v>
      </c>
    </row>
    <row r="107" spans="5:34" s="1" customFormat="1" ht="15" customHeight="1" x14ac:dyDescent="0.15"/>
    <row r="108" spans="5:34" s="1" customFormat="1" ht="15" customHeight="1" x14ac:dyDescent="0.15">
      <c r="E108" s="206" t="s">
        <v>116</v>
      </c>
      <c r="F108" s="207"/>
      <c r="G108" s="207"/>
      <c r="H108" s="207"/>
      <c r="I108" s="207"/>
      <c r="J108" s="208"/>
      <c r="K108" s="206" t="s">
        <v>27</v>
      </c>
      <c r="L108" s="208"/>
      <c r="M108" s="206" t="s">
        <v>117</v>
      </c>
      <c r="N108" s="207"/>
      <c r="O108" s="207"/>
      <c r="P108" s="207"/>
      <c r="Q108" s="207"/>
      <c r="R108" s="207"/>
      <c r="S108" s="207"/>
      <c r="T108" s="207"/>
      <c r="U108" s="207"/>
      <c r="V108" s="207"/>
      <c r="W108" s="207"/>
      <c r="X108" s="207"/>
      <c r="Y108" s="207"/>
      <c r="Z108" s="207"/>
      <c r="AA108" s="207"/>
      <c r="AB108" s="207"/>
      <c r="AC108" s="207"/>
      <c r="AD108" s="207"/>
      <c r="AE108" s="207"/>
      <c r="AF108" s="207"/>
      <c r="AG108" s="207"/>
      <c r="AH108" s="208"/>
    </row>
    <row r="109" spans="5:34" s="1" customFormat="1" ht="15" customHeight="1" x14ac:dyDescent="0.15">
      <c r="E109" s="215" t="s">
        <v>129</v>
      </c>
      <c r="F109" s="219"/>
      <c r="G109" s="219"/>
      <c r="H109" s="219"/>
      <c r="I109" s="219"/>
      <c r="J109" s="216"/>
      <c r="K109" s="157" t="s">
        <v>10</v>
      </c>
      <c r="L109" s="158"/>
      <c r="M109" s="209" t="s">
        <v>253</v>
      </c>
      <c r="N109" s="210"/>
      <c r="O109" s="210"/>
      <c r="P109" s="210"/>
      <c r="Q109" s="210"/>
      <c r="R109" s="210"/>
      <c r="S109" s="210"/>
      <c r="T109" s="210"/>
      <c r="U109" s="210"/>
      <c r="V109" s="210"/>
      <c r="W109" s="210"/>
      <c r="X109" s="210"/>
      <c r="Y109" s="210"/>
      <c r="Z109" s="210"/>
      <c r="AA109" s="210"/>
      <c r="AB109" s="210"/>
      <c r="AC109" s="210"/>
      <c r="AD109" s="210"/>
      <c r="AE109" s="210"/>
      <c r="AF109" s="210"/>
      <c r="AG109" s="210"/>
      <c r="AH109" s="211"/>
    </row>
    <row r="110" spans="5:34" s="1" customFormat="1" ht="15" customHeight="1" x14ac:dyDescent="0.15">
      <c r="E110" s="217"/>
      <c r="F110" s="220"/>
      <c r="G110" s="220"/>
      <c r="H110" s="220"/>
      <c r="I110" s="220"/>
      <c r="J110" s="218"/>
      <c r="K110" s="226"/>
      <c r="L110" s="227"/>
      <c r="M110" s="212"/>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4"/>
    </row>
    <row r="111" spans="5:34" s="1" customFormat="1" ht="15" customHeight="1" x14ac:dyDescent="0.15">
      <c r="E111" s="215" t="s">
        <v>23</v>
      </c>
      <c r="F111" s="219"/>
      <c r="G111" s="219"/>
      <c r="H111" s="219"/>
      <c r="I111" s="219"/>
      <c r="J111" s="216"/>
      <c r="K111" s="231" t="s">
        <v>76</v>
      </c>
      <c r="L111" s="216"/>
      <c r="M111" s="209" t="s">
        <v>254</v>
      </c>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1"/>
    </row>
    <row r="112" spans="5:34" s="1" customFormat="1" ht="15" customHeight="1" x14ac:dyDescent="0.15">
      <c r="E112" s="221"/>
      <c r="F112" s="222"/>
      <c r="G112" s="222"/>
      <c r="H112" s="222"/>
      <c r="I112" s="222"/>
      <c r="J112" s="223"/>
      <c r="K112" s="221"/>
      <c r="L112" s="223"/>
      <c r="M112" s="228"/>
      <c r="N112" s="229"/>
      <c r="O112" s="229"/>
      <c r="P112" s="229"/>
      <c r="Q112" s="229"/>
      <c r="R112" s="229"/>
      <c r="S112" s="229"/>
      <c r="T112" s="229"/>
      <c r="U112" s="229"/>
      <c r="V112" s="229"/>
      <c r="W112" s="229"/>
      <c r="X112" s="229"/>
      <c r="Y112" s="229"/>
      <c r="Z112" s="229"/>
      <c r="AA112" s="229"/>
      <c r="AB112" s="229"/>
      <c r="AC112" s="229"/>
      <c r="AD112" s="229"/>
      <c r="AE112" s="229"/>
      <c r="AF112" s="229"/>
      <c r="AG112" s="229"/>
      <c r="AH112" s="230"/>
    </row>
    <row r="113" spans="4:34" s="1" customFormat="1" ht="15" customHeight="1" x14ac:dyDescent="0.15">
      <c r="E113" s="221"/>
      <c r="F113" s="222"/>
      <c r="G113" s="222"/>
      <c r="H113" s="222"/>
      <c r="I113" s="222"/>
      <c r="J113" s="223"/>
      <c r="K113" s="221"/>
      <c r="L113" s="223"/>
      <c r="M113" s="228"/>
      <c r="N113" s="229"/>
      <c r="O113" s="229"/>
      <c r="P113" s="229"/>
      <c r="Q113" s="229"/>
      <c r="R113" s="229"/>
      <c r="S113" s="229"/>
      <c r="T113" s="229"/>
      <c r="U113" s="229"/>
      <c r="V113" s="229"/>
      <c r="W113" s="229"/>
      <c r="X113" s="229"/>
      <c r="Y113" s="229"/>
      <c r="Z113" s="229"/>
      <c r="AA113" s="229"/>
      <c r="AB113" s="229"/>
      <c r="AC113" s="229"/>
      <c r="AD113" s="229"/>
      <c r="AE113" s="229"/>
      <c r="AF113" s="229"/>
      <c r="AG113" s="229"/>
      <c r="AH113" s="230"/>
    </row>
    <row r="114" spans="4:34" s="1" customFormat="1" ht="15" customHeight="1" x14ac:dyDescent="0.15">
      <c r="E114" s="221"/>
      <c r="F114" s="222"/>
      <c r="G114" s="222"/>
      <c r="H114" s="222"/>
      <c r="I114" s="222"/>
      <c r="J114" s="223"/>
      <c r="K114" s="221"/>
      <c r="L114" s="223"/>
      <c r="M114" s="228"/>
      <c r="N114" s="229"/>
      <c r="O114" s="229"/>
      <c r="P114" s="229"/>
      <c r="Q114" s="229"/>
      <c r="R114" s="229"/>
      <c r="S114" s="229"/>
      <c r="T114" s="229"/>
      <c r="U114" s="229"/>
      <c r="V114" s="229"/>
      <c r="W114" s="229"/>
      <c r="X114" s="229"/>
      <c r="Y114" s="229"/>
      <c r="Z114" s="229"/>
      <c r="AA114" s="229"/>
      <c r="AB114" s="229"/>
      <c r="AC114" s="229"/>
      <c r="AD114" s="229"/>
      <c r="AE114" s="229"/>
      <c r="AF114" s="229"/>
      <c r="AG114" s="229"/>
      <c r="AH114" s="230"/>
    </row>
    <row r="115" spans="4:34" s="1" customFormat="1" ht="15" customHeight="1" x14ac:dyDescent="0.15">
      <c r="E115" s="217"/>
      <c r="F115" s="220"/>
      <c r="G115" s="220"/>
      <c r="H115" s="220"/>
      <c r="I115" s="220"/>
      <c r="J115" s="218"/>
      <c r="K115" s="217"/>
      <c r="L115" s="218"/>
      <c r="M115" s="212"/>
      <c r="N115" s="213"/>
      <c r="O115" s="213"/>
      <c r="P115" s="213"/>
      <c r="Q115" s="213"/>
      <c r="R115" s="213"/>
      <c r="S115" s="213"/>
      <c r="T115" s="213"/>
      <c r="U115" s="213"/>
      <c r="V115" s="213"/>
      <c r="W115" s="213"/>
      <c r="X115" s="213"/>
      <c r="Y115" s="213"/>
      <c r="Z115" s="213"/>
      <c r="AA115" s="213"/>
      <c r="AB115" s="213"/>
      <c r="AC115" s="213"/>
      <c r="AD115" s="213"/>
      <c r="AE115" s="213"/>
      <c r="AF115" s="213"/>
      <c r="AG115" s="213"/>
      <c r="AH115" s="214"/>
    </row>
    <row r="116" spans="4:34" s="1" customFormat="1" ht="15" customHeight="1" x14ac:dyDescent="0.15"/>
    <row r="117" spans="4:34" s="1" customFormat="1" ht="15" customHeight="1" x14ac:dyDescent="0.15"/>
    <row r="118" spans="4:34" s="1" customFormat="1" ht="15" customHeight="1" x14ac:dyDescent="0.15">
      <c r="D118" s="37" t="s">
        <v>279</v>
      </c>
    </row>
    <row r="119" spans="4:34" s="1" customFormat="1" ht="15" customHeight="1" x14ac:dyDescent="0.15">
      <c r="D119" s="37"/>
    </row>
    <row r="120" spans="4:34" s="1" customFormat="1" ht="15" customHeight="1" x14ac:dyDescent="0.15">
      <c r="E120" s="1" t="s">
        <v>24</v>
      </c>
    </row>
    <row r="121" spans="4:34" s="1" customFormat="1" ht="15" customHeight="1" x14ac:dyDescent="0.15">
      <c r="E121" s="1" t="s">
        <v>49</v>
      </c>
    </row>
    <row r="122" spans="4:34" s="1" customFormat="1" ht="15" customHeight="1" x14ac:dyDescent="0.15">
      <c r="E122" s="1" t="s">
        <v>25</v>
      </c>
    </row>
    <row r="123" spans="4:34" s="1" customFormat="1" ht="15" customHeight="1" x14ac:dyDescent="0.15"/>
    <row r="124" spans="4:34" s="1" customFormat="1" ht="15" customHeight="1" x14ac:dyDescent="0.15">
      <c r="E124" s="1" t="s">
        <v>38</v>
      </c>
    </row>
    <row r="125" spans="4:34" s="1" customFormat="1" ht="15" customHeight="1" x14ac:dyDescent="0.15">
      <c r="F125" s="24" t="s">
        <v>328</v>
      </c>
    </row>
    <row r="126" spans="4:34" s="1" customFormat="1" ht="15" customHeight="1" x14ac:dyDescent="0.15"/>
    <row r="127" spans="4:34" s="1" customFormat="1" ht="15" customHeight="1" x14ac:dyDescent="0.15">
      <c r="E127" s="40" t="s">
        <v>280</v>
      </c>
    </row>
    <row r="128" spans="4:34" s="1" customFormat="1" ht="15" customHeight="1" x14ac:dyDescent="0.15">
      <c r="E128" s="40"/>
    </row>
    <row r="129" spans="5:34" s="1" customFormat="1" ht="15" customHeight="1" x14ac:dyDescent="0.15">
      <c r="E129" s="206" t="s">
        <v>116</v>
      </c>
      <c r="F129" s="207"/>
      <c r="G129" s="207"/>
      <c r="H129" s="207"/>
      <c r="I129" s="207"/>
      <c r="J129" s="208"/>
      <c r="K129" s="206" t="s">
        <v>27</v>
      </c>
      <c r="L129" s="208"/>
      <c r="M129" s="206" t="s">
        <v>117</v>
      </c>
      <c r="N129" s="207"/>
      <c r="O129" s="207"/>
      <c r="P129" s="207"/>
      <c r="Q129" s="207"/>
      <c r="R129" s="207"/>
      <c r="S129" s="207"/>
      <c r="T129" s="207"/>
      <c r="U129" s="207"/>
      <c r="V129" s="207"/>
      <c r="W129" s="207"/>
      <c r="X129" s="207"/>
      <c r="Y129" s="207"/>
      <c r="Z129" s="207"/>
      <c r="AA129" s="207"/>
      <c r="AB129" s="207"/>
      <c r="AC129" s="207"/>
      <c r="AD129" s="207"/>
      <c r="AE129" s="207"/>
      <c r="AF129" s="207"/>
      <c r="AG129" s="207"/>
      <c r="AH129" s="208"/>
    </row>
    <row r="130" spans="5:34" s="1" customFormat="1" ht="15" customHeight="1" x14ac:dyDescent="0.15">
      <c r="E130" s="215" t="s">
        <v>28</v>
      </c>
      <c r="F130" s="219"/>
      <c r="G130" s="219"/>
      <c r="H130" s="219"/>
      <c r="I130" s="219"/>
      <c r="J130" s="216"/>
      <c r="K130" s="157" t="s">
        <v>10</v>
      </c>
      <c r="L130" s="158"/>
      <c r="M130" s="209" t="s">
        <v>251</v>
      </c>
      <c r="N130" s="210"/>
      <c r="O130" s="210"/>
      <c r="P130" s="210"/>
      <c r="Q130" s="210"/>
      <c r="R130" s="210"/>
      <c r="S130" s="210"/>
      <c r="T130" s="210"/>
      <c r="U130" s="210"/>
      <c r="V130" s="210"/>
      <c r="W130" s="210"/>
      <c r="X130" s="210"/>
      <c r="Y130" s="210"/>
      <c r="Z130" s="210"/>
      <c r="AA130" s="210"/>
      <c r="AB130" s="210"/>
      <c r="AC130" s="210"/>
      <c r="AD130" s="210"/>
      <c r="AE130" s="210"/>
      <c r="AF130" s="210"/>
      <c r="AG130" s="210"/>
      <c r="AH130" s="211"/>
    </row>
    <row r="131" spans="5:34" s="1" customFormat="1" ht="15" customHeight="1" x14ac:dyDescent="0.15">
      <c r="E131" s="217"/>
      <c r="F131" s="220"/>
      <c r="G131" s="220"/>
      <c r="H131" s="220"/>
      <c r="I131" s="220"/>
      <c r="J131" s="218"/>
      <c r="K131" s="226"/>
      <c r="L131" s="227"/>
      <c r="M131" s="212"/>
      <c r="N131" s="213"/>
      <c r="O131" s="213"/>
      <c r="P131" s="213"/>
      <c r="Q131" s="213"/>
      <c r="R131" s="213"/>
      <c r="S131" s="213"/>
      <c r="T131" s="213"/>
      <c r="U131" s="213"/>
      <c r="V131" s="213"/>
      <c r="W131" s="213"/>
      <c r="X131" s="213"/>
      <c r="Y131" s="213"/>
      <c r="Z131" s="213"/>
      <c r="AA131" s="213"/>
      <c r="AB131" s="213"/>
      <c r="AC131" s="213"/>
      <c r="AD131" s="213"/>
      <c r="AE131" s="213"/>
      <c r="AF131" s="213"/>
      <c r="AG131" s="213"/>
      <c r="AH131" s="214"/>
    </row>
    <row r="132" spans="5:34" s="1" customFormat="1" ht="15" customHeight="1" x14ac:dyDescent="0.15">
      <c r="E132" s="215" t="s">
        <v>23</v>
      </c>
      <c r="F132" s="219"/>
      <c r="G132" s="219"/>
      <c r="H132" s="219"/>
      <c r="I132" s="219"/>
      <c r="J132" s="216"/>
      <c r="K132" s="215" t="s">
        <v>76</v>
      </c>
      <c r="L132" s="216"/>
      <c r="M132" s="209" t="s">
        <v>255</v>
      </c>
      <c r="N132" s="210"/>
      <c r="O132" s="210"/>
      <c r="P132" s="210"/>
      <c r="Q132" s="210"/>
      <c r="R132" s="210"/>
      <c r="S132" s="210"/>
      <c r="T132" s="210"/>
      <c r="U132" s="210"/>
      <c r="V132" s="210"/>
      <c r="W132" s="210"/>
      <c r="X132" s="210"/>
      <c r="Y132" s="210"/>
      <c r="Z132" s="210"/>
      <c r="AA132" s="210"/>
      <c r="AB132" s="210"/>
      <c r="AC132" s="210"/>
      <c r="AD132" s="210"/>
      <c r="AE132" s="210"/>
      <c r="AF132" s="210"/>
      <c r="AG132" s="210"/>
      <c r="AH132" s="211"/>
    </row>
    <row r="133" spans="5:34" s="1" customFormat="1" ht="15" customHeight="1" x14ac:dyDescent="0.15">
      <c r="E133" s="221"/>
      <c r="F133" s="222"/>
      <c r="G133" s="222"/>
      <c r="H133" s="222"/>
      <c r="I133" s="222"/>
      <c r="J133" s="223"/>
      <c r="K133" s="221"/>
      <c r="L133" s="223"/>
      <c r="M133" s="228"/>
      <c r="N133" s="229"/>
      <c r="O133" s="229"/>
      <c r="P133" s="229"/>
      <c r="Q133" s="229"/>
      <c r="R133" s="229"/>
      <c r="S133" s="229"/>
      <c r="T133" s="229"/>
      <c r="U133" s="229"/>
      <c r="V133" s="229"/>
      <c r="W133" s="229"/>
      <c r="X133" s="229"/>
      <c r="Y133" s="229"/>
      <c r="Z133" s="229"/>
      <c r="AA133" s="229"/>
      <c r="AB133" s="229"/>
      <c r="AC133" s="229"/>
      <c r="AD133" s="229"/>
      <c r="AE133" s="229"/>
      <c r="AF133" s="229"/>
      <c r="AG133" s="229"/>
      <c r="AH133" s="230"/>
    </row>
    <row r="134" spans="5:34" s="1" customFormat="1" ht="15" customHeight="1" x14ac:dyDescent="0.15">
      <c r="E134" s="217"/>
      <c r="F134" s="220"/>
      <c r="G134" s="220"/>
      <c r="H134" s="220"/>
      <c r="I134" s="220"/>
      <c r="J134" s="218"/>
      <c r="K134" s="217"/>
      <c r="L134" s="218"/>
      <c r="M134" s="212"/>
      <c r="N134" s="213"/>
      <c r="O134" s="213"/>
      <c r="P134" s="213"/>
      <c r="Q134" s="213"/>
      <c r="R134" s="213"/>
      <c r="S134" s="213"/>
      <c r="T134" s="213"/>
      <c r="U134" s="213"/>
      <c r="V134" s="213"/>
      <c r="W134" s="213"/>
      <c r="X134" s="213"/>
      <c r="Y134" s="213"/>
      <c r="Z134" s="213"/>
      <c r="AA134" s="213"/>
      <c r="AB134" s="213"/>
      <c r="AC134" s="213"/>
      <c r="AD134" s="213"/>
      <c r="AE134" s="213"/>
      <c r="AF134" s="213"/>
      <c r="AG134" s="213"/>
      <c r="AH134" s="214"/>
    </row>
    <row r="135" spans="5:34" s="1" customFormat="1" ht="15" customHeight="1" x14ac:dyDescent="0.15"/>
    <row r="136" spans="5:34" s="1" customFormat="1" ht="15" customHeight="1" x14ac:dyDescent="0.15"/>
    <row r="137" spans="5:34" s="1" customFormat="1" ht="15" customHeight="1" x14ac:dyDescent="0.15">
      <c r="E137" s="40" t="s">
        <v>281</v>
      </c>
    </row>
    <row r="138" spans="5:34" s="1" customFormat="1" ht="15" customHeight="1" x14ac:dyDescent="0.15">
      <c r="E138" s="40"/>
    </row>
    <row r="139" spans="5:34" s="1" customFormat="1" ht="15" customHeight="1" x14ac:dyDescent="0.15">
      <c r="E139" s="206" t="s">
        <v>116</v>
      </c>
      <c r="F139" s="207"/>
      <c r="G139" s="207"/>
      <c r="H139" s="207"/>
      <c r="I139" s="207"/>
      <c r="J139" s="208"/>
      <c r="K139" s="206" t="s">
        <v>27</v>
      </c>
      <c r="L139" s="208"/>
      <c r="M139" s="206" t="s">
        <v>117</v>
      </c>
      <c r="N139" s="207"/>
      <c r="O139" s="207"/>
      <c r="P139" s="207"/>
      <c r="Q139" s="207"/>
      <c r="R139" s="207"/>
      <c r="S139" s="207"/>
      <c r="T139" s="207"/>
      <c r="U139" s="207"/>
      <c r="V139" s="207"/>
      <c r="W139" s="207"/>
      <c r="X139" s="207"/>
      <c r="Y139" s="207"/>
      <c r="Z139" s="207"/>
      <c r="AA139" s="207"/>
      <c r="AB139" s="207"/>
      <c r="AC139" s="207"/>
      <c r="AD139" s="207"/>
      <c r="AE139" s="207"/>
      <c r="AF139" s="207"/>
      <c r="AG139" s="207"/>
      <c r="AH139" s="208"/>
    </row>
    <row r="140" spans="5:34" s="1" customFormat="1" ht="15" customHeight="1" x14ac:dyDescent="0.15">
      <c r="E140" s="215" t="s">
        <v>28</v>
      </c>
      <c r="F140" s="219"/>
      <c r="G140" s="219"/>
      <c r="H140" s="219"/>
      <c r="I140" s="219"/>
      <c r="J140" s="216"/>
      <c r="K140" s="157" t="s">
        <v>10</v>
      </c>
      <c r="L140" s="158"/>
      <c r="M140" s="209" t="s">
        <v>251</v>
      </c>
      <c r="N140" s="210"/>
      <c r="O140" s="210"/>
      <c r="P140" s="210"/>
      <c r="Q140" s="210"/>
      <c r="R140" s="210"/>
      <c r="S140" s="210"/>
      <c r="T140" s="210"/>
      <c r="U140" s="210"/>
      <c r="V140" s="210"/>
      <c r="W140" s="210"/>
      <c r="X140" s="210"/>
      <c r="Y140" s="210"/>
      <c r="Z140" s="210"/>
      <c r="AA140" s="210"/>
      <c r="AB140" s="210"/>
      <c r="AC140" s="210"/>
      <c r="AD140" s="210"/>
      <c r="AE140" s="210"/>
      <c r="AF140" s="210"/>
      <c r="AG140" s="210"/>
      <c r="AH140" s="211"/>
    </row>
    <row r="141" spans="5:34" s="1" customFormat="1" ht="15" customHeight="1" x14ac:dyDescent="0.15">
      <c r="E141" s="217"/>
      <c r="F141" s="220"/>
      <c r="G141" s="220"/>
      <c r="H141" s="220"/>
      <c r="I141" s="220"/>
      <c r="J141" s="218"/>
      <c r="K141" s="226"/>
      <c r="L141" s="227"/>
      <c r="M141" s="212"/>
      <c r="N141" s="213"/>
      <c r="O141" s="213"/>
      <c r="P141" s="213"/>
      <c r="Q141" s="213"/>
      <c r="R141" s="213"/>
      <c r="S141" s="213"/>
      <c r="T141" s="213"/>
      <c r="U141" s="213"/>
      <c r="V141" s="213"/>
      <c r="W141" s="213"/>
      <c r="X141" s="213"/>
      <c r="Y141" s="213"/>
      <c r="Z141" s="213"/>
      <c r="AA141" s="213"/>
      <c r="AB141" s="213"/>
      <c r="AC141" s="213"/>
      <c r="AD141" s="213"/>
      <c r="AE141" s="213"/>
      <c r="AF141" s="213"/>
      <c r="AG141" s="213"/>
      <c r="AH141" s="214"/>
    </row>
    <row r="142" spans="5:34" s="1" customFormat="1" ht="15" customHeight="1" x14ac:dyDescent="0.15">
      <c r="E142" s="215" t="s">
        <v>23</v>
      </c>
      <c r="F142" s="219"/>
      <c r="G142" s="219"/>
      <c r="H142" s="219"/>
      <c r="I142" s="219"/>
      <c r="J142" s="216"/>
      <c r="K142" s="157" t="s">
        <v>10</v>
      </c>
      <c r="L142" s="158"/>
      <c r="M142" s="209" t="s">
        <v>256</v>
      </c>
      <c r="N142" s="210"/>
      <c r="O142" s="210"/>
      <c r="P142" s="210"/>
      <c r="Q142" s="210"/>
      <c r="R142" s="210"/>
      <c r="S142" s="210"/>
      <c r="T142" s="210"/>
      <c r="U142" s="210"/>
      <c r="V142" s="210"/>
      <c r="W142" s="210"/>
      <c r="X142" s="210"/>
      <c r="Y142" s="210"/>
      <c r="Z142" s="210"/>
      <c r="AA142" s="210"/>
      <c r="AB142" s="210"/>
      <c r="AC142" s="210"/>
      <c r="AD142" s="210"/>
      <c r="AE142" s="210"/>
      <c r="AF142" s="210"/>
      <c r="AG142" s="210"/>
      <c r="AH142" s="211"/>
    </row>
    <row r="143" spans="5:34" s="1" customFormat="1" ht="15" customHeight="1" x14ac:dyDescent="0.15">
      <c r="E143" s="221"/>
      <c r="F143" s="222"/>
      <c r="G143" s="222"/>
      <c r="H143" s="222"/>
      <c r="I143" s="222"/>
      <c r="J143" s="223"/>
      <c r="K143" s="224"/>
      <c r="L143" s="225"/>
      <c r="M143" s="228"/>
      <c r="N143" s="229"/>
      <c r="O143" s="229"/>
      <c r="P143" s="229"/>
      <c r="Q143" s="229"/>
      <c r="R143" s="229"/>
      <c r="S143" s="229"/>
      <c r="T143" s="229"/>
      <c r="U143" s="229"/>
      <c r="V143" s="229"/>
      <c r="W143" s="229"/>
      <c r="X143" s="229"/>
      <c r="Y143" s="229"/>
      <c r="Z143" s="229"/>
      <c r="AA143" s="229"/>
      <c r="AB143" s="229"/>
      <c r="AC143" s="229"/>
      <c r="AD143" s="229"/>
      <c r="AE143" s="229"/>
      <c r="AF143" s="229"/>
      <c r="AG143" s="229"/>
      <c r="AH143" s="230"/>
    </row>
    <row r="144" spans="5:34" s="1" customFormat="1" ht="15" customHeight="1" x14ac:dyDescent="0.15">
      <c r="E144" s="221"/>
      <c r="F144" s="222"/>
      <c r="G144" s="222"/>
      <c r="H144" s="222"/>
      <c r="I144" s="222"/>
      <c r="J144" s="223"/>
      <c r="K144" s="224"/>
      <c r="L144" s="225"/>
      <c r="M144" s="228"/>
      <c r="N144" s="229"/>
      <c r="O144" s="229"/>
      <c r="P144" s="229"/>
      <c r="Q144" s="229"/>
      <c r="R144" s="229"/>
      <c r="S144" s="229"/>
      <c r="T144" s="229"/>
      <c r="U144" s="229"/>
      <c r="V144" s="229"/>
      <c r="W144" s="229"/>
      <c r="X144" s="229"/>
      <c r="Y144" s="229"/>
      <c r="Z144" s="229"/>
      <c r="AA144" s="229"/>
      <c r="AB144" s="229"/>
      <c r="AC144" s="229"/>
      <c r="AD144" s="229"/>
      <c r="AE144" s="229"/>
      <c r="AF144" s="229"/>
      <c r="AG144" s="229"/>
      <c r="AH144" s="230"/>
    </row>
    <row r="145" spans="5:34" s="1" customFormat="1" ht="15" customHeight="1" x14ac:dyDescent="0.15">
      <c r="E145" s="217"/>
      <c r="F145" s="220"/>
      <c r="G145" s="220"/>
      <c r="H145" s="220"/>
      <c r="I145" s="220"/>
      <c r="J145" s="218"/>
      <c r="K145" s="226"/>
      <c r="L145" s="227"/>
      <c r="M145" s="212"/>
      <c r="N145" s="213"/>
      <c r="O145" s="213"/>
      <c r="P145" s="213"/>
      <c r="Q145" s="213"/>
      <c r="R145" s="213"/>
      <c r="S145" s="213"/>
      <c r="T145" s="213"/>
      <c r="U145" s="213"/>
      <c r="V145" s="213"/>
      <c r="W145" s="213"/>
      <c r="X145" s="213"/>
      <c r="Y145" s="213"/>
      <c r="Z145" s="213"/>
      <c r="AA145" s="213"/>
      <c r="AB145" s="213"/>
      <c r="AC145" s="213"/>
      <c r="AD145" s="213"/>
      <c r="AE145" s="213"/>
      <c r="AF145" s="213"/>
      <c r="AG145" s="213"/>
      <c r="AH145" s="214"/>
    </row>
    <row r="146" spans="5:34" s="1" customFormat="1" ht="15" customHeight="1" x14ac:dyDescent="0.15">
      <c r="E146" s="215" t="s">
        <v>130</v>
      </c>
      <c r="F146" s="219"/>
      <c r="G146" s="219"/>
      <c r="H146" s="219"/>
      <c r="I146" s="219"/>
      <c r="J146" s="216"/>
      <c r="K146" s="157" t="s">
        <v>10</v>
      </c>
      <c r="L146" s="158"/>
      <c r="M146" s="209" t="s">
        <v>257</v>
      </c>
      <c r="N146" s="210"/>
      <c r="O146" s="210"/>
      <c r="P146" s="210"/>
      <c r="Q146" s="210"/>
      <c r="R146" s="210"/>
      <c r="S146" s="210"/>
      <c r="T146" s="210"/>
      <c r="U146" s="210"/>
      <c r="V146" s="210"/>
      <c r="W146" s="210"/>
      <c r="X146" s="210"/>
      <c r="Y146" s="210"/>
      <c r="Z146" s="210"/>
      <c r="AA146" s="210"/>
      <c r="AB146" s="210"/>
      <c r="AC146" s="210"/>
      <c r="AD146" s="210"/>
      <c r="AE146" s="210"/>
      <c r="AF146" s="210"/>
      <c r="AG146" s="210"/>
      <c r="AH146" s="211"/>
    </row>
    <row r="147" spans="5:34" s="1" customFormat="1" ht="15" customHeight="1" x14ac:dyDescent="0.15">
      <c r="E147" s="221"/>
      <c r="F147" s="222"/>
      <c r="G147" s="222"/>
      <c r="H147" s="222"/>
      <c r="I147" s="222"/>
      <c r="J147" s="223"/>
      <c r="K147" s="224"/>
      <c r="L147" s="225"/>
      <c r="M147" s="228"/>
      <c r="N147" s="229"/>
      <c r="O147" s="229"/>
      <c r="P147" s="229"/>
      <c r="Q147" s="229"/>
      <c r="R147" s="229"/>
      <c r="S147" s="229"/>
      <c r="T147" s="229"/>
      <c r="U147" s="229"/>
      <c r="V147" s="229"/>
      <c r="W147" s="229"/>
      <c r="X147" s="229"/>
      <c r="Y147" s="229"/>
      <c r="Z147" s="229"/>
      <c r="AA147" s="229"/>
      <c r="AB147" s="229"/>
      <c r="AC147" s="229"/>
      <c r="AD147" s="229"/>
      <c r="AE147" s="229"/>
      <c r="AF147" s="229"/>
      <c r="AG147" s="229"/>
      <c r="AH147" s="230"/>
    </row>
    <row r="148" spans="5:34" s="1" customFormat="1" ht="15" customHeight="1" x14ac:dyDescent="0.15">
      <c r="E148" s="217"/>
      <c r="F148" s="220"/>
      <c r="G148" s="220"/>
      <c r="H148" s="220"/>
      <c r="I148" s="220"/>
      <c r="J148" s="218"/>
      <c r="K148" s="226"/>
      <c r="L148" s="227"/>
      <c r="M148" s="212"/>
      <c r="N148" s="213"/>
      <c r="O148" s="213"/>
      <c r="P148" s="213"/>
      <c r="Q148" s="213"/>
      <c r="R148" s="213"/>
      <c r="S148" s="213"/>
      <c r="T148" s="213"/>
      <c r="U148" s="213"/>
      <c r="V148" s="213"/>
      <c r="W148" s="213"/>
      <c r="X148" s="213"/>
      <c r="Y148" s="213"/>
      <c r="Z148" s="213"/>
      <c r="AA148" s="213"/>
      <c r="AB148" s="213"/>
      <c r="AC148" s="213"/>
      <c r="AD148" s="213"/>
      <c r="AE148" s="213"/>
      <c r="AF148" s="213"/>
      <c r="AG148" s="213"/>
      <c r="AH148" s="214"/>
    </row>
    <row r="149" spans="5:34" s="1" customFormat="1" ht="15" customHeight="1" x14ac:dyDescent="0.15">
      <c r="E149" s="215" t="s">
        <v>131</v>
      </c>
      <c r="F149" s="219"/>
      <c r="G149" s="219"/>
      <c r="H149" s="219"/>
      <c r="I149" s="219"/>
      <c r="J149" s="216"/>
      <c r="K149" s="157" t="s">
        <v>10</v>
      </c>
      <c r="L149" s="158"/>
      <c r="M149" s="43" t="s">
        <v>43</v>
      </c>
      <c r="Y149" s="37"/>
      <c r="Z149" s="37"/>
      <c r="AA149" s="37"/>
      <c r="AH149" s="44"/>
    </row>
    <row r="150" spans="5:34" s="1" customFormat="1" ht="15" customHeight="1" x14ac:dyDescent="0.15">
      <c r="E150" s="221"/>
      <c r="F150" s="222"/>
      <c r="G150" s="222"/>
      <c r="H150" s="222"/>
      <c r="I150" s="222"/>
      <c r="J150" s="223"/>
      <c r="K150" s="224"/>
      <c r="L150" s="225"/>
      <c r="M150" s="43" t="s">
        <v>111</v>
      </c>
      <c r="Y150" s="37"/>
      <c r="Z150" s="37"/>
      <c r="AA150" s="37"/>
      <c r="AH150" s="44"/>
    </row>
    <row r="151" spans="5:34" s="1" customFormat="1" ht="15" customHeight="1" x14ac:dyDescent="0.15">
      <c r="E151" s="221"/>
      <c r="F151" s="222"/>
      <c r="G151" s="222"/>
      <c r="H151" s="222"/>
      <c r="I151" s="222"/>
      <c r="J151" s="223"/>
      <c r="K151" s="224"/>
      <c r="L151" s="225"/>
      <c r="M151" s="43" t="s">
        <v>44</v>
      </c>
      <c r="Y151" s="37"/>
      <c r="Z151" s="37"/>
      <c r="AA151" s="37"/>
      <c r="AH151" s="44"/>
    </row>
    <row r="152" spans="5:34" s="1" customFormat="1" ht="15" customHeight="1" x14ac:dyDescent="0.15">
      <c r="E152" s="221"/>
      <c r="F152" s="222"/>
      <c r="G152" s="222"/>
      <c r="H152" s="222"/>
      <c r="I152" s="222"/>
      <c r="J152" s="223"/>
      <c r="K152" s="224"/>
      <c r="L152" s="225"/>
      <c r="M152" s="43" t="s">
        <v>109</v>
      </c>
      <c r="Z152" s="37"/>
      <c r="AA152" s="37"/>
      <c r="AH152" s="44"/>
    </row>
    <row r="153" spans="5:34" s="1" customFormat="1" ht="15" customHeight="1" x14ac:dyDescent="0.15">
      <c r="E153" s="221"/>
      <c r="F153" s="222"/>
      <c r="G153" s="222"/>
      <c r="H153" s="222"/>
      <c r="I153" s="222"/>
      <c r="J153" s="223"/>
      <c r="K153" s="224"/>
      <c r="L153" s="225"/>
      <c r="M153" s="43"/>
      <c r="N153" s="1" t="s">
        <v>110</v>
      </c>
      <c r="Z153" s="37"/>
      <c r="AA153" s="37"/>
      <c r="AH153" s="44"/>
    </row>
    <row r="154" spans="5:34" s="1" customFormat="1" ht="15" customHeight="1" x14ac:dyDescent="0.15">
      <c r="E154" s="221"/>
      <c r="F154" s="222"/>
      <c r="G154" s="222"/>
      <c r="H154" s="222"/>
      <c r="I154" s="222"/>
      <c r="J154" s="223"/>
      <c r="K154" s="224"/>
      <c r="L154" s="225"/>
      <c r="M154" s="43"/>
      <c r="N154" s="1" t="s">
        <v>132</v>
      </c>
      <c r="Y154" s="37"/>
      <c r="Z154" s="37"/>
      <c r="AA154" s="37"/>
      <c r="AH154" s="44"/>
    </row>
    <row r="155" spans="5:34" s="1" customFormat="1" ht="15" customHeight="1" x14ac:dyDescent="0.15">
      <c r="E155" s="221"/>
      <c r="F155" s="222"/>
      <c r="G155" s="222"/>
      <c r="H155" s="222"/>
      <c r="I155" s="222"/>
      <c r="J155" s="223"/>
      <c r="K155" s="224"/>
      <c r="L155" s="225"/>
      <c r="M155" s="43"/>
      <c r="O155" s="1" t="s">
        <v>107</v>
      </c>
      <c r="Y155" s="37"/>
      <c r="Z155" s="37"/>
      <c r="AA155" s="37"/>
      <c r="AH155" s="44"/>
    </row>
    <row r="156" spans="5:34" s="1" customFormat="1" ht="15" customHeight="1" x14ac:dyDescent="0.15">
      <c r="E156" s="221"/>
      <c r="F156" s="222"/>
      <c r="G156" s="222"/>
      <c r="H156" s="222"/>
      <c r="I156" s="222"/>
      <c r="J156" s="223"/>
      <c r="K156" s="224"/>
      <c r="L156" s="225"/>
      <c r="M156" s="43"/>
      <c r="O156" s="1" t="s">
        <v>40</v>
      </c>
      <c r="Y156" s="37"/>
      <c r="Z156" s="37"/>
      <c r="AA156" s="37"/>
      <c r="AH156" s="44"/>
    </row>
    <row r="157" spans="5:34" s="1" customFormat="1" ht="15" customHeight="1" x14ac:dyDescent="0.15">
      <c r="E157" s="221"/>
      <c r="F157" s="222"/>
      <c r="G157" s="222"/>
      <c r="H157" s="222"/>
      <c r="I157" s="222"/>
      <c r="J157" s="223"/>
      <c r="K157" s="224"/>
      <c r="L157" s="225"/>
      <c r="M157" s="43"/>
      <c r="P157" s="1" t="s">
        <v>41</v>
      </c>
      <c r="Y157" s="37"/>
      <c r="Z157" s="37"/>
      <c r="AA157" s="37"/>
      <c r="AH157" s="44"/>
    </row>
    <row r="158" spans="5:34" s="1" customFormat="1" ht="15" customHeight="1" x14ac:dyDescent="0.15">
      <c r="E158" s="221"/>
      <c r="F158" s="222"/>
      <c r="G158" s="222"/>
      <c r="H158" s="222"/>
      <c r="I158" s="222"/>
      <c r="J158" s="223"/>
      <c r="K158" s="224"/>
      <c r="L158" s="225"/>
      <c r="M158" s="43"/>
      <c r="N158" s="1" t="s">
        <v>113</v>
      </c>
      <c r="Y158" s="37"/>
      <c r="Z158" s="37"/>
      <c r="AA158" s="37"/>
      <c r="AH158" s="44"/>
    </row>
    <row r="159" spans="5:34" s="1" customFormat="1" ht="15" customHeight="1" x14ac:dyDescent="0.15">
      <c r="E159" s="221"/>
      <c r="F159" s="222"/>
      <c r="G159" s="222"/>
      <c r="H159" s="222"/>
      <c r="I159" s="222"/>
      <c r="J159" s="223"/>
      <c r="K159" s="224"/>
      <c r="L159" s="225"/>
      <c r="M159" s="43"/>
      <c r="N159" s="1" t="s">
        <v>114</v>
      </c>
      <c r="Y159" s="37"/>
      <c r="Z159" s="37"/>
      <c r="AA159" s="37"/>
      <c r="AH159" s="44"/>
    </row>
    <row r="160" spans="5:34" s="1" customFormat="1" ht="15" customHeight="1" x14ac:dyDescent="0.15">
      <c r="E160" s="221"/>
      <c r="F160" s="222"/>
      <c r="G160" s="222"/>
      <c r="H160" s="222"/>
      <c r="I160" s="222"/>
      <c r="J160" s="223"/>
      <c r="K160" s="224"/>
      <c r="L160" s="225"/>
      <c r="M160" s="43"/>
      <c r="O160" s="1" t="s">
        <v>107</v>
      </c>
      <c r="Y160" s="37"/>
      <c r="Z160" s="37"/>
      <c r="AA160" s="37"/>
      <c r="AH160" s="44"/>
    </row>
    <row r="161" spans="4:34" s="1" customFormat="1" ht="15" customHeight="1" x14ac:dyDescent="0.15">
      <c r="E161" s="221"/>
      <c r="F161" s="222"/>
      <c r="G161" s="222"/>
      <c r="H161" s="222"/>
      <c r="I161" s="222"/>
      <c r="J161" s="223"/>
      <c r="K161" s="224"/>
      <c r="L161" s="225"/>
      <c r="M161" s="43"/>
      <c r="O161" s="1" t="s">
        <v>45</v>
      </c>
      <c r="Y161" s="37"/>
      <c r="Z161" s="37"/>
      <c r="AA161" s="37"/>
      <c r="AH161" s="44"/>
    </row>
    <row r="162" spans="4:34" s="1" customFormat="1" ht="15" customHeight="1" x14ac:dyDescent="0.15">
      <c r="E162" s="217"/>
      <c r="F162" s="220"/>
      <c r="G162" s="220"/>
      <c r="H162" s="220"/>
      <c r="I162" s="220"/>
      <c r="J162" s="218"/>
      <c r="K162" s="226"/>
      <c r="L162" s="227"/>
      <c r="M162" s="43"/>
      <c r="P162" s="1" t="s">
        <v>42</v>
      </c>
      <c r="Y162" s="37"/>
      <c r="Z162" s="37"/>
      <c r="AA162" s="37"/>
      <c r="AH162" s="44"/>
    </row>
    <row r="163" spans="4:34" s="1" customFormat="1" ht="15" customHeight="1" x14ac:dyDescent="0.15">
      <c r="E163" s="215" t="s">
        <v>133</v>
      </c>
      <c r="F163" s="219"/>
      <c r="G163" s="219"/>
      <c r="H163" s="219"/>
      <c r="I163" s="219"/>
      <c r="J163" s="216"/>
      <c r="K163" s="215" t="s">
        <v>76</v>
      </c>
      <c r="L163" s="216"/>
      <c r="M163" s="209" t="s">
        <v>258</v>
      </c>
      <c r="N163" s="210"/>
      <c r="O163" s="210"/>
      <c r="P163" s="210"/>
      <c r="Q163" s="210"/>
      <c r="R163" s="210"/>
      <c r="S163" s="210"/>
      <c r="T163" s="210"/>
      <c r="U163" s="210"/>
      <c r="V163" s="210"/>
      <c r="W163" s="210"/>
      <c r="X163" s="210"/>
      <c r="Y163" s="210"/>
      <c r="Z163" s="210"/>
      <c r="AA163" s="210"/>
      <c r="AB163" s="210"/>
      <c r="AC163" s="210"/>
      <c r="AD163" s="210"/>
      <c r="AE163" s="210"/>
      <c r="AF163" s="210"/>
      <c r="AG163" s="210"/>
      <c r="AH163" s="211"/>
    </row>
    <row r="164" spans="4:34" s="1" customFormat="1" ht="15" customHeight="1" x14ac:dyDescent="0.15">
      <c r="E164" s="217"/>
      <c r="F164" s="220"/>
      <c r="G164" s="220"/>
      <c r="H164" s="220"/>
      <c r="I164" s="220"/>
      <c r="J164" s="218"/>
      <c r="K164" s="217"/>
      <c r="L164" s="218"/>
      <c r="M164" s="212"/>
      <c r="N164" s="213"/>
      <c r="O164" s="213"/>
      <c r="P164" s="213"/>
      <c r="Q164" s="213"/>
      <c r="R164" s="213"/>
      <c r="S164" s="213"/>
      <c r="T164" s="213"/>
      <c r="U164" s="213"/>
      <c r="V164" s="213"/>
      <c r="W164" s="213"/>
      <c r="X164" s="213"/>
      <c r="Y164" s="213"/>
      <c r="Z164" s="213"/>
      <c r="AA164" s="213"/>
      <c r="AB164" s="213"/>
      <c r="AC164" s="213"/>
      <c r="AD164" s="213"/>
      <c r="AE164" s="213"/>
      <c r="AF164" s="213"/>
      <c r="AG164" s="213"/>
      <c r="AH164" s="214"/>
    </row>
    <row r="165" spans="4:34" s="1" customFormat="1" ht="15" customHeight="1" x14ac:dyDescent="0.15">
      <c r="E165" s="209" t="s">
        <v>259</v>
      </c>
      <c r="F165" s="210"/>
      <c r="G165" s="210"/>
      <c r="H165" s="210"/>
      <c r="I165" s="210"/>
      <c r="J165" s="211"/>
      <c r="K165" s="215" t="s">
        <v>76</v>
      </c>
      <c r="L165" s="216"/>
      <c r="M165" s="215" t="s">
        <v>26</v>
      </c>
      <c r="N165" s="219"/>
      <c r="O165" s="219"/>
      <c r="P165" s="219"/>
      <c r="Q165" s="219"/>
      <c r="R165" s="219"/>
      <c r="S165" s="219"/>
      <c r="T165" s="219"/>
      <c r="U165" s="219"/>
      <c r="V165" s="219"/>
      <c r="W165" s="219"/>
      <c r="X165" s="219"/>
      <c r="Y165" s="219"/>
      <c r="Z165" s="219"/>
      <c r="AA165" s="219"/>
      <c r="AB165" s="219"/>
      <c r="AC165" s="219"/>
      <c r="AD165" s="219"/>
      <c r="AE165" s="219"/>
      <c r="AF165" s="219"/>
      <c r="AG165" s="219"/>
      <c r="AH165" s="216"/>
    </row>
    <row r="166" spans="4:34" s="1" customFormat="1" ht="15" customHeight="1" x14ac:dyDescent="0.15">
      <c r="E166" s="212"/>
      <c r="F166" s="213"/>
      <c r="G166" s="213"/>
      <c r="H166" s="213"/>
      <c r="I166" s="213"/>
      <c r="J166" s="214"/>
      <c r="K166" s="217"/>
      <c r="L166" s="218"/>
      <c r="M166" s="217"/>
      <c r="N166" s="220"/>
      <c r="O166" s="220"/>
      <c r="P166" s="220"/>
      <c r="Q166" s="220"/>
      <c r="R166" s="220"/>
      <c r="S166" s="220"/>
      <c r="T166" s="220"/>
      <c r="U166" s="220"/>
      <c r="V166" s="220"/>
      <c r="W166" s="220"/>
      <c r="X166" s="220"/>
      <c r="Y166" s="220"/>
      <c r="Z166" s="220"/>
      <c r="AA166" s="220"/>
      <c r="AB166" s="220"/>
      <c r="AC166" s="220"/>
      <c r="AD166" s="220"/>
      <c r="AE166" s="220"/>
      <c r="AF166" s="220"/>
      <c r="AG166" s="220"/>
      <c r="AH166" s="218"/>
    </row>
    <row r="167" spans="4:34" s="1" customFormat="1" ht="15" customHeight="1" x14ac:dyDescent="0.15"/>
    <row r="168" spans="4:34" s="1" customFormat="1" ht="15" customHeight="1" x14ac:dyDescent="0.15"/>
    <row r="169" spans="4:34" s="1" customFormat="1" ht="15" customHeight="1" x14ac:dyDescent="0.15">
      <c r="D169" s="1" t="s">
        <v>282</v>
      </c>
    </row>
    <row r="170" spans="4:34" s="1" customFormat="1" ht="15" customHeight="1" x14ac:dyDescent="0.15"/>
    <row r="171" spans="4:34" s="1" customFormat="1" ht="15" customHeight="1" x14ac:dyDescent="0.15">
      <c r="E171" s="1" t="s">
        <v>31</v>
      </c>
    </row>
    <row r="172" spans="4:34" s="1" customFormat="1" ht="15" customHeight="1" x14ac:dyDescent="0.15">
      <c r="E172" s="1" t="s">
        <v>20</v>
      </c>
    </row>
    <row r="173" spans="4:34" s="1" customFormat="1" ht="15" customHeight="1" x14ac:dyDescent="0.15">
      <c r="E173" s="1" t="s">
        <v>21</v>
      </c>
    </row>
    <row r="174" spans="4:34" s="1" customFormat="1" ht="15" customHeight="1" thickBot="1" x14ac:dyDescent="0.2"/>
    <row r="175" spans="4:34" s="1" customFormat="1" ht="15" customHeight="1" thickTop="1" x14ac:dyDescent="0.15">
      <c r="E175" s="45" t="s">
        <v>134</v>
      </c>
      <c r="F175" s="46"/>
      <c r="G175" s="46"/>
      <c r="H175" s="46"/>
      <c r="I175" s="46"/>
      <c r="J175" s="46"/>
      <c r="K175" s="46"/>
      <c r="L175" s="46"/>
      <c r="M175" s="46"/>
      <c r="N175" s="46"/>
      <c r="O175" s="46"/>
      <c r="P175" s="47"/>
      <c r="Q175" s="47"/>
      <c r="R175" s="47"/>
      <c r="S175" s="47"/>
      <c r="T175" s="47"/>
      <c r="U175" s="47"/>
      <c r="V175" s="47"/>
      <c r="W175" s="47"/>
      <c r="X175" s="47"/>
      <c r="Y175" s="47"/>
      <c r="Z175" s="47"/>
      <c r="AA175" s="47"/>
      <c r="AB175" s="47"/>
      <c r="AC175" s="47"/>
      <c r="AD175" s="47"/>
      <c r="AE175" s="48"/>
    </row>
    <row r="176" spans="4:34" s="1" customFormat="1" ht="15" customHeight="1" x14ac:dyDescent="0.15">
      <c r="E176" s="49"/>
      <c r="F176" s="37" t="s">
        <v>135</v>
      </c>
      <c r="G176" s="37"/>
      <c r="H176" s="37"/>
      <c r="I176" s="37"/>
      <c r="J176" s="37"/>
      <c r="K176" s="37"/>
      <c r="L176" s="37"/>
      <c r="M176" s="37"/>
      <c r="N176" s="37"/>
      <c r="O176" s="37"/>
      <c r="AE176" s="50"/>
    </row>
    <row r="177" spans="1:31" s="1" customFormat="1" ht="15" customHeight="1" x14ac:dyDescent="0.15">
      <c r="E177" s="49"/>
      <c r="F177" s="37"/>
      <c r="G177" s="37"/>
      <c r="H177" s="37" t="s">
        <v>136</v>
      </c>
      <c r="I177" s="37"/>
      <c r="J177" s="37"/>
      <c r="K177" s="37"/>
      <c r="L177" s="37"/>
      <c r="M177" s="37"/>
      <c r="N177" s="37"/>
      <c r="O177" s="37"/>
      <c r="AE177" s="50"/>
    </row>
    <row r="178" spans="1:31" s="1" customFormat="1" ht="15" customHeight="1" x14ac:dyDescent="0.15">
      <c r="E178" s="49"/>
      <c r="F178" s="37"/>
      <c r="G178" s="37"/>
      <c r="H178" s="37" t="s">
        <v>32</v>
      </c>
      <c r="I178" s="37"/>
      <c r="J178" s="37"/>
      <c r="K178" s="37"/>
      <c r="L178" s="37" t="s">
        <v>33</v>
      </c>
      <c r="M178" s="37"/>
      <c r="N178" s="37"/>
      <c r="O178" s="37"/>
      <c r="R178" s="1" t="s">
        <v>137</v>
      </c>
      <c r="S178" s="1" t="s">
        <v>36</v>
      </c>
      <c r="AE178" s="50"/>
    </row>
    <row r="179" spans="1:31" s="1" customFormat="1" ht="15" customHeight="1" x14ac:dyDescent="0.15">
      <c r="E179" s="49"/>
      <c r="F179" s="37"/>
      <c r="G179" s="37"/>
      <c r="H179" s="37" t="s">
        <v>32</v>
      </c>
      <c r="I179" s="37"/>
      <c r="J179" s="37"/>
      <c r="K179" s="37"/>
      <c r="L179" s="37"/>
      <c r="M179" s="37"/>
      <c r="N179" s="37"/>
      <c r="O179" s="37"/>
      <c r="S179" s="1" t="s">
        <v>35</v>
      </c>
      <c r="AE179" s="50"/>
    </row>
    <row r="180" spans="1:31" s="1" customFormat="1" ht="15" customHeight="1" x14ac:dyDescent="0.15">
      <c r="E180" s="49"/>
      <c r="F180" s="37"/>
      <c r="G180" s="37"/>
      <c r="H180" s="37" t="s">
        <v>32</v>
      </c>
      <c r="I180" s="37"/>
      <c r="J180" s="37"/>
      <c r="K180" s="37"/>
      <c r="L180" s="37"/>
      <c r="M180" s="37"/>
      <c r="N180" s="37"/>
      <c r="O180" s="37"/>
      <c r="S180" s="1" t="s">
        <v>39</v>
      </c>
      <c r="AE180" s="50"/>
    </row>
    <row r="181" spans="1:31" s="1" customFormat="1" ht="15" customHeight="1" x14ac:dyDescent="0.15">
      <c r="E181" s="49"/>
      <c r="F181" s="37"/>
      <c r="G181" s="37"/>
      <c r="H181" s="37" t="s">
        <v>32</v>
      </c>
      <c r="I181" s="37"/>
      <c r="J181" s="37"/>
      <c r="K181" s="37"/>
      <c r="L181" s="37"/>
      <c r="M181" s="37"/>
      <c r="N181" s="37"/>
      <c r="O181" s="37"/>
      <c r="S181" s="1" t="s">
        <v>48</v>
      </c>
      <c r="AE181" s="50"/>
    </row>
    <row r="182" spans="1:31" s="1" customFormat="1" ht="15" customHeight="1" x14ac:dyDescent="0.15">
      <c r="E182" s="49"/>
      <c r="F182" s="37"/>
      <c r="G182" s="37"/>
      <c r="H182" s="37" t="s">
        <v>32</v>
      </c>
      <c r="O182" s="37"/>
      <c r="S182" s="1" t="s">
        <v>47</v>
      </c>
      <c r="AE182" s="50"/>
    </row>
    <row r="183" spans="1:31" s="1" customFormat="1" ht="15" customHeight="1" x14ac:dyDescent="0.15">
      <c r="E183" s="49"/>
      <c r="F183" s="37"/>
      <c r="G183" s="37"/>
      <c r="H183" s="37" t="s">
        <v>138</v>
      </c>
      <c r="I183" s="37"/>
      <c r="J183" s="37"/>
      <c r="K183" s="37"/>
      <c r="L183" s="37"/>
      <c r="M183" s="37"/>
      <c r="N183" s="37"/>
      <c r="O183" s="37"/>
      <c r="AE183" s="50"/>
    </row>
    <row r="184" spans="1:31" s="1" customFormat="1" ht="15" customHeight="1" x14ac:dyDescent="0.15">
      <c r="E184" s="51"/>
      <c r="H184" s="37"/>
      <c r="I184" s="37"/>
      <c r="J184" s="37" t="s">
        <v>34</v>
      </c>
      <c r="K184" s="37"/>
      <c r="L184" s="37"/>
      <c r="M184" s="37"/>
      <c r="N184" s="37"/>
      <c r="R184" s="1" t="s">
        <v>137</v>
      </c>
      <c r="S184" s="1" t="s">
        <v>37</v>
      </c>
      <c r="AE184" s="50"/>
    </row>
    <row r="185" spans="1:31" s="1" customFormat="1" ht="15" customHeight="1" x14ac:dyDescent="0.15">
      <c r="E185" s="51"/>
      <c r="H185" s="37"/>
      <c r="I185" s="37"/>
      <c r="J185" s="37"/>
      <c r="K185" s="37"/>
      <c r="L185" s="37"/>
      <c r="M185" s="37"/>
      <c r="N185" s="37"/>
      <c r="S185" s="1" t="s">
        <v>48</v>
      </c>
      <c r="AE185" s="50"/>
    </row>
    <row r="186" spans="1:31" s="1" customFormat="1" ht="15" customHeight="1" x14ac:dyDescent="0.15">
      <c r="E186" s="51"/>
      <c r="H186" s="37"/>
      <c r="I186" s="37"/>
      <c r="J186" s="37"/>
      <c r="K186" s="37"/>
      <c r="L186" s="37"/>
      <c r="M186" s="37"/>
      <c r="N186" s="37"/>
      <c r="S186" s="1" t="s">
        <v>47</v>
      </c>
      <c r="AE186" s="50"/>
    </row>
    <row r="187" spans="1:31" s="1" customFormat="1" ht="15" customHeight="1" x14ac:dyDescent="0.15">
      <c r="E187" s="51"/>
      <c r="H187" s="37"/>
      <c r="I187" s="37"/>
      <c r="J187" s="37"/>
      <c r="K187" s="37"/>
      <c r="L187" s="37"/>
      <c r="M187" s="37"/>
      <c r="N187" s="37"/>
      <c r="S187" s="1" t="s">
        <v>18</v>
      </c>
      <c r="AE187" s="50"/>
    </row>
    <row r="188" spans="1:31" s="1" customFormat="1" ht="15" customHeight="1" x14ac:dyDescent="0.15">
      <c r="E188" s="51"/>
      <c r="H188" s="37"/>
      <c r="I188" s="37"/>
      <c r="J188" s="37"/>
      <c r="K188" s="37"/>
      <c r="L188" s="37"/>
      <c r="M188" s="37"/>
      <c r="N188" s="37"/>
      <c r="S188" s="1" t="s">
        <v>19</v>
      </c>
      <c r="AE188" s="50"/>
    </row>
    <row r="189" spans="1:31" s="1" customFormat="1" ht="15" customHeight="1" x14ac:dyDescent="0.15">
      <c r="E189" s="51"/>
      <c r="H189" s="37"/>
      <c r="I189" s="37"/>
      <c r="J189" s="37"/>
      <c r="K189" s="37"/>
      <c r="L189" s="37"/>
      <c r="M189" s="37"/>
      <c r="N189" s="37"/>
      <c r="S189" s="1" t="s">
        <v>112</v>
      </c>
      <c r="AE189" s="50"/>
    </row>
    <row r="190" spans="1:31" s="1" customFormat="1" ht="15" customHeight="1" thickBot="1" x14ac:dyDescent="0.2">
      <c r="E190" s="52"/>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4"/>
    </row>
    <row r="191" spans="1:31" s="1" customFormat="1" ht="15" customHeight="1" thickTop="1" x14ac:dyDescent="0.15"/>
    <row r="192" spans="1:31" x14ac:dyDescent="0.1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row>
    <row r="193" spans="1:25" x14ac:dyDescent="0.1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row>
    <row r="194" spans="1:25" x14ac:dyDescent="0.1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row>
  </sheetData>
  <mergeCells count="85">
    <mergeCell ref="A1:D1"/>
    <mergeCell ref="O1:R3"/>
    <mergeCell ref="S1:Z3"/>
    <mergeCell ref="AA1:AB1"/>
    <mergeCell ref="A2:D2"/>
    <mergeCell ref="AA2:AB2"/>
    <mergeCell ref="A3:D3"/>
    <mergeCell ref="AA3:AB3"/>
    <mergeCell ref="E3:N3"/>
    <mergeCell ref="AC1:AF1"/>
    <mergeCell ref="AG1:AI1"/>
    <mergeCell ref="E2:N2"/>
    <mergeCell ref="AC2:AF2"/>
    <mergeCell ref="AG2:AI2"/>
    <mergeCell ref="E1:N1"/>
    <mergeCell ref="E93:J93"/>
    <mergeCell ref="K93:L93"/>
    <mergeCell ref="M93:AH93"/>
    <mergeCell ref="AC3:AF3"/>
    <mergeCell ref="AG3:AI3"/>
    <mergeCell ref="E108:J108"/>
    <mergeCell ref="E79:J79"/>
    <mergeCell ref="K79:L79"/>
    <mergeCell ref="M79:AH79"/>
    <mergeCell ref="E80:J81"/>
    <mergeCell ref="K80:L81"/>
    <mergeCell ref="M80:AH81"/>
    <mergeCell ref="E82:J82"/>
    <mergeCell ref="K82:L82"/>
    <mergeCell ref="M82:AH82"/>
    <mergeCell ref="E83:J83"/>
    <mergeCell ref="K83:L83"/>
    <mergeCell ref="M83:AH83"/>
    <mergeCell ref="E84:J85"/>
    <mergeCell ref="K84:L85"/>
    <mergeCell ref="M84:AH85"/>
    <mergeCell ref="E97:J97"/>
    <mergeCell ref="K97:L97"/>
    <mergeCell ref="M97:AH97"/>
    <mergeCell ref="E98:J99"/>
    <mergeCell ref="K98:L99"/>
    <mergeCell ref="M98:AH99"/>
    <mergeCell ref="E94:J95"/>
    <mergeCell ref="K94:L95"/>
    <mergeCell ref="M94:AH95"/>
    <mergeCell ref="E96:J96"/>
    <mergeCell ref="K96:L96"/>
    <mergeCell ref="M96:AH96"/>
    <mergeCell ref="K132:L134"/>
    <mergeCell ref="E109:J110"/>
    <mergeCell ref="K109:L110"/>
    <mergeCell ref="M109:AH110"/>
    <mergeCell ref="M132:AH134"/>
    <mergeCell ref="M163:AH164"/>
    <mergeCell ref="K108:L108"/>
    <mergeCell ref="M108:AH108"/>
    <mergeCell ref="E140:J141"/>
    <mergeCell ref="K140:L141"/>
    <mergeCell ref="M140:AH141"/>
    <mergeCell ref="E111:J115"/>
    <mergeCell ref="K111:L115"/>
    <mergeCell ref="M111:AH115"/>
    <mergeCell ref="E129:J129"/>
    <mergeCell ref="K129:L129"/>
    <mergeCell ref="M129:AH129"/>
    <mergeCell ref="E130:J131"/>
    <mergeCell ref="K130:L131"/>
    <mergeCell ref="M130:AH131"/>
    <mergeCell ref="E132:J134"/>
    <mergeCell ref="E139:J139"/>
    <mergeCell ref="K139:L139"/>
    <mergeCell ref="M139:AH139"/>
    <mergeCell ref="E165:J166"/>
    <mergeCell ref="K165:L166"/>
    <mergeCell ref="M165:AH166"/>
    <mergeCell ref="E142:J145"/>
    <mergeCell ref="K142:L145"/>
    <mergeCell ref="M142:AH145"/>
    <mergeCell ref="E146:J148"/>
    <mergeCell ref="K146:L148"/>
    <mergeCell ref="M146:AH148"/>
    <mergeCell ref="E149:J162"/>
    <mergeCell ref="K149:L162"/>
    <mergeCell ref="E163:J164"/>
    <mergeCell ref="K163:L164"/>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 &amp;P -</oddFooter>
  </headerFooter>
  <rowBreaks count="7" manualBreakCount="7">
    <brk id="40" max="34" man="1"/>
    <brk id="68" max="34" man="1"/>
    <brk id="100" max="34" man="1"/>
    <brk id="135" max="34" man="1"/>
    <brk id="167" max="34" man="1"/>
    <brk id="290" max="16383" man="1"/>
    <brk id="294" max="3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62988-99E5-428E-B24B-5A71F3948DE6}">
  <sheetPr>
    <pageSetUpPr fitToPage="1"/>
  </sheetPr>
  <dimension ref="A1:AJ162"/>
  <sheetViews>
    <sheetView showGridLines="0" view="pageBreakPreview" zoomScaleNormal="100" zoomScaleSheetLayoutView="100" workbookViewId="0">
      <selection sqref="A1:D1"/>
    </sheetView>
  </sheetViews>
  <sheetFormatPr defaultColWidth="4.83203125" defaultRowHeight="11.25" x14ac:dyDescent="0.15"/>
  <cols>
    <col min="1" max="9" width="4.83203125" style="37" customWidth="1"/>
    <col min="10" max="16384" width="4.83203125" style="37"/>
  </cols>
  <sheetData>
    <row r="1" spans="1:35" s="1" customFormat="1" ht="12" customHeight="1" x14ac:dyDescent="0.15">
      <c r="A1" s="107" t="s">
        <v>225</v>
      </c>
      <c r="B1" s="108"/>
      <c r="C1" s="108"/>
      <c r="D1" s="109"/>
      <c r="E1" s="128" t="str">
        <f ca="1">IF(INDIRECT("変更履歴!E1")&lt;&gt;"",INDIRECT("変更履歴!E1"),"")</f>
        <v>サンプルプロジェクト</v>
      </c>
      <c r="F1" s="129"/>
      <c r="G1" s="129"/>
      <c r="H1" s="129"/>
      <c r="I1" s="129"/>
      <c r="J1" s="129"/>
      <c r="K1" s="129"/>
      <c r="L1" s="129"/>
      <c r="M1" s="129"/>
      <c r="N1" s="130"/>
      <c r="O1" s="110" t="s">
        <v>231</v>
      </c>
      <c r="P1" s="111"/>
      <c r="Q1" s="111"/>
      <c r="R1" s="112"/>
      <c r="S1" s="160" t="str">
        <f ca="1">IF(INDIRECT("変更履歴!S1")&lt;&gt;"",INDIRECT("変更履歴!S1"),"")</f>
        <v>単体テスト標準</v>
      </c>
      <c r="T1" s="161"/>
      <c r="U1" s="161"/>
      <c r="V1" s="161"/>
      <c r="W1" s="161"/>
      <c r="X1" s="161"/>
      <c r="Y1" s="161"/>
      <c r="Z1" s="162"/>
      <c r="AA1" s="107" t="s">
        <v>232</v>
      </c>
      <c r="AB1" s="109"/>
      <c r="AC1" s="146" t="str">
        <f ca="1">IF(INDIRECT("変更履歴!AC1")&lt;&gt;"",INDIRECT("変更履歴!AC1"),"")</f>
        <v>TIS</v>
      </c>
      <c r="AD1" s="147"/>
      <c r="AE1" s="147"/>
      <c r="AF1" s="148"/>
      <c r="AG1" s="149">
        <f ca="1">IF(INDIRECT("変更履歴!AG1")&lt;&gt;"",INDIRECT("変更履歴!AG1"),"")</f>
        <v>45061</v>
      </c>
      <c r="AH1" s="150"/>
      <c r="AI1" s="151"/>
    </row>
    <row r="2" spans="1:35" s="1" customFormat="1" ht="12" customHeight="1" x14ac:dyDescent="0.15">
      <c r="A2" s="107" t="s">
        <v>228</v>
      </c>
      <c r="B2" s="108"/>
      <c r="C2" s="108"/>
      <c r="D2" s="109"/>
      <c r="E2" s="128" t="str">
        <f ca="1">IF(INDIRECT("変更履歴!E2")&lt;&gt;"",INDIRECT("変更履歴!E2"),"")</f>
        <v>サンプルシステム</v>
      </c>
      <c r="F2" s="129"/>
      <c r="G2" s="129"/>
      <c r="H2" s="129"/>
      <c r="I2" s="129"/>
      <c r="J2" s="129"/>
      <c r="K2" s="129"/>
      <c r="L2" s="129"/>
      <c r="M2" s="129"/>
      <c r="N2" s="130"/>
      <c r="O2" s="113"/>
      <c r="P2" s="114"/>
      <c r="Q2" s="114"/>
      <c r="R2" s="115"/>
      <c r="S2" s="163"/>
      <c r="T2" s="164"/>
      <c r="U2" s="164"/>
      <c r="V2" s="164"/>
      <c r="W2" s="164"/>
      <c r="X2" s="164"/>
      <c r="Y2" s="164"/>
      <c r="Z2" s="165"/>
      <c r="AA2" s="107" t="s">
        <v>233</v>
      </c>
      <c r="AB2" s="109"/>
      <c r="AC2" s="146" t="str">
        <f ca="1">IF(INDIRECT("変更履歴!AC2")&lt;&gt;"",INDIRECT("変更履歴!AC2"),"")</f>
        <v/>
      </c>
      <c r="AD2" s="147"/>
      <c r="AE2" s="147"/>
      <c r="AF2" s="148"/>
      <c r="AG2" s="149" t="str">
        <f ca="1">IF(INDIRECT("変更履歴!AG2")&lt;&gt;"",INDIRECT("変更履歴!AG2"),"")</f>
        <v/>
      </c>
      <c r="AH2" s="150"/>
      <c r="AI2" s="151"/>
    </row>
    <row r="3" spans="1:35" s="1" customFormat="1" x14ac:dyDescent="0.15">
      <c r="A3" s="107" t="s">
        <v>230</v>
      </c>
      <c r="B3" s="108"/>
      <c r="C3" s="108"/>
      <c r="D3" s="109"/>
      <c r="E3" s="128" t="str">
        <f ca="1">IF(INDIRECT("変更履歴!E3")&lt;&gt;"",INDIRECT("変更履歴!E3"),"")</f>
        <v/>
      </c>
      <c r="F3" s="129"/>
      <c r="G3" s="129"/>
      <c r="H3" s="129"/>
      <c r="I3" s="129"/>
      <c r="J3" s="129"/>
      <c r="K3" s="129"/>
      <c r="L3" s="129"/>
      <c r="M3" s="129"/>
      <c r="N3" s="130"/>
      <c r="O3" s="116"/>
      <c r="P3" s="117"/>
      <c r="Q3" s="117"/>
      <c r="R3" s="118"/>
      <c r="S3" s="166"/>
      <c r="T3" s="167"/>
      <c r="U3" s="167"/>
      <c r="V3" s="167"/>
      <c r="W3" s="167"/>
      <c r="X3" s="167"/>
      <c r="Y3" s="167"/>
      <c r="Z3" s="168"/>
      <c r="AA3" s="107"/>
      <c r="AB3" s="109"/>
      <c r="AC3" s="146" t="str">
        <f ca="1">IF(INDIRECT("変更履歴!AC3")&lt;&gt;"",INDIRECT("変更履歴!AC3"),"")</f>
        <v/>
      </c>
      <c r="AD3" s="147"/>
      <c r="AE3" s="147"/>
      <c r="AF3" s="148"/>
      <c r="AG3" s="149" t="str">
        <f ca="1">IF(INDIRECT("変更履歴!AG3")&lt;&gt;"",INDIRECT("変更履歴!AG3"),"")</f>
        <v/>
      </c>
      <c r="AH3" s="150"/>
      <c r="AI3" s="151"/>
    </row>
    <row r="4" spans="1:35" s="1" customFormat="1" x14ac:dyDescent="0.15"/>
    <row r="5" spans="1:35" s="1" customFormat="1" x14ac:dyDescent="0.15">
      <c r="B5" s="24" t="s">
        <v>329</v>
      </c>
    </row>
    <row r="6" spans="1:35" s="1" customFormat="1" x14ac:dyDescent="0.15">
      <c r="B6" s="24"/>
    </row>
    <row r="7" spans="1:35" s="1" customFormat="1" x14ac:dyDescent="0.15">
      <c r="C7" s="24" t="s">
        <v>331</v>
      </c>
    </row>
    <row r="8" spans="1:35" s="1" customFormat="1" x14ac:dyDescent="0.15">
      <c r="C8" s="18"/>
    </row>
    <row r="9" spans="1:35" s="1" customFormat="1" x14ac:dyDescent="0.15">
      <c r="C9" s="18"/>
      <c r="D9" s="24" t="s">
        <v>346</v>
      </c>
    </row>
    <row r="10" spans="1:35" s="1" customFormat="1" x14ac:dyDescent="0.15">
      <c r="C10" s="18"/>
      <c r="D10" s="24"/>
    </row>
    <row r="11" spans="1:35" s="1" customFormat="1" x14ac:dyDescent="0.15">
      <c r="D11" s="18"/>
      <c r="E11" s="24" t="s">
        <v>330</v>
      </c>
    </row>
    <row r="12" spans="1:35" x14ac:dyDescent="0.15">
      <c r="E12" s="27"/>
      <c r="F12" s="27"/>
      <c r="G12" s="27"/>
      <c r="H12" s="27"/>
      <c r="I12" s="27"/>
      <c r="J12" s="27"/>
      <c r="K12" s="27"/>
      <c r="L12" s="27"/>
      <c r="M12" s="27"/>
      <c r="N12" s="27"/>
      <c r="O12" s="27"/>
      <c r="P12" s="27"/>
      <c r="Q12" s="27"/>
      <c r="R12" s="27"/>
      <c r="S12" s="27"/>
      <c r="T12" s="27"/>
      <c r="U12" s="27"/>
      <c r="V12" s="38"/>
      <c r="W12" s="27"/>
      <c r="AH12" s="38" t="s">
        <v>217</v>
      </c>
    </row>
    <row r="13" spans="1:35" x14ac:dyDescent="0.15">
      <c r="E13" s="63" t="s">
        <v>125</v>
      </c>
      <c r="F13" s="234" t="s">
        <v>56</v>
      </c>
      <c r="G13" s="235"/>
      <c r="H13" s="235"/>
      <c r="I13" s="236"/>
      <c r="J13" s="234" t="s">
        <v>66</v>
      </c>
      <c r="K13" s="235"/>
      <c r="L13" s="236"/>
      <c r="M13" s="234" t="s">
        <v>67</v>
      </c>
      <c r="N13" s="235"/>
      <c r="O13" s="236"/>
      <c r="P13" s="234" t="s">
        <v>172</v>
      </c>
      <c r="Q13" s="235"/>
      <c r="R13" s="236"/>
      <c r="S13" s="234" t="s">
        <v>211</v>
      </c>
      <c r="T13" s="235"/>
      <c r="U13" s="235"/>
      <c r="V13" s="236"/>
      <c r="W13" s="240" t="s">
        <v>69</v>
      </c>
      <c r="X13" s="241"/>
      <c r="Y13" s="242"/>
      <c r="Z13" s="256" t="s">
        <v>70</v>
      </c>
      <c r="AA13" s="257"/>
      <c r="AB13" s="257"/>
      <c r="AC13" s="257"/>
      <c r="AD13" s="257"/>
      <c r="AE13" s="257"/>
      <c r="AF13" s="258"/>
      <c r="AG13" s="259" t="s">
        <v>51</v>
      </c>
      <c r="AH13" s="260"/>
      <c r="AI13" s="261"/>
    </row>
    <row r="14" spans="1:35" ht="11.25" customHeight="1" x14ac:dyDescent="0.15">
      <c r="E14" s="62">
        <v>1</v>
      </c>
      <c r="F14" s="262" t="s">
        <v>173</v>
      </c>
      <c r="G14" s="263"/>
      <c r="H14" s="263"/>
      <c r="I14" s="264"/>
      <c r="J14" s="262" t="s">
        <v>189</v>
      </c>
      <c r="K14" s="263"/>
      <c r="L14" s="264"/>
      <c r="M14" s="251" t="s">
        <v>174</v>
      </c>
      <c r="N14" s="251"/>
      <c r="O14" s="251"/>
      <c r="P14" s="251"/>
      <c r="Q14" s="251"/>
      <c r="R14" s="251"/>
      <c r="S14" s="262" t="s">
        <v>183</v>
      </c>
      <c r="T14" s="263"/>
      <c r="U14" s="263"/>
      <c r="V14" s="264"/>
      <c r="W14" s="262" t="s">
        <v>164</v>
      </c>
      <c r="X14" s="263"/>
      <c r="Y14" s="264"/>
      <c r="Z14" s="271" t="s">
        <v>218</v>
      </c>
      <c r="AA14" s="272"/>
      <c r="AB14" s="272"/>
      <c r="AC14" s="272"/>
      <c r="AD14" s="272"/>
      <c r="AE14" s="272"/>
      <c r="AF14" s="273"/>
      <c r="AG14" s="262" t="s">
        <v>184</v>
      </c>
      <c r="AH14" s="263"/>
      <c r="AI14" s="274"/>
    </row>
    <row r="15" spans="1:35" x14ac:dyDescent="0.15">
      <c r="E15" s="62">
        <v>2</v>
      </c>
      <c r="F15" s="265"/>
      <c r="G15" s="266"/>
      <c r="H15" s="266"/>
      <c r="I15" s="267"/>
      <c r="J15" s="265"/>
      <c r="K15" s="266"/>
      <c r="L15" s="267"/>
      <c r="M15" s="251" t="s">
        <v>175</v>
      </c>
      <c r="N15" s="251"/>
      <c r="O15" s="251"/>
      <c r="P15" s="251"/>
      <c r="Q15" s="251"/>
      <c r="R15" s="251"/>
      <c r="S15" s="265"/>
      <c r="T15" s="266"/>
      <c r="U15" s="266"/>
      <c r="V15" s="267"/>
      <c r="W15" s="265"/>
      <c r="X15" s="266"/>
      <c r="Y15" s="267"/>
      <c r="Z15" s="265"/>
      <c r="AA15" s="266"/>
      <c r="AB15" s="266"/>
      <c r="AC15" s="266"/>
      <c r="AD15" s="266"/>
      <c r="AE15" s="266"/>
      <c r="AF15" s="267"/>
      <c r="AG15" s="265"/>
      <c r="AH15" s="266"/>
      <c r="AI15" s="275"/>
    </row>
    <row r="16" spans="1:35" x14ac:dyDescent="0.15">
      <c r="E16" s="62">
        <v>3</v>
      </c>
      <c r="F16" s="265"/>
      <c r="G16" s="266"/>
      <c r="H16" s="266"/>
      <c r="I16" s="267"/>
      <c r="J16" s="265"/>
      <c r="K16" s="266"/>
      <c r="L16" s="267"/>
      <c r="M16" s="251" t="s">
        <v>176</v>
      </c>
      <c r="N16" s="251"/>
      <c r="O16" s="251"/>
      <c r="P16" s="251"/>
      <c r="Q16" s="251"/>
      <c r="R16" s="251"/>
      <c r="S16" s="265"/>
      <c r="T16" s="266"/>
      <c r="U16" s="266"/>
      <c r="V16" s="267"/>
      <c r="W16" s="265"/>
      <c r="X16" s="266"/>
      <c r="Y16" s="267"/>
      <c r="Z16" s="265"/>
      <c r="AA16" s="266"/>
      <c r="AB16" s="266"/>
      <c r="AC16" s="266"/>
      <c r="AD16" s="266"/>
      <c r="AE16" s="266"/>
      <c r="AF16" s="267"/>
      <c r="AG16" s="265"/>
      <c r="AH16" s="266"/>
      <c r="AI16" s="275"/>
    </row>
    <row r="17" spans="4:35" x14ac:dyDescent="0.15">
      <c r="E17" s="62">
        <v>4</v>
      </c>
      <c r="F17" s="265"/>
      <c r="G17" s="266"/>
      <c r="H17" s="266"/>
      <c r="I17" s="267"/>
      <c r="J17" s="265"/>
      <c r="K17" s="266"/>
      <c r="L17" s="267"/>
      <c r="M17" s="251" t="s">
        <v>177</v>
      </c>
      <c r="N17" s="251"/>
      <c r="O17" s="251"/>
      <c r="P17" s="251"/>
      <c r="Q17" s="251"/>
      <c r="R17" s="251"/>
      <c r="S17" s="265"/>
      <c r="T17" s="266"/>
      <c r="U17" s="266"/>
      <c r="V17" s="267"/>
      <c r="W17" s="265"/>
      <c r="X17" s="266"/>
      <c r="Y17" s="267"/>
      <c r="Z17" s="265"/>
      <c r="AA17" s="266"/>
      <c r="AB17" s="266"/>
      <c r="AC17" s="266"/>
      <c r="AD17" s="266"/>
      <c r="AE17" s="266"/>
      <c r="AF17" s="267"/>
      <c r="AG17" s="265"/>
      <c r="AH17" s="266"/>
      <c r="AI17" s="275"/>
    </row>
    <row r="18" spans="4:35" x14ac:dyDescent="0.15">
      <c r="E18" s="62">
        <v>5</v>
      </c>
      <c r="F18" s="265"/>
      <c r="G18" s="266"/>
      <c r="H18" s="266"/>
      <c r="I18" s="267"/>
      <c r="J18" s="265"/>
      <c r="K18" s="266"/>
      <c r="L18" s="267"/>
      <c r="M18" s="252" t="s">
        <v>178</v>
      </c>
      <c r="N18" s="253"/>
      <c r="O18" s="254"/>
      <c r="P18" s="255" t="s">
        <v>179</v>
      </c>
      <c r="Q18" s="255"/>
      <c r="R18" s="255"/>
      <c r="S18" s="265"/>
      <c r="T18" s="266"/>
      <c r="U18" s="266"/>
      <c r="V18" s="267"/>
      <c r="W18" s="265"/>
      <c r="X18" s="266"/>
      <c r="Y18" s="267"/>
      <c r="Z18" s="265"/>
      <c r="AA18" s="266"/>
      <c r="AB18" s="266"/>
      <c r="AC18" s="266"/>
      <c r="AD18" s="266"/>
      <c r="AE18" s="266"/>
      <c r="AF18" s="267"/>
      <c r="AG18" s="265"/>
      <c r="AH18" s="266"/>
      <c r="AI18" s="275"/>
    </row>
    <row r="19" spans="4:35" ht="32.25" customHeight="1" x14ac:dyDescent="0.15">
      <c r="E19" s="62">
        <v>6</v>
      </c>
      <c r="F19" s="265"/>
      <c r="G19" s="266"/>
      <c r="H19" s="266"/>
      <c r="I19" s="267"/>
      <c r="J19" s="265"/>
      <c r="K19" s="266"/>
      <c r="L19" s="267"/>
      <c r="M19" s="252"/>
      <c r="N19" s="253"/>
      <c r="O19" s="254"/>
      <c r="P19" s="255" t="s">
        <v>180</v>
      </c>
      <c r="Q19" s="255"/>
      <c r="R19" s="255"/>
      <c r="S19" s="265"/>
      <c r="T19" s="266"/>
      <c r="U19" s="266"/>
      <c r="V19" s="267"/>
      <c r="W19" s="265"/>
      <c r="X19" s="266"/>
      <c r="Y19" s="267"/>
      <c r="Z19" s="265"/>
      <c r="AA19" s="266"/>
      <c r="AB19" s="266"/>
      <c r="AC19" s="266"/>
      <c r="AD19" s="266"/>
      <c r="AE19" s="266"/>
      <c r="AF19" s="267"/>
      <c r="AG19" s="265"/>
      <c r="AH19" s="266"/>
      <c r="AI19" s="275"/>
    </row>
    <row r="20" spans="4:35" x14ac:dyDescent="0.15">
      <c r="E20" s="62">
        <v>7</v>
      </c>
      <c r="F20" s="265"/>
      <c r="G20" s="266"/>
      <c r="H20" s="266"/>
      <c r="I20" s="267"/>
      <c r="J20" s="265"/>
      <c r="K20" s="266"/>
      <c r="L20" s="267"/>
      <c r="M20" s="252"/>
      <c r="N20" s="253"/>
      <c r="O20" s="254"/>
      <c r="P20" s="255" t="s">
        <v>181</v>
      </c>
      <c r="Q20" s="255"/>
      <c r="R20" s="255"/>
      <c r="S20" s="265"/>
      <c r="T20" s="266"/>
      <c r="U20" s="266"/>
      <c r="V20" s="267"/>
      <c r="W20" s="265"/>
      <c r="X20" s="266"/>
      <c r="Y20" s="267"/>
      <c r="Z20" s="265"/>
      <c r="AA20" s="266"/>
      <c r="AB20" s="266"/>
      <c r="AC20" s="266"/>
      <c r="AD20" s="266"/>
      <c r="AE20" s="266"/>
      <c r="AF20" s="267"/>
      <c r="AG20" s="265"/>
      <c r="AH20" s="266"/>
      <c r="AI20" s="275"/>
    </row>
    <row r="21" spans="4:35" x14ac:dyDescent="0.15">
      <c r="E21" s="62">
        <v>8</v>
      </c>
      <c r="F21" s="265"/>
      <c r="G21" s="266"/>
      <c r="H21" s="266"/>
      <c r="I21" s="267"/>
      <c r="J21" s="265"/>
      <c r="K21" s="266"/>
      <c r="L21" s="267"/>
      <c r="M21" s="280"/>
      <c r="N21" s="281"/>
      <c r="O21" s="282"/>
      <c r="P21" s="255" t="s">
        <v>188</v>
      </c>
      <c r="Q21" s="255"/>
      <c r="R21" s="255"/>
      <c r="S21" s="265"/>
      <c r="T21" s="266"/>
      <c r="U21" s="266"/>
      <c r="V21" s="267"/>
      <c r="W21" s="265"/>
      <c r="X21" s="266"/>
      <c r="Y21" s="267"/>
      <c r="Z21" s="265"/>
      <c r="AA21" s="266"/>
      <c r="AB21" s="266"/>
      <c r="AC21" s="266"/>
      <c r="AD21" s="266"/>
      <c r="AE21" s="266"/>
      <c r="AF21" s="267"/>
      <c r="AG21" s="265"/>
      <c r="AH21" s="266"/>
      <c r="AI21" s="275"/>
    </row>
    <row r="22" spans="4:35" ht="42" customHeight="1" x14ac:dyDescent="0.15">
      <c r="E22" s="62">
        <v>9</v>
      </c>
      <c r="F22" s="265"/>
      <c r="G22" s="266"/>
      <c r="H22" s="266"/>
      <c r="I22" s="267"/>
      <c r="J22" s="265"/>
      <c r="K22" s="266"/>
      <c r="L22" s="267"/>
      <c r="M22" s="277" t="s">
        <v>265</v>
      </c>
      <c r="N22" s="278"/>
      <c r="O22" s="279"/>
      <c r="P22" s="255" t="s">
        <v>182</v>
      </c>
      <c r="Q22" s="255"/>
      <c r="R22" s="255"/>
      <c r="S22" s="265"/>
      <c r="T22" s="266"/>
      <c r="U22" s="266"/>
      <c r="V22" s="267"/>
      <c r="W22" s="265"/>
      <c r="X22" s="266"/>
      <c r="Y22" s="267"/>
      <c r="Z22" s="265"/>
      <c r="AA22" s="266"/>
      <c r="AB22" s="266"/>
      <c r="AC22" s="266"/>
      <c r="AD22" s="266"/>
      <c r="AE22" s="266"/>
      <c r="AF22" s="267"/>
      <c r="AG22" s="265"/>
      <c r="AH22" s="266"/>
      <c r="AI22" s="275"/>
    </row>
    <row r="23" spans="4:35" ht="36" customHeight="1" x14ac:dyDescent="0.15">
      <c r="E23" s="62">
        <v>10</v>
      </c>
      <c r="F23" s="268"/>
      <c r="G23" s="269"/>
      <c r="H23" s="269"/>
      <c r="I23" s="270"/>
      <c r="J23" s="268"/>
      <c r="K23" s="269"/>
      <c r="L23" s="270"/>
      <c r="M23" s="277" t="s">
        <v>223</v>
      </c>
      <c r="N23" s="278"/>
      <c r="O23" s="279"/>
      <c r="P23" s="255" t="s">
        <v>264</v>
      </c>
      <c r="Q23" s="255"/>
      <c r="R23" s="255"/>
      <c r="S23" s="268"/>
      <c r="T23" s="269"/>
      <c r="U23" s="269"/>
      <c r="V23" s="270"/>
      <c r="W23" s="268"/>
      <c r="X23" s="269"/>
      <c r="Y23" s="270"/>
      <c r="Z23" s="268"/>
      <c r="AA23" s="269"/>
      <c r="AB23" s="269"/>
      <c r="AC23" s="269"/>
      <c r="AD23" s="269"/>
      <c r="AE23" s="269"/>
      <c r="AF23" s="270"/>
      <c r="AG23" s="268"/>
      <c r="AH23" s="269"/>
      <c r="AI23" s="276"/>
    </row>
    <row r="24" spans="4:35" x14ac:dyDescent="0.15">
      <c r="E24" s="25"/>
      <c r="F24" s="29"/>
      <c r="G24" s="29"/>
      <c r="H24" s="29"/>
      <c r="I24" s="29"/>
      <c r="J24" s="29"/>
      <c r="K24" s="67"/>
      <c r="L24" s="67"/>
      <c r="M24" s="67"/>
      <c r="N24" s="67"/>
      <c r="O24" s="67"/>
      <c r="P24" s="67"/>
      <c r="Q24" s="67"/>
      <c r="R24" s="67"/>
      <c r="S24" s="67"/>
      <c r="T24" s="30"/>
      <c r="U24" s="30"/>
      <c r="V24" s="30"/>
      <c r="W24" s="27"/>
    </row>
    <row r="25" spans="4:35" x14ac:dyDescent="0.15">
      <c r="E25" s="27" t="s">
        <v>262</v>
      </c>
      <c r="F25" s="27"/>
      <c r="G25" s="27"/>
      <c r="H25" s="27"/>
      <c r="I25" s="27"/>
      <c r="J25" s="27"/>
      <c r="K25" s="27"/>
      <c r="L25" s="27"/>
      <c r="M25" s="27"/>
      <c r="N25" s="27"/>
      <c r="O25" s="27"/>
      <c r="P25" s="27"/>
      <c r="Q25" s="27"/>
      <c r="R25" s="27"/>
      <c r="S25" s="27"/>
      <c r="T25" s="27"/>
      <c r="U25" s="27"/>
      <c r="V25" s="27"/>
      <c r="W25" s="27"/>
    </row>
    <row r="26" spans="4:35" x14ac:dyDescent="0.15">
      <c r="E26" s="27"/>
      <c r="F26" s="27" t="s">
        <v>209</v>
      </c>
      <c r="G26" s="27"/>
      <c r="H26" s="27"/>
      <c r="I26" s="27"/>
      <c r="J26" s="27"/>
      <c r="K26" s="27"/>
      <c r="L26" s="27"/>
      <c r="M26" s="27"/>
      <c r="N26" s="27"/>
      <c r="O26" s="27"/>
      <c r="P26" s="27"/>
      <c r="Q26" s="27"/>
      <c r="R26" s="27"/>
      <c r="S26" s="27"/>
      <c r="T26" s="27"/>
      <c r="U26" s="27"/>
      <c r="V26" s="27"/>
      <c r="W26" s="27"/>
    </row>
    <row r="27" spans="4:35" x14ac:dyDescent="0.15">
      <c r="E27" s="27"/>
      <c r="F27" s="27" t="s">
        <v>345</v>
      </c>
      <c r="G27" s="27"/>
      <c r="H27" s="27"/>
      <c r="I27" s="27"/>
      <c r="J27" s="27"/>
      <c r="K27" s="27"/>
      <c r="L27" s="27"/>
      <c r="M27" s="27"/>
      <c r="N27" s="27"/>
      <c r="O27" s="27"/>
      <c r="P27" s="27"/>
      <c r="Q27" s="27"/>
      <c r="R27" s="27"/>
      <c r="S27" s="27"/>
      <c r="T27" s="27"/>
      <c r="U27" s="27"/>
      <c r="V27" s="27"/>
      <c r="W27" s="27"/>
    </row>
    <row r="28" spans="4:35" x14ac:dyDescent="0.15">
      <c r="F28" s="37" t="s">
        <v>210</v>
      </c>
    </row>
    <row r="31" spans="4:35" x14ac:dyDescent="0.15">
      <c r="D31" t="s">
        <v>347</v>
      </c>
    </row>
    <row r="33" spans="5:30" s="1" customFormat="1" x14ac:dyDescent="0.15">
      <c r="E33" s="59" t="s">
        <v>348</v>
      </c>
    </row>
    <row r="34" spans="5:30" s="1" customFormat="1" x14ac:dyDescent="0.15">
      <c r="F34" s="1" t="s">
        <v>212</v>
      </c>
    </row>
    <row r="35" spans="5:30" s="1" customFormat="1" x14ac:dyDescent="0.15"/>
    <row r="36" spans="5:30" s="1" customFormat="1" x14ac:dyDescent="0.15">
      <c r="F36" s="24" t="s">
        <v>349</v>
      </c>
    </row>
    <row r="37" spans="5:30" s="1" customFormat="1" x14ac:dyDescent="0.15">
      <c r="G37" s="1" t="s">
        <v>213</v>
      </c>
    </row>
    <row r="38" spans="5:30" s="1" customFormat="1" x14ac:dyDescent="0.15">
      <c r="G38" s="1" t="s">
        <v>214</v>
      </c>
    </row>
    <row r="39" spans="5:30" s="1" customFormat="1" x14ac:dyDescent="0.15">
      <c r="G39" s="1" t="s">
        <v>190</v>
      </c>
    </row>
    <row r="40" spans="5:30" s="1" customFormat="1" x14ac:dyDescent="0.15"/>
    <row r="41" spans="5:30" s="1" customFormat="1" x14ac:dyDescent="0.15">
      <c r="G41" s="24" t="s">
        <v>350</v>
      </c>
    </row>
    <row r="42" spans="5:30" s="1" customFormat="1" x14ac:dyDescent="0.15">
      <c r="H42" s="1" t="s">
        <v>196</v>
      </c>
    </row>
    <row r="43" spans="5:30" s="1" customFormat="1" x14ac:dyDescent="0.15"/>
    <row r="44" spans="5:30" s="1" customFormat="1" x14ac:dyDescent="0.15">
      <c r="H44" s="1" t="s">
        <v>203</v>
      </c>
    </row>
    <row r="45" spans="5:30" s="1" customFormat="1" x14ac:dyDescent="0.15">
      <c r="H45" s="248" t="s">
        <v>77</v>
      </c>
      <c r="I45" s="249"/>
      <c r="J45" s="249"/>
      <c r="K45" s="250"/>
      <c r="L45" s="248" t="s">
        <v>78</v>
      </c>
      <c r="M45" s="249"/>
      <c r="N45" s="249"/>
      <c r="O45" s="249"/>
      <c r="P45" s="249"/>
      <c r="Q45" s="249"/>
      <c r="R45" s="249"/>
      <c r="S45" s="249"/>
      <c r="T45" s="249"/>
      <c r="U45" s="249"/>
      <c r="V45" s="249"/>
      <c r="W45" s="249"/>
      <c r="X45" s="249"/>
      <c r="Y45" s="249"/>
      <c r="Z45" s="249"/>
      <c r="AA45" s="249"/>
      <c r="AB45" s="249"/>
      <c r="AC45" s="249"/>
      <c r="AD45" s="250"/>
    </row>
    <row r="46" spans="5:30" s="1" customFormat="1" x14ac:dyDescent="0.15">
      <c r="H46" s="245" t="s">
        <v>139</v>
      </c>
      <c r="I46" s="246"/>
      <c r="J46" s="246"/>
      <c r="K46" s="247"/>
      <c r="L46" s="232" t="s">
        <v>140</v>
      </c>
      <c r="M46" s="244"/>
      <c r="N46" s="244"/>
      <c r="O46" s="244"/>
      <c r="P46" s="72" t="s">
        <v>141</v>
      </c>
      <c r="Q46" s="244" t="s">
        <v>142</v>
      </c>
      <c r="R46" s="244"/>
      <c r="S46" s="244"/>
      <c r="T46" s="244"/>
      <c r="U46" s="72" t="s">
        <v>141</v>
      </c>
      <c r="V46" s="244" t="s">
        <v>79</v>
      </c>
      <c r="W46" s="244"/>
      <c r="X46" s="244"/>
      <c r="Y46" s="244"/>
      <c r="Z46" s="72"/>
      <c r="AA46" s="244"/>
      <c r="AB46" s="244"/>
      <c r="AC46" s="244"/>
      <c r="AD46" s="233"/>
    </row>
    <row r="47" spans="5:30" s="1" customFormat="1" x14ac:dyDescent="0.15">
      <c r="H47" s="245" t="s">
        <v>143</v>
      </c>
      <c r="I47" s="246"/>
      <c r="J47" s="246"/>
      <c r="K47" s="247"/>
      <c r="L47" s="232" t="s">
        <v>144</v>
      </c>
      <c r="M47" s="244"/>
      <c r="N47" s="244"/>
      <c r="O47" s="244"/>
      <c r="P47" s="72" t="s">
        <v>141</v>
      </c>
      <c r="Q47" s="244" t="s">
        <v>82</v>
      </c>
      <c r="R47" s="244"/>
      <c r="S47" s="244"/>
      <c r="T47" s="244"/>
      <c r="U47" s="72" t="s">
        <v>141</v>
      </c>
      <c r="V47" s="244" t="s">
        <v>81</v>
      </c>
      <c r="W47" s="244"/>
      <c r="X47" s="244"/>
      <c r="Y47" s="244"/>
      <c r="Z47" s="72" t="s">
        <v>141</v>
      </c>
      <c r="AA47" s="244" t="s">
        <v>80</v>
      </c>
      <c r="AB47" s="244"/>
      <c r="AC47" s="244"/>
      <c r="AD47" s="233"/>
    </row>
    <row r="48" spans="5:30" s="1" customFormat="1" x14ac:dyDescent="0.15">
      <c r="H48" s="245" t="s">
        <v>145</v>
      </c>
      <c r="I48" s="246"/>
      <c r="J48" s="246"/>
      <c r="K48" s="247"/>
      <c r="L48" s="232" t="s">
        <v>146</v>
      </c>
      <c r="M48" s="244"/>
      <c r="N48" s="244"/>
      <c r="O48" s="244"/>
      <c r="P48" s="72" t="s">
        <v>141</v>
      </c>
      <c r="Q48" s="244" t="s">
        <v>84</v>
      </c>
      <c r="R48" s="244"/>
      <c r="S48" s="244"/>
      <c r="T48" s="244"/>
      <c r="U48" s="72" t="s">
        <v>141</v>
      </c>
      <c r="V48" s="244" t="s">
        <v>83</v>
      </c>
      <c r="W48" s="244"/>
      <c r="X48" s="244"/>
      <c r="Y48" s="244"/>
      <c r="Z48" s="72" t="s">
        <v>141</v>
      </c>
      <c r="AA48" s="244" t="s">
        <v>80</v>
      </c>
      <c r="AB48" s="244"/>
      <c r="AC48" s="244"/>
      <c r="AD48" s="233"/>
    </row>
    <row r="49" spans="7:35" s="1" customFormat="1" x14ac:dyDescent="0.15">
      <c r="H49" s="245" t="s">
        <v>147</v>
      </c>
      <c r="I49" s="246"/>
      <c r="J49" s="246"/>
      <c r="K49" s="247"/>
      <c r="L49" s="232" t="s">
        <v>148</v>
      </c>
      <c r="M49" s="244"/>
      <c r="N49" s="244"/>
      <c r="O49" s="244"/>
      <c r="P49" s="72" t="s">
        <v>141</v>
      </c>
      <c r="Q49" s="244" t="s">
        <v>85</v>
      </c>
      <c r="R49" s="244"/>
      <c r="S49" s="244"/>
      <c r="T49" s="244"/>
      <c r="U49" s="72" t="s">
        <v>141</v>
      </c>
      <c r="V49" s="244" t="s">
        <v>80</v>
      </c>
      <c r="W49" s="244"/>
      <c r="X49" s="244"/>
      <c r="Y49" s="244"/>
      <c r="Z49" s="72"/>
      <c r="AA49" s="244"/>
      <c r="AB49" s="244"/>
      <c r="AC49" s="244"/>
      <c r="AD49" s="233"/>
    </row>
    <row r="50" spans="7:35" s="1" customFormat="1" x14ac:dyDescent="0.15"/>
    <row r="51" spans="7:35" s="1" customFormat="1" x14ac:dyDescent="0.15">
      <c r="G51" s="24" t="s">
        <v>351</v>
      </c>
    </row>
    <row r="52" spans="7:35" s="1" customFormat="1" x14ac:dyDescent="0.15">
      <c r="H52" s="1" t="s">
        <v>192</v>
      </c>
    </row>
    <row r="53" spans="7:35" s="1" customFormat="1" x14ac:dyDescent="0.15"/>
    <row r="54" spans="7:35" s="1" customFormat="1" x14ac:dyDescent="0.15">
      <c r="H54" s="1" t="s">
        <v>203</v>
      </c>
    </row>
    <row r="55" spans="7:35" s="1" customFormat="1" x14ac:dyDescent="0.15">
      <c r="H55" s="248" t="s">
        <v>77</v>
      </c>
      <c r="I55" s="249"/>
      <c r="J55" s="249"/>
      <c r="K55" s="250"/>
      <c r="L55" s="248" t="s">
        <v>78</v>
      </c>
      <c r="M55" s="249"/>
      <c r="N55" s="249"/>
      <c r="O55" s="249"/>
      <c r="P55" s="249"/>
      <c r="Q55" s="249"/>
      <c r="R55" s="249"/>
      <c r="S55" s="249"/>
      <c r="T55" s="249"/>
      <c r="U55" s="249"/>
      <c r="V55" s="249"/>
      <c r="W55" s="249"/>
      <c r="X55" s="249"/>
      <c r="Y55" s="249"/>
      <c r="Z55" s="249"/>
      <c r="AA55" s="249"/>
      <c r="AB55" s="249"/>
      <c r="AC55" s="249"/>
      <c r="AD55" s="249"/>
      <c r="AE55" s="249"/>
      <c r="AF55" s="249"/>
      <c r="AG55" s="249"/>
      <c r="AH55" s="249"/>
      <c r="AI55" s="250"/>
    </row>
    <row r="56" spans="7:35" s="1" customFormat="1" x14ac:dyDescent="0.15">
      <c r="H56" s="245" t="s">
        <v>139</v>
      </c>
      <c r="I56" s="246"/>
      <c r="J56" s="246"/>
      <c r="K56" s="247"/>
      <c r="L56" s="232" t="s">
        <v>140</v>
      </c>
      <c r="M56" s="244"/>
      <c r="N56" s="244"/>
      <c r="O56" s="244"/>
      <c r="P56" s="72" t="s">
        <v>141</v>
      </c>
      <c r="Q56" s="244" t="s">
        <v>142</v>
      </c>
      <c r="R56" s="244"/>
      <c r="S56" s="244"/>
      <c r="T56" s="244"/>
      <c r="U56" s="72" t="s">
        <v>141</v>
      </c>
      <c r="V56" s="244" t="s">
        <v>149</v>
      </c>
      <c r="W56" s="244"/>
      <c r="X56" s="244"/>
      <c r="Y56" s="244"/>
      <c r="Z56" s="72" t="s">
        <v>150</v>
      </c>
      <c r="AA56" s="244" t="s">
        <v>86</v>
      </c>
      <c r="AB56" s="244"/>
      <c r="AC56" s="244"/>
      <c r="AD56" s="244"/>
      <c r="AE56" s="72"/>
      <c r="AF56" s="244"/>
      <c r="AG56" s="244"/>
      <c r="AH56" s="244"/>
      <c r="AI56" s="233"/>
    </row>
    <row r="57" spans="7:35" s="1" customFormat="1" x14ac:dyDescent="0.15">
      <c r="H57" s="245" t="s">
        <v>143</v>
      </c>
      <c r="I57" s="246"/>
      <c r="J57" s="246"/>
      <c r="K57" s="247"/>
      <c r="L57" s="232" t="s">
        <v>144</v>
      </c>
      <c r="M57" s="244"/>
      <c r="N57" s="244"/>
      <c r="O57" s="244"/>
      <c r="P57" s="72" t="s">
        <v>141</v>
      </c>
      <c r="Q57" s="244" t="s">
        <v>151</v>
      </c>
      <c r="R57" s="244"/>
      <c r="S57" s="244"/>
      <c r="T57" s="244"/>
      <c r="U57" s="72" t="s">
        <v>150</v>
      </c>
      <c r="V57" s="244" t="s">
        <v>87</v>
      </c>
      <c r="W57" s="244"/>
      <c r="X57" s="244"/>
      <c r="Y57" s="244"/>
      <c r="Z57" s="72"/>
      <c r="AA57" s="244"/>
      <c r="AB57" s="244"/>
      <c r="AC57" s="244"/>
      <c r="AD57" s="244"/>
      <c r="AE57" s="72"/>
      <c r="AF57" s="244"/>
      <c r="AG57" s="244"/>
      <c r="AH57" s="244"/>
      <c r="AI57" s="233"/>
    </row>
    <row r="58" spans="7:35" s="1" customFormat="1" x14ac:dyDescent="0.15">
      <c r="H58" s="245" t="s">
        <v>145</v>
      </c>
      <c r="I58" s="246"/>
      <c r="J58" s="246"/>
      <c r="K58" s="247"/>
      <c r="L58" s="232" t="s">
        <v>152</v>
      </c>
      <c r="M58" s="244"/>
      <c r="N58" s="244"/>
      <c r="O58" s="244"/>
      <c r="P58" s="72" t="s">
        <v>150</v>
      </c>
      <c r="Q58" s="244" t="s">
        <v>88</v>
      </c>
      <c r="R58" s="244"/>
      <c r="S58" s="244"/>
      <c r="T58" s="244"/>
      <c r="U58" s="72" t="s">
        <v>141</v>
      </c>
      <c r="V58" s="244" t="s">
        <v>0</v>
      </c>
      <c r="W58" s="244"/>
      <c r="X58" s="244"/>
      <c r="Y58" s="244"/>
      <c r="Z58" s="72" t="s">
        <v>141</v>
      </c>
      <c r="AA58" s="244" t="s">
        <v>153</v>
      </c>
      <c r="AB58" s="244"/>
      <c r="AC58" s="244"/>
      <c r="AD58" s="244"/>
      <c r="AE58" s="72" t="s">
        <v>150</v>
      </c>
      <c r="AF58" s="244" t="s">
        <v>0</v>
      </c>
      <c r="AG58" s="244"/>
      <c r="AH58" s="244"/>
      <c r="AI58" s="233"/>
    </row>
    <row r="59" spans="7:35" s="1" customFormat="1" x14ac:dyDescent="0.15">
      <c r="H59" s="245" t="s">
        <v>147</v>
      </c>
      <c r="I59" s="246"/>
      <c r="J59" s="246"/>
      <c r="K59" s="247"/>
      <c r="L59" s="232" t="s">
        <v>154</v>
      </c>
      <c r="M59" s="244"/>
      <c r="N59" s="244"/>
      <c r="O59" s="244"/>
      <c r="P59" s="72" t="s">
        <v>150</v>
      </c>
      <c r="Q59" s="244" t="s">
        <v>1</v>
      </c>
      <c r="R59" s="244"/>
      <c r="S59" s="244"/>
      <c r="T59" s="244"/>
      <c r="U59" s="72"/>
      <c r="V59" s="244"/>
      <c r="W59" s="244"/>
      <c r="X59" s="244"/>
      <c r="Y59" s="244"/>
      <c r="Z59" s="72"/>
      <c r="AA59" s="244"/>
      <c r="AB59" s="244"/>
      <c r="AC59" s="244"/>
      <c r="AD59" s="244"/>
      <c r="AE59" s="72"/>
      <c r="AF59" s="244"/>
      <c r="AG59" s="244"/>
      <c r="AH59" s="244"/>
      <c r="AI59" s="233"/>
    </row>
    <row r="60" spans="7:35" s="1" customFormat="1" x14ac:dyDescent="0.15"/>
    <row r="61" spans="7:35" s="1" customFormat="1" x14ac:dyDescent="0.15"/>
    <row r="62" spans="7:35" s="1" customFormat="1" x14ac:dyDescent="0.15">
      <c r="G62" s="24" t="s">
        <v>352</v>
      </c>
    </row>
    <row r="63" spans="7:35" s="1" customFormat="1" x14ac:dyDescent="0.15">
      <c r="H63" s="1" t="s">
        <v>191</v>
      </c>
    </row>
    <row r="64" spans="7:35" s="1" customFormat="1" x14ac:dyDescent="0.15"/>
    <row r="65" spans="7:30" s="1" customFormat="1" x14ac:dyDescent="0.15">
      <c r="G65" s="24" t="s">
        <v>353</v>
      </c>
    </row>
    <row r="66" spans="7:30" s="1" customFormat="1" x14ac:dyDescent="0.15">
      <c r="H66" s="1" t="s">
        <v>193</v>
      </c>
    </row>
    <row r="67" spans="7:30" s="1" customFormat="1" x14ac:dyDescent="0.15">
      <c r="H67" s="1" t="s">
        <v>195</v>
      </c>
    </row>
    <row r="68" spans="7:30" s="1" customFormat="1" x14ac:dyDescent="0.15">
      <c r="H68" s="1" t="s">
        <v>194</v>
      </c>
    </row>
    <row r="69" spans="7:30" s="1" customFormat="1" x14ac:dyDescent="0.15"/>
    <row r="70" spans="7:30" s="1" customFormat="1" x14ac:dyDescent="0.15">
      <c r="G70" s="24" t="s">
        <v>354</v>
      </c>
    </row>
    <row r="71" spans="7:30" s="1" customFormat="1" x14ac:dyDescent="0.15">
      <c r="H71" s="1" t="s">
        <v>197</v>
      </c>
    </row>
    <row r="72" spans="7:30" s="1" customFormat="1" x14ac:dyDescent="0.15">
      <c r="H72" s="15" t="s">
        <v>11</v>
      </c>
      <c r="I72" s="1" t="s">
        <v>198</v>
      </c>
    </row>
    <row r="73" spans="7:30" s="1" customFormat="1" x14ac:dyDescent="0.15">
      <c r="H73" s="15" t="s">
        <v>11</v>
      </c>
      <c r="I73" s="1" t="s">
        <v>199</v>
      </c>
    </row>
    <row r="74" spans="7:30" s="1" customFormat="1" x14ac:dyDescent="0.15">
      <c r="H74" s="15" t="s">
        <v>11</v>
      </c>
      <c r="I74" s="1" t="s">
        <v>200</v>
      </c>
    </row>
    <row r="75" spans="7:30" s="1" customFormat="1" x14ac:dyDescent="0.15">
      <c r="H75" s="41" t="s">
        <v>201</v>
      </c>
    </row>
    <row r="76" spans="7:30" s="1" customFormat="1" x14ac:dyDescent="0.15">
      <c r="H76" s="41"/>
    </row>
    <row r="77" spans="7:30" s="1" customFormat="1" x14ac:dyDescent="0.15">
      <c r="H77" s="41" t="s">
        <v>203</v>
      </c>
    </row>
    <row r="78" spans="7:30" s="1" customFormat="1" x14ac:dyDescent="0.15">
      <c r="H78" s="68" t="s">
        <v>77</v>
      </c>
      <c r="I78" s="69"/>
      <c r="J78" s="69"/>
      <c r="K78" s="69"/>
      <c r="L78" s="68" t="s">
        <v>78</v>
      </c>
      <c r="M78" s="69"/>
      <c r="N78" s="69"/>
      <c r="O78" s="69"/>
      <c r="P78" s="69"/>
      <c r="Q78" s="69"/>
      <c r="R78" s="69"/>
      <c r="S78" s="69"/>
      <c r="T78" s="69"/>
      <c r="U78" s="69"/>
      <c r="V78" s="69"/>
      <c r="W78" s="69"/>
      <c r="X78" s="69"/>
      <c r="Y78" s="69"/>
      <c r="Z78" s="69"/>
      <c r="AA78" s="69"/>
      <c r="AB78" s="69"/>
      <c r="AC78" s="69"/>
      <c r="AD78" s="70"/>
    </row>
    <row r="79" spans="7:30" s="1" customFormat="1" x14ac:dyDescent="0.15">
      <c r="H79" s="71" t="s">
        <v>139</v>
      </c>
      <c r="I79" s="72"/>
      <c r="J79" s="72"/>
      <c r="K79" s="72"/>
      <c r="L79" s="232" t="s">
        <v>140</v>
      </c>
      <c r="M79" s="244"/>
      <c r="N79" s="244"/>
      <c r="O79" s="244"/>
      <c r="P79" s="72" t="s">
        <v>141</v>
      </c>
      <c r="Q79" s="244" t="s">
        <v>155</v>
      </c>
      <c r="R79" s="244"/>
      <c r="S79" s="244"/>
      <c r="T79" s="244"/>
      <c r="U79" s="72" t="s">
        <v>150</v>
      </c>
      <c r="V79" s="244" t="s">
        <v>2</v>
      </c>
      <c r="W79" s="244"/>
      <c r="X79" s="244"/>
      <c r="Y79" s="244"/>
      <c r="Z79" s="72" t="s">
        <v>141</v>
      </c>
      <c r="AA79" s="244" t="s">
        <v>88</v>
      </c>
      <c r="AB79" s="244"/>
      <c r="AC79" s="244"/>
      <c r="AD79" s="233"/>
    </row>
    <row r="80" spans="7:30" s="1" customFormat="1" x14ac:dyDescent="0.15">
      <c r="H80" s="71" t="s">
        <v>143</v>
      </c>
      <c r="I80" s="72"/>
      <c r="J80" s="72"/>
      <c r="K80" s="72"/>
      <c r="L80" s="232" t="s">
        <v>144</v>
      </c>
      <c r="M80" s="244"/>
      <c r="N80" s="244"/>
      <c r="O80" s="244"/>
      <c r="P80" s="72" t="s">
        <v>141</v>
      </c>
      <c r="Q80" s="244" t="s">
        <v>156</v>
      </c>
      <c r="R80" s="244"/>
      <c r="S80" s="244"/>
      <c r="T80" s="244"/>
      <c r="U80" s="72" t="s">
        <v>150</v>
      </c>
      <c r="V80" s="244" t="s">
        <v>3</v>
      </c>
      <c r="W80" s="244"/>
      <c r="X80" s="244"/>
      <c r="Y80" s="244"/>
      <c r="Z80" s="72" t="s">
        <v>141</v>
      </c>
      <c r="AA80" s="244" t="s">
        <v>4</v>
      </c>
      <c r="AB80" s="244"/>
      <c r="AC80" s="244"/>
      <c r="AD80" s="233"/>
    </row>
    <row r="81" spans="3:35" s="1" customFormat="1" x14ac:dyDescent="0.15">
      <c r="H81" s="71" t="s">
        <v>145</v>
      </c>
      <c r="I81" s="72"/>
      <c r="J81" s="72"/>
      <c r="K81" s="72"/>
      <c r="L81" s="232" t="s">
        <v>0</v>
      </c>
      <c r="M81" s="244"/>
      <c r="N81" s="244"/>
      <c r="O81" s="244"/>
      <c r="P81" s="72" t="s">
        <v>141</v>
      </c>
      <c r="Q81" s="244" t="s">
        <v>157</v>
      </c>
      <c r="R81" s="244"/>
      <c r="S81" s="244"/>
      <c r="T81" s="244"/>
      <c r="U81" s="72" t="s">
        <v>150</v>
      </c>
      <c r="V81" s="244" t="s">
        <v>5</v>
      </c>
      <c r="W81" s="244"/>
      <c r="X81" s="244"/>
      <c r="Y81" s="244"/>
      <c r="Z81" s="72" t="s">
        <v>141</v>
      </c>
      <c r="AA81" s="244" t="s">
        <v>6</v>
      </c>
      <c r="AB81" s="244"/>
      <c r="AC81" s="244"/>
      <c r="AD81" s="233"/>
    </row>
    <row r="82" spans="3:35" s="1" customFormat="1" x14ac:dyDescent="0.15">
      <c r="H82" s="1" t="s">
        <v>9</v>
      </c>
    </row>
    <row r="83" spans="3:35" s="1" customFormat="1" x14ac:dyDescent="0.15"/>
    <row r="84" spans="3:35" s="1" customFormat="1" x14ac:dyDescent="0.15">
      <c r="G84" s="24" t="s">
        <v>355</v>
      </c>
    </row>
    <row r="85" spans="3:35" s="1" customFormat="1" x14ac:dyDescent="0.15">
      <c r="H85" s="1" t="s">
        <v>202</v>
      </c>
    </row>
    <row r="86" spans="3:35" s="1" customFormat="1" x14ac:dyDescent="0.15"/>
    <row r="87" spans="3:35" s="1" customFormat="1" x14ac:dyDescent="0.15">
      <c r="G87" s="24" t="s">
        <v>356</v>
      </c>
    </row>
    <row r="88" spans="3:35" s="1" customFormat="1" x14ac:dyDescent="0.15">
      <c r="H88" s="1" t="s">
        <v>215</v>
      </c>
    </row>
    <row r="91" spans="3:35" s="1" customFormat="1" x14ac:dyDescent="0.15">
      <c r="C91" s="24" t="s">
        <v>332</v>
      </c>
    </row>
    <row r="92" spans="3:35" s="1" customFormat="1" x14ac:dyDescent="0.15">
      <c r="C92" s="18"/>
    </row>
    <row r="93" spans="3:35" s="1" customFormat="1" x14ac:dyDescent="0.15">
      <c r="C93" s="18"/>
      <c r="D93" s="24" t="s">
        <v>357</v>
      </c>
    </row>
    <row r="94" spans="3:35" s="1" customFormat="1" x14ac:dyDescent="0.15">
      <c r="C94" s="18"/>
    </row>
    <row r="95" spans="3:35" s="1" customFormat="1" x14ac:dyDescent="0.15">
      <c r="D95" s="18"/>
      <c r="E95" s="24" t="s">
        <v>330</v>
      </c>
    </row>
    <row r="96" spans="3:35" ht="12" customHeight="1" x14ac:dyDescent="0.15">
      <c r="V96" s="38"/>
      <c r="AI96" s="38" t="s">
        <v>217</v>
      </c>
    </row>
    <row r="97" spans="1:36" ht="12" customHeight="1" x14ac:dyDescent="0.15">
      <c r="E97" s="64" t="s">
        <v>250</v>
      </c>
      <c r="F97" s="234" t="s">
        <v>56</v>
      </c>
      <c r="G97" s="235"/>
      <c r="H97" s="235"/>
      <c r="I97" s="236"/>
      <c r="J97" s="234" t="s">
        <v>66</v>
      </c>
      <c r="K97" s="235"/>
      <c r="L97" s="236"/>
      <c r="M97" s="234" t="s">
        <v>67</v>
      </c>
      <c r="N97" s="235"/>
      <c r="O97" s="235"/>
      <c r="P97" s="236"/>
      <c r="Q97" s="240" t="s">
        <v>68</v>
      </c>
      <c r="R97" s="241"/>
      <c r="S97" s="241"/>
      <c r="T97" s="242"/>
      <c r="U97" s="234" t="s">
        <v>69</v>
      </c>
      <c r="V97" s="235"/>
      <c r="W97" s="236"/>
      <c r="X97" s="172" t="s">
        <v>70</v>
      </c>
      <c r="Y97" s="173"/>
      <c r="Z97" s="173"/>
      <c r="AA97" s="173"/>
      <c r="AB97" s="173"/>
      <c r="AC97" s="173"/>
      <c r="AD97" s="173"/>
      <c r="AE97" s="173"/>
      <c r="AF97" s="174"/>
      <c r="AG97" s="172" t="s">
        <v>51</v>
      </c>
      <c r="AH97" s="173"/>
      <c r="AI97" s="174"/>
    </row>
    <row r="98" spans="1:36" ht="32.25" customHeight="1" x14ac:dyDescent="0.15">
      <c r="E98" s="62">
        <v>1</v>
      </c>
      <c r="F98" s="193" t="s">
        <v>187</v>
      </c>
      <c r="G98" s="194"/>
      <c r="H98" s="194"/>
      <c r="I98" s="195"/>
      <c r="J98" s="193" t="s">
        <v>185</v>
      </c>
      <c r="K98" s="194"/>
      <c r="L98" s="195"/>
      <c r="M98" s="237" t="s">
        <v>103</v>
      </c>
      <c r="N98" s="238"/>
      <c r="O98" s="238"/>
      <c r="P98" s="239"/>
      <c r="Q98" s="98" t="s">
        <v>104</v>
      </c>
      <c r="R98" s="99"/>
      <c r="S98" s="99"/>
      <c r="T98" s="100"/>
      <c r="U98" s="243" t="s">
        <v>105</v>
      </c>
      <c r="V98" s="238"/>
      <c r="W98" s="239"/>
      <c r="X98" s="98" t="s">
        <v>219</v>
      </c>
      <c r="Y98" s="99"/>
      <c r="Z98" s="99"/>
      <c r="AA98" s="99"/>
      <c r="AB98" s="99"/>
      <c r="AC98" s="99"/>
      <c r="AD98" s="99"/>
      <c r="AE98" s="99"/>
      <c r="AF98" s="100"/>
      <c r="AG98" s="237" t="s">
        <v>8</v>
      </c>
      <c r="AH98" s="238"/>
      <c r="AI98" s="239"/>
    </row>
    <row r="99" spans="1:36" ht="60" customHeight="1" x14ac:dyDescent="0.15">
      <c r="E99" s="62">
        <v>2</v>
      </c>
      <c r="F99" s="199"/>
      <c r="G99" s="200"/>
      <c r="H99" s="200"/>
      <c r="I99" s="201"/>
      <c r="J99" s="199"/>
      <c r="K99" s="200"/>
      <c r="L99" s="201"/>
      <c r="M99" s="237" t="s">
        <v>14</v>
      </c>
      <c r="N99" s="238"/>
      <c r="O99" s="238"/>
      <c r="P99" s="239"/>
      <c r="Q99" s="98" t="s">
        <v>104</v>
      </c>
      <c r="R99" s="99"/>
      <c r="S99" s="99"/>
      <c r="T99" s="100"/>
      <c r="U99" s="237" t="s">
        <v>13</v>
      </c>
      <c r="V99" s="238"/>
      <c r="W99" s="239"/>
      <c r="X99" s="145" t="s">
        <v>220</v>
      </c>
      <c r="Y99" s="99"/>
      <c r="Z99" s="99"/>
      <c r="AA99" s="99"/>
      <c r="AB99" s="99"/>
      <c r="AC99" s="99"/>
      <c r="AD99" s="99"/>
      <c r="AE99" s="99"/>
      <c r="AF99" s="100"/>
      <c r="AG99" s="237" t="s">
        <v>8</v>
      </c>
      <c r="AH99" s="238"/>
      <c r="AI99" s="239"/>
    </row>
    <row r="100" spans="1:36" x14ac:dyDescent="0.15">
      <c r="E100" s="25"/>
      <c r="F100" s="29"/>
      <c r="G100" s="29"/>
      <c r="H100" s="29"/>
      <c r="I100" s="29"/>
      <c r="J100" s="29"/>
      <c r="K100" s="67"/>
      <c r="L100" s="67"/>
      <c r="M100" s="67"/>
      <c r="N100" s="67"/>
      <c r="O100" s="67"/>
      <c r="P100" s="67"/>
      <c r="Q100" s="67"/>
      <c r="R100" s="67"/>
      <c r="S100" s="67"/>
      <c r="T100" s="30"/>
      <c r="U100" s="30"/>
      <c r="V100" s="30"/>
      <c r="W100" s="27"/>
    </row>
    <row r="101" spans="1:36" x14ac:dyDescent="0.15">
      <c r="D101" t="s">
        <v>358</v>
      </c>
      <c r="E101" s="25"/>
      <c r="F101" s="29"/>
      <c r="G101" s="29"/>
      <c r="H101" s="29"/>
      <c r="I101" s="29"/>
      <c r="J101" s="29"/>
      <c r="K101" s="67"/>
      <c r="L101" s="67"/>
      <c r="M101" s="67"/>
      <c r="N101" s="67"/>
      <c r="O101" s="67"/>
      <c r="P101" s="67"/>
      <c r="Q101" s="67"/>
      <c r="R101" s="67"/>
      <c r="S101" s="67"/>
      <c r="T101" s="30"/>
      <c r="U101" s="30"/>
      <c r="V101" s="30"/>
      <c r="W101" s="27"/>
    </row>
    <row r="102" spans="1:36" x14ac:dyDescent="0.15">
      <c r="E102" s="25"/>
      <c r="F102" s="29"/>
      <c r="G102" s="29"/>
      <c r="H102" s="29"/>
      <c r="I102" s="29"/>
      <c r="J102" s="29"/>
      <c r="K102" s="67"/>
      <c r="L102" s="67"/>
      <c r="M102" s="67"/>
      <c r="N102" s="67"/>
      <c r="O102" s="67"/>
      <c r="P102" s="67"/>
      <c r="Q102" s="67"/>
      <c r="R102" s="67"/>
      <c r="S102" s="67"/>
      <c r="T102" s="30"/>
      <c r="U102" s="30"/>
      <c r="V102" s="30"/>
      <c r="W102" s="27"/>
    </row>
    <row r="103" spans="1:36" s="24" customFormat="1" x14ac:dyDescent="0.15">
      <c r="A103" s="1"/>
      <c r="B103" s="1"/>
      <c r="C103" s="1"/>
      <c r="D103" s="1"/>
      <c r="E103" s="24" t="s">
        <v>359</v>
      </c>
      <c r="F103" s="1"/>
      <c r="G103" s="1"/>
      <c r="H103" s="1"/>
      <c r="I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s="24" customFormat="1" x14ac:dyDescent="0.15">
      <c r="A104" s="1"/>
      <c r="B104" s="1"/>
      <c r="C104" s="1"/>
      <c r="D104" s="1"/>
      <c r="F104" s="1" t="s">
        <v>212</v>
      </c>
      <c r="G104" s="1"/>
      <c r="H104" s="1"/>
      <c r="I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s="24" customFormat="1" x14ac:dyDescent="0.15">
      <c r="A105" s="1"/>
      <c r="B105" s="1"/>
      <c r="C105" s="1"/>
      <c r="D105" s="1"/>
      <c r="F105" s="1"/>
      <c r="G105" s="1"/>
      <c r="H105" s="1"/>
      <c r="I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s="24" customFormat="1" x14ac:dyDescent="0.15">
      <c r="A106" s="1"/>
      <c r="B106" s="1"/>
      <c r="C106" s="1"/>
      <c r="D106" s="1"/>
      <c r="E106" s="1"/>
      <c r="F106" s="24" t="s">
        <v>360</v>
      </c>
      <c r="G106" s="1"/>
      <c r="H106" s="1"/>
      <c r="I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s="24" customFormat="1" x14ac:dyDescent="0.15">
      <c r="A107" s="1"/>
      <c r="B107" s="1"/>
      <c r="C107" s="1"/>
      <c r="D107" s="1"/>
      <c r="E107" s="1"/>
      <c r="F107" s="1"/>
      <c r="G107" s="1" t="s">
        <v>90</v>
      </c>
      <c r="H107" s="1"/>
      <c r="I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s="24" customFormat="1" x14ac:dyDescent="0.15">
      <c r="A108" s="1"/>
      <c r="B108" s="1"/>
      <c r="C108" s="1"/>
      <c r="D108" s="1"/>
      <c r="E108" s="1"/>
      <c r="F108" s="1"/>
      <c r="G108" s="1"/>
      <c r="H108" s="1"/>
      <c r="I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s="24" customFormat="1" x14ac:dyDescent="0.15">
      <c r="A109" s="1"/>
      <c r="B109" s="1"/>
      <c r="C109" s="1"/>
      <c r="D109" s="1"/>
      <c r="E109" s="1"/>
      <c r="F109" s="24" t="s">
        <v>361</v>
      </c>
      <c r="G109" s="1"/>
      <c r="H109" s="1"/>
      <c r="I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s="24" customFormat="1" x14ac:dyDescent="0.15">
      <c r="A110" s="1"/>
      <c r="B110" s="1"/>
      <c r="C110" s="1"/>
      <c r="D110" s="1"/>
      <c r="E110" s="1"/>
      <c r="F110" s="1"/>
      <c r="G110" s="1" t="s">
        <v>89</v>
      </c>
      <c r="H110" s="1"/>
      <c r="I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s="24" customFormat="1" x14ac:dyDescent="0.15">
      <c r="A111" s="1"/>
      <c r="B111" s="1"/>
      <c r="C111" s="1"/>
      <c r="D111" s="1"/>
      <c r="E111" s="1"/>
      <c r="F111" s="1"/>
      <c r="G111" s="1" t="s">
        <v>158</v>
      </c>
      <c r="H111" s="1"/>
      <c r="I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s="24" customForma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s="24" customForma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spans="1:36" s="1" customFormat="1" x14ac:dyDescent="0.15">
      <c r="C114" s="24" t="s">
        <v>333</v>
      </c>
    </row>
    <row r="115" spans="1:36" s="1" customFormat="1" x14ac:dyDescent="0.15">
      <c r="C115" s="18"/>
    </row>
    <row r="116" spans="1:36" s="1" customFormat="1" x14ac:dyDescent="0.15">
      <c r="C116" s="18"/>
      <c r="D116" s="24" t="s">
        <v>362</v>
      </c>
    </row>
    <row r="117" spans="1:36" s="1" customFormat="1" x14ac:dyDescent="0.15">
      <c r="C117" s="18"/>
    </row>
    <row r="118" spans="1:36" s="1" customFormat="1" x14ac:dyDescent="0.15">
      <c r="D118" s="18"/>
      <c r="E118" s="24" t="s">
        <v>330</v>
      </c>
    </row>
    <row r="119" spans="1:36" ht="12" customHeight="1" x14ac:dyDescent="0.15">
      <c r="V119" s="38"/>
      <c r="AI119" s="38" t="s">
        <v>217</v>
      </c>
    </row>
    <row r="120" spans="1:36" ht="12" customHeight="1" x14ac:dyDescent="0.15">
      <c r="E120" s="64" t="s">
        <v>250</v>
      </c>
      <c r="F120" s="234" t="s">
        <v>56</v>
      </c>
      <c r="G120" s="235"/>
      <c r="H120" s="235"/>
      <c r="I120" s="236"/>
      <c r="J120" s="234" t="s">
        <v>66</v>
      </c>
      <c r="K120" s="235"/>
      <c r="L120" s="236"/>
      <c r="M120" s="234" t="s">
        <v>67</v>
      </c>
      <c r="N120" s="235"/>
      <c r="O120" s="235"/>
      <c r="P120" s="236"/>
      <c r="Q120" s="240" t="s">
        <v>68</v>
      </c>
      <c r="R120" s="241"/>
      <c r="S120" s="241"/>
      <c r="T120" s="242"/>
      <c r="U120" s="234" t="s">
        <v>69</v>
      </c>
      <c r="V120" s="235"/>
      <c r="W120" s="236"/>
      <c r="X120" s="172" t="s">
        <v>70</v>
      </c>
      <c r="Y120" s="173"/>
      <c r="Z120" s="173"/>
      <c r="AA120" s="173"/>
      <c r="AB120" s="173"/>
      <c r="AC120" s="173"/>
      <c r="AD120" s="173"/>
      <c r="AE120" s="173"/>
      <c r="AF120" s="174"/>
      <c r="AG120" s="172" t="s">
        <v>51</v>
      </c>
      <c r="AH120" s="173"/>
      <c r="AI120" s="174"/>
    </row>
    <row r="121" spans="1:36" ht="32.25" customHeight="1" x14ac:dyDescent="0.15">
      <c r="E121" s="62">
        <v>1</v>
      </c>
      <c r="F121" s="193" t="s">
        <v>187</v>
      </c>
      <c r="G121" s="194"/>
      <c r="H121" s="194"/>
      <c r="I121" s="195"/>
      <c r="J121" s="193" t="s">
        <v>185</v>
      </c>
      <c r="K121" s="194"/>
      <c r="L121" s="195"/>
      <c r="M121" s="237" t="s">
        <v>103</v>
      </c>
      <c r="N121" s="238"/>
      <c r="O121" s="238"/>
      <c r="P121" s="239"/>
      <c r="Q121" s="98" t="s">
        <v>104</v>
      </c>
      <c r="R121" s="99"/>
      <c r="S121" s="99"/>
      <c r="T121" s="100"/>
      <c r="U121" s="243" t="s">
        <v>7</v>
      </c>
      <c r="V121" s="238"/>
      <c r="W121" s="239"/>
      <c r="X121" s="98" t="s">
        <v>219</v>
      </c>
      <c r="Y121" s="99"/>
      <c r="Z121" s="99"/>
      <c r="AA121" s="99"/>
      <c r="AB121" s="99"/>
      <c r="AC121" s="99"/>
      <c r="AD121" s="99"/>
      <c r="AE121" s="99"/>
      <c r="AF121" s="100"/>
      <c r="AG121" s="237" t="s">
        <v>8</v>
      </c>
      <c r="AH121" s="238"/>
      <c r="AI121" s="239"/>
    </row>
    <row r="122" spans="1:36" ht="60" customHeight="1" x14ac:dyDescent="0.15">
      <c r="E122" s="62">
        <v>2</v>
      </c>
      <c r="F122" s="199"/>
      <c r="G122" s="200"/>
      <c r="H122" s="200"/>
      <c r="I122" s="201"/>
      <c r="J122" s="199"/>
      <c r="K122" s="200"/>
      <c r="L122" s="201"/>
      <c r="M122" s="237" t="s">
        <v>14</v>
      </c>
      <c r="N122" s="238"/>
      <c r="O122" s="238"/>
      <c r="P122" s="239"/>
      <c r="Q122" s="98" t="s">
        <v>104</v>
      </c>
      <c r="R122" s="99"/>
      <c r="S122" s="99"/>
      <c r="T122" s="100"/>
      <c r="U122" s="237" t="s">
        <v>13</v>
      </c>
      <c r="V122" s="238"/>
      <c r="W122" s="239"/>
      <c r="X122" s="145" t="s">
        <v>220</v>
      </c>
      <c r="Y122" s="99"/>
      <c r="Z122" s="99"/>
      <c r="AA122" s="99"/>
      <c r="AB122" s="99"/>
      <c r="AC122" s="99"/>
      <c r="AD122" s="99"/>
      <c r="AE122" s="99"/>
      <c r="AF122" s="100"/>
      <c r="AG122" s="237" t="s">
        <v>8</v>
      </c>
      <c r="AH122" s="238"/>
      <c r="AI122" s="239"/>
    </row>
    <row r="123" spans="1:36" x14ac:dyDescent="0.15">
      <c r="E123" s="25"/>
      <c r="F123" s="29"/>
      <c r="G123" s="29"/>
      <c r="H123" s="29"/>
      <c r="I123" s="29"/>
      <c r="J123" s="29"/>
      <c r="K123" s="67"/>
      <c r="L123" s="67"/>
      <c r="M123" s="67"/>
      <c r="N123" s="67"/>
      <c r="O123" s="67"/>
      <c r="P123" s="67"/>
      <c r="Q123" s="67"/>
      <c r="R123" s="67"/>
      <c r="S123" s="67"/>
      <c r="T123" s="30"/>
      <c r="U123" s="30"/>
      <c r="V123" s="30"/>
      <c r="W123" s="27"/>
    </row>
    <row r="124" spans="1:36" x14ac:dyDescent="0.15">
      <c r="D124" t="s">
        <v>363</v>
      </c>
      <c r="E124" s="25"/>
      <c r="F124" s="29"/>
      <c r="G124" s="29"/>
      <c r="H124" s="29"/>
      <c r="I124" s="29"/>
      <c r="J124" s="29"/>
      <c r="K124" s="67"/>
      <c r="L124" s="67"/>
      <c r="M124" s="67"/>
      <c r="N124" s="67"/>
      <c r="O124" s="67"/>
      <c r="P124" s="67"/>
      <c r="Q124" s="67"/>
      <c r="R124" s="67"/>
      <c r="S124" s="67"/>
      <c r="T124" s="30"/>
      <c r="U124" s="30"/>
      <c r="V124" s="30"/>
      <c r="W124" s="27"/>
    </row>
    <row r="125" spans="1:36" x14ac:dyDescent="0.15">
      <c r="E125" s="25"/>
      <c r="F125" s="29"/>
      <c r="G125" s="29"/>
      <c r="H125" s="29"/>
      <c r="I125" s="29"/>
      <c r="J125" s="29"/>
      <c r="K125" s="67"/>
      <c r="L125" s="67"/>
      <c r="M125" s="67"/>
      <c r="N125" s="67"/>
      <c r="O125" s="67"/>
      <c r="P125" s="67"/>
      <c r="Q125" s="67"/>
      <c r="R125" s="67"/>
      <c r="S125" s="67"/>
      <c r="T125" s="30"/>
      <c r="U125" s="30"/>
      <c r="V125" s="30"/>
      <c r="W125" s="27"/>
    </row>
    <row r="126" spans="1:36" s="24" customFormat="1" x14ac:dyDescent="0.15">
      <c r="A126" s="1"/>
      <c r="B126" s="1"/>
      <c r="C126" s="1"/>
      <c r="D126" s="1"/>
      <c r="E126" s="24" t="s">
        <v>359</v>
      </c>
      <c r="F126" s="1"/>
      <c r="G126" s="1"/>
      <c r="H126" s="1"/>
      <c r="I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s="24" customFormat="1" x14ac:dyDescent="0.15">
      <c r="A127" s="1"/>
      <c r="B127" s="1"/>
      <c r="C127" s="1"/>
      <c r="D127" s="1"/>
      <c r="F127" s="1" t="s">
        <v>212</v>
      </c>
      <c r="G127" s="1"/>
      <c r="H127" s="1"/>
      <c r="I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s="24" customFormat="1" x14ac:dyDescent="0.15">
      <c r="A128" s="1"/>
      <c r="B128" s="1"/>
      <c r="C128" s="1"/>
      <c r="D128" s="1"/>
      <c r="F128" s="1"/>
      <c r="G128" s="1"/>
      <c r="H128" s="1"/>
      <c r="I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s="24" customFormat="1" x14ac:dyDescent="0.15">
      <c r="A129" s="1"/>
      <c r="B129" s="1"/>
      <c r="C129" s="1"/>
      <c r="D129" s="1"/>
      <c r="E129" s="1"/>
      <c r="F129" s="24" t="s">
        <v>360</v>
      </c>
      <c r="G129" s="1"/>
      <c r="H129" s="1"/>
      <c r="I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s="24" customFormat="1" x14ac:dyDescent="0.15">
      <c r="A130" s="1"/>
      <c r="B130" s="1"/>
      <c r="C130" s="1"/>
      <c r="D130" s="1"/>
      <c r="E130" s="1"/>
      <c r="F130" s="1"/>
      <c r="G130" s="1" t="s">
        <v>90</v>
      </c>
      <c r="H130" s="1"/>
      <c r="I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s="24" customFormat="1" x14ac:dyDescent="0.15">
      <c r="A131" s="1"/>
      <c r="B131" s="1"/>
      <c r="C131" s="1"/>
      <c r="D131" s="1"/>
      <c r="E131" s="1"/>
      <c r="F131" s="1"/>
      <c r="G131" s="1"/>
      <c r="H131" s="1"/>
      <c r="I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s="24" customFormat="1" x14ac:dyDescent="0.15">
      <c r="A132" s="1"/>
      <c r="B132" s="1"/>
      <c r="C132" s="1"/>
      <c r="D132" s="1"/>
      <c r="E132" s="1"/>
      <c r="F132" s="24" t="s">
        <v>361</v>
      </c>
      <c r="G132" s="1"/>
      <c r="H132" s="1"/>
      <c r="I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s="24" customFormat="1" x14ac:dyDescent="0.15">
      <c r="A133" s="1"/>
      <c r="B133" s="1"/>
      <c r="C133" s="1"/>
      <c r="D133" s="1"/>
      <c r="E133" s="1"/>
      <c r="F133" s="1"/>
      <c r="G133" s="1" t="s">
        <v>89</v>
      </c>
      <c r="H133" s="1"/>
      <c r="I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s="24" customFormat="1" x14ac:dyDescent="0.15">
      <c r="A134" s="1"/>
      <c r="B134" s="1"/>
      <c r="C134" s="1"/>
      <c r="D134" s="1"/>
      <c r="E134" s="1"/>
      <c r="F134" s="1"/>
      <c r="G134" s="1" t="s">
        <v>158</v>
      </c>
      <c r="H134" s="1"/>
      <c r="I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s="24" customForma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7" spans="1:36" s="1" customFormat="1" x14ac:dyDescent="0.15">
      <c r="C137" s="24" t="s">
        <v>334</v>
      </c>
    </row>
    <row r="138" spans="1:36" s="1" customFormat="1" x14ac:dyDescent="0.15">
      <c r="D138" s="18"/>
    </row>
    <row r="139" spans="1:36" s="1" customFormat="1" x14ac:dyDescent="0.15">
      <c r="D139" s="58" t="s">
        <v>364</v>
      </c>
    </row>
    <row r="140" spans="1:36" s="1" customFormat="1" x14ac:dyDescent="0.15">
      <c r="D140" s="18"/>
    </row>
    <row r="141" spans="1:36" s="1" customFormat="1" x14ac:dyDescent="0.15">
      <c r="D141" s="18"/>
      <c r="E141" s="24" t="s">
        <v>330</v>
      </c>
    </row>
    <row r="142" spans="1:36" ht="12" customHeight="1" x14ac:dyDescent="0.15">
      <c r="V142" s="38"/>
      <c r="AI142" s="38" t="s">
        <v>217</v>
      </c>
    </row>
    <row r="143" spans="1:36" ht="12" customHeight="1" x14ac:dyDescent="0.15">
      <c r="E143" s="64" t="s">
        <v>250</v>
      </c>
      <c r="F143" s="234" t="s">
        <v>56</v>
      </c>
      <c r="G143" s="235"/>
      <c r="H143" s="235"/>
      <c r="I143" s="236"/>
      <c r="J143" s="234" t="s">
        <v>66</v>
      </c>
      <c r="K143" s="235"/>
      <c r="L143" s="236"/>
      <c r="M143" s="234" t="s">
        <v>67</v>
      </c>
      <c r="N143" s="235"/>
      <c r="O143" s="235"/>
      <c r="P143" s="236"/>
      <c r="Q143" s="240" t="s">
        <v>68</v>
      </c>
      <c r="R143" s="241"/>
      <c r="S143" s="241"/>
      <c r="T143" s="242"/>
      <c r="U143" s="234" t="s">
        <v>69</v>
      </c>
      <c r="V143" s="235"/>
      <c r="W143" s="236"/>
      <c r="X143" s="172" t="s">
        <v>70</v>
      </c>
      <c r="Y143" s="173"/>
      <c r="Z143" s="173"/>
      <c r="AA143" s="173"/>
      <c r="AB143" s="173"/>
      <c r="AC143" s="173"/>
      <c r="AD143" s="173"/>
      <c r="AE143" s="173"/>
      <c r="AF143" s="174"/>
      <c r="AG143" s="172" t="s">
        <v>51</v>
      </c>
      <c r="AH143" s="173"/>
      <c r="AI143" s="174"/>
    </row>
    <row r="144" spans="1:36" ht="32.25" customHeight="1" x14ac:dyDescent="0.15">
      <c r="E144" s="62">
        <v>1</v>
      </c>
      <c r="F144" s="193" t="s">
        <v>187</v>
      </c>
      <c r="G144" s="194"/>
      <c r="H144" s="194"/>
      <c r="I144" s="195"/>
      <c r="J144" s="193" t="s">
        <v>185</v>
      </c>
      <c r="K144" s="194"/>
      <c r="L144" s="195"/>
      <c r="M144" s="237" t="s">
        <v>103</v>
      </c>
      <c r="N144" s="238"/>
      <c r="O144" s="238"/>
      <c r="P144" s="239"/>
      <c r="Q144" s="98" t="s">
        <v>104</v>
      </c>
      <c r="R144" s="99"/>
      <c r="S144" s="99"/>
      <c r="T144" s="100"/>
      <c r="U144" s="243" t="s">
        <v>284</v>
      </c>
      <c r="V144" s="238"/>
      <c r="W144" s="239"/>
      <c r="X144" s="98" t="s">
        <v>219</v>
      </c>
      <c r="Y144" s="99"/>
      <c r="Z144" s="99"/>
      <c r="AA144" s="99"/>
      <c r="AB144" s="99"/>
      <c r="AC144" s="99"/>
      <c r="AD144" s="99"/>
      <c r="AE144" s="99"/>
      <c r="AF144" s="100"/>
      <c r="AG144" s="237" t="s">
        <v>8</v>
      </c>
      <c r="AH144" s="238"/>
      <c r="AI144" s="239"/>
    </row>
    <row r="145" spans="1:36" ht="60" customHeight="1" x14ac:dyDescent="0.15">
      <c r="E145" s="62">
        <v>2</v>
      </c>
      <c r="F145" s="199"/>
      <c r="G145" s="200"/>
      <c r="H145" s="200"/>
      <c r="I145" s="201"/>
      <c r="J145" s="199"/>
      <c r="K145" s="200"/>
      <c r="L145" s="201"/>
      <c r="M145" s="237" t="s">
        <v>14</v>
      </c>
      <c r="N145" s="238"/>
      <c r="O145" s="238"/>
      <c r="P145" s="239"/>
      <c r="Q145" s="98" t="s">
        <v>104</v>
      </c>
      <c r="R145" s="99"/>
      <c r="S145" s="99"/>
      <c r="T145" s="100"/>
      <c r="U145" s="237" t="s">
        <v>13</v>
      </c>
      <c r="V145" s="238"/>
      <c r="W145" s="239"/>
      <c r="X145" s="145" t="s">
        <v>220</v>
      </c>
      <c r="Y145" s="99"/>
      <c r="Z145" s="99"/>
      <c r="AA145" s="99"/>
      <c r="AB145" s="99"/>
      <c r="AC145" s="99"/>
      <c r="AD145" s="99"/>
      <c r="AE145" s="99"/>
      <c r="AF145" s="100"/>
      <c r="AG145" s="237" t="s">
        <v>8</v>
      </c>
      <c r="AH145" s="238"/>
      <c r="AI145" s="239"/>
    </row>
    <row r="146" spans="1:36" x14ac:dyDescent="0.15">
      <c r="E146" s="25"/>
      <c r="F146" s="29"/>
      <c r="G146" s="29"/>
      <c r="H146" s="29"/>
      <c r="I146" s="29"/>
      <c r="J146" s="29"/>
      <c r="K146" s="67"/>
      <c r="L146" s="67"/>
      <c r="M146" s="67"/>
      <c r="N146" s="67"/>
      <c r="O146" s="67"/>
      <c r="P146" s="67"/>
      <c r="Q146" s="67"/>
      <c r="R146" s="67"/>
      <c r="S146" s="67"/>
      <c r="T146" s="30"/>
      <c r="U146" s="30"/>
      <c r="V146" s="30"/>
      <c r="W146" s="27"/>
    </row>
    <row r="147" spans="1:36" x14ac:dyDescent="0.15">
      <c r="D147" t="s">
        <v>365</v>
      </c>
      <c r="E147" s="25"/>
      <c r="F147" s="29"/>
      <c r="G147" s="29"/>
      <c r="H147" s="29"/>
      <c r="I147" s="29"/>
      <c r="J147" s="29"/>
      <c r="K147" s="67"/>
      <c r="L147" s="67"/>
      <c r="M147" s="67"/>
      <c r="N147" s="67"/>
      <c r="O147" s="67"/>
      <c r="P147" s="67"/>
      <c r="Q147" s="67"/>
      <c r="R147" s="67"/>
      <c r="S147" s="67"/>
      <c r="T147" s="30"/>
      <c r="U147" s="30"/>
      <c r="V147" s="30"/>
      <c r="W147" s="27"/>
    </row>
    <row r="148" spans="1:36" x14ac:dyDescent="0.15">
      <c r="E148" s="25"/>
      <c r="F148" s="29"/>
      <c r="G148" s="29"/>
      <c r="H148" s="29"/>
      <c r="I148" s="29"/>
      <c r="J148" s="29"/>
      <c r="K148" s="67"/>
      <c r="L148" s="67"/>
      <c r="M148" s="67"/>
      <c r="N148" s="67"/>
      <c r="O148" s="67"/>
      <c r="P148" s="67"/>
      <c r="Q148" s="67"/>
      <c r="R148" s="67"/>
      <c r="S148" s="67"/>
      <c r="T148" s="30"/>
      <c r="U148" s="30"/>
      <c r="V148" s="30"/>
      <c r="W148" s="27"/>
    </row>
    <row r="149" spans="1:36" s="24" customFormat="1" x14ac:dyDescent="0.15">
      <c r="A149" s="1"/>
      <c r="B149" s="1"/>
      <c r="C149" s="1"/>
      <c r="D149" s="1"/>
      <c r="E149" s="24" t="s">
        <v>359</v>
      </c>
      <c r="F149" s="1"/>
      <c r="G149" s="1"/>
      <c r="H149" s="1"/>
      <c r="I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s="24" customFormat="1" x14ac:dyDescent="0.15">
      <c r="A150" s="1"/>
      <c r="B150" s="1"/>
      <c r="C150" s="1"/>
      <c r="D150" s="1"/>
      <c r="F150" s="1" t="s">
        <v>212</v>
      </c>
      <c r="G150" s="1"/>
      <c r="H150" s="1"/>
      <c r="I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s="24" customFormat="1" x14ac:dyDescent="0.15">
      <c r="A151" s="1"/>
      <c r="B151" s="1"/>
      <c r="C151" s="1"/>
      <c r="D151" s="1"/>
      <c r="F151" s="1"/>
      <c r="G151" s="1"/>
      <c r="H151" s="1"/>
      <c r="I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s="24" customFormat="1" x14ac:dyDescent="0.15">
      <c r="A152" s="1"/>
      <c r="B152" s="1"/>
      <c r="C152" s="1"/>
      <c r="D152" s="1"/>
      <c r="E152" s="1"/>
      <c r="F152" s="24" t="s">
        <v>360</v>
      </c>
      <c r="G152" s="1"/>
      <c r="H152" s="1"/>
      <c r="I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s="24" customFormat="1" x14ac:dyDescent="0.15">
      <c r="A153" s="1"/>
      <c r="B153" s="1"/>
      <c r="C153" s="1"/>
      <c r="D153" s="1"/>
      <c r="E153" s="1"/>
      <c r="F153" s="1"/>
      <c r="G153" s="1" t="s">
        <v>90</v>
      </c>
      <c r="H153" s="1"/>
      <c r="I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s="24" customFormat="1" x14ac:dyDescent="0.15">
      <c r="A154" s="1"/>
      <c r="B154" s="1"/>
      <c r="C154" s="1"/>
      <c r="D154" s="1"/>
      <c r="E154" s="1"/>
      <c r="F154" s="1"/>
      <c r="G154" s="1"/>
      <c r="H154" s="1"/>
      <c r="I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s="24" customFormat="1" x14ac:dyDescent="0.15">
      <c r="A155" s="1"/>
      <c r="B155" s="1"/>
      <c r="C155" s="1"/>
      <c r="D155" s="1"/>
      <c r="E155" s="1"/>
      <c r="F155" s="24" t="s">
        <v>361</v>
      </c>
      <c r="G155" s="1"/>
      <c r="H155" s="1"/>
      <c r="I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s="24" customFormat="1" x14ac:dyDescent="0.15">
      <c r="A156" s="1"/>
      <c r="B156" s="1"/>
      <c r="C156" s="1"/>
      <c r="D156" s="1"/>
      <c r="E156" s="1"/>
      <c r="F156" s="1"/>
      <c r="G156" s="1" t="s">
        <v>89</v>
      </c>
      <c r="H156" s="1"/>
      <c r="I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s="24" customFormat="1" x14ac:dyDescent="0.15">
      <c r="A157" s="1"/>
      <c r="B157" s="1"/>
      <c r="C157" s="1"/>
      <c r="D157" s="1"/>
      <c r="E157" s="1"/>
      <c r="F157" s="1"/>
      <c r="G157" s="1" t="s">
        <v>158</v>
      </c>
      <c r="H157" s="1"/>
      <c r="I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s="24" customForma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60" spans="1:36" x14ac:dyDescent="0.1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row>
    <row r="161" spans="1:25" x14ac:dyDescent="0.1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row>
    <row r="162" spans="1:25" x14ac:dyDescent="0.1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row>
  </sheetData>
  <mergeCells count="164">
    <mergeCell ref="AG3:AI3"/>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Z13:AF13"/>
    <mergeCell ref="AG13:AI13"/>
    <mergeCell ref="F14:I23"/>
    <mergeCell ref="J14:L23"/>
    <mergeCell ref="M14:R14"/>
    <mergeCell ref="S14:V23"/>
    <mergeCell ref="W14:Y23"/>
    <mergeCell ref="Z14:AF23"/>
    <mergeCell ref="AG14:AI23"/>
    <mergeCell ref="M15:R15"/>
    <mergeCell ref="F13:I13"/>
    <mergeCell ref="J13:L13"/>
    <mergeCell ref="M13:O13"/>
    <mergeCell ref="P13:R13"/>
    <mergeCell ref="S13:V13"/>
    <mergeCell ref="W13:Y13"/>
    <mergeCell ref="M23:O23"/>
    <mergeCell ref="P23:R23"/>
    <mergeCell ref="M20:O20"/>
    <mergeCell ref="P20:R20"/>
    <mergeCell ref="M21:O21"/>
    <mergeCell ref="P21:R21"/>
    <mergeCell ref="M22:O22"/>
    <mergeCell ref="P22:R22"/>
    <mergeCell ref="H45:K45"/>
    <mergeCell ref="L45:AD45"/>
    <mergeCell ref="H46:K46"/>
    <mergeCell ref="L46:O46"/>
    <mergeCell ref="Q46:T46"/>
    <mergeCell ref="V46:Y46"/>
    <mergeCell ref="AA46:AD46"/>
    <mergeCell ref="M16:R16"/>
    <mergeCell ref="M17:R17"/>
    <mergeCell ref="M18:O18"/>
    <mergeCell ref="P18:R18"/>
    <mergeCell ref="M19:O19"/>
    <mergeCell ref="P19:R19"/>
    <mergeCell ref="H47:K47"/>
    <mergeCell ref="L47:O47"/>
    <mergeCell ref="Q47:T47"/>
    <mergeCell ref="V47:Y47"/>
    <mergeCell ref="AA47:AD47"/>
    <mergeCell ref="H48:K48"/>
    <mergeCell ref="L48:O48"/>
    <mergeCell ref="Q48:T48"/>
    <mergeCell ref="V48:Y48"/>
    <mergeCell ref="AA48:AD48"/>
    <mergeCell ref="H56:K56"/>
    <mergeCell ref="L56:O56"/>
    <mergeCell ref="Q56:T56"/>
    <mergeCell ref="V56:Y56"/>
    <mergeCell ref="AA56:AD56"/>
    <mergeCell ref="AF56:AI56"/>
    <mergeCell ref="H49:K49"/>
    <mergeCell ref="L49:O49"/>
    <mergeCell ref="Q49:T49"/>
    <mergeCell ref="V49:Y49"/>
    <mergeCell ref="AA49:AD49"/>
    <mergeCell ref="H55:K55"/>
    <mergeCell ref="L55:AI55"/>
    <mergeCell ref="AF59:AI59"/>
    <mergeCell ref="H58:K58"/>
    <mergeCell ref="L58:O58"/>
    <mergeCell ref="Q58:T58"/>
    <mergeCell ref="V58:Y58"/>
    <mergeCell ref="AA58:AD58"/>
    <mergeCell ref="AF58:AI58"/>
    <mergeCell ref="H57:K57"/>
    <mergeCell ref="L57:O57"/>
    <mergeCell ref="Q57:T57"/>
    <mergeCell ref="V57:Y57"/>
    <mergeCell ref="AA57:AD57"/>
    <mergeCell ref="AF57:AI57"/>
    <mergeCell ref="L80:O80"/>
    <mergeCell ref="Q80:T80"/>
    <mergeCell ref="V80:Y80"/>
    <mergeCell ref="AA80:AD80"/>
    <mergeCell ref="L81:O81"/>
    <mergeCell ref="Q81:T81"/>
    <mergeCell ref="V81:Y81"/>
    <mergeCell ref="AA81:AD81"/>
    <mergeCell ref="H59:K59"/>
    <mergeCell ref="L59:O59"/>
    <mergeCell ref="Q59:T59"/>
    <mergeCell ref="V59:Y59"/>
    <mergeCell ref="AA59:AD59"/>
    <mergeCell ref="L79:O79"/>
    <mergeCell ref="Q79:T79"/>
    <mergeCell ref="V79:Y79"/>
    <mergeCell ref="AA79:AD79"/>
    <mergeCell ref="U97:W97"/>
    <mergeCell ref="X97:AF97"/>
    <mergeCell ref="AG97:AI97"/>
    <mergeCell ref="F98:I99"/>
    <mergeCell ref="J98:L99"/>
    <mergeCell ref="M98:P98"/>
    <mergeCell ref="Q98:T98"/>
    <mergeCell ref="U98:W98"/>
    <mergeCell ref="X98:AF98"/>
    <mergeCell ref="AG98:AI98"/>
    <mergeCell ref="F97:I97"/>
    <mergeCell ref="J97:L97"/>
    <mergeCell ref="M97:P97"/>
    <mergeCell ref="Q97:T97"/>
    <mergeCell ref="M99:P99"/>
    <mergeCell ref="Q99:T99"/>
    <mergeCell ref="U99:W99"/>
    <mergeCell ref="X99:AF99"/>
    <mergeCell ref="AG99:AI99"/>
    <mergeCell ref="F120:I120"/>
    <mergeCell ref="J120:L120"/>
    <mergeCell ref="M120:P120"/>
    <mergeCell ref="Q120:T120"/>
    <mergeCell ref="U120:W120"/>
    <mergeCell ref="X120:AF120"/>
    <mergeCell ref="AG120:AI120"/>
    <mergeCell ref="F144:I145"/>
    <mergeCell ref="J144:L145"/>
    <mergeCell ref="M144:P144"/>
    <mergeCell ref="Q144:T144"/>
    <mergeCell ref="U144:W144"/>
    <mergeCell ref="AG121:AI121"/>
    <mergeCell ref="M122:P122"/>
    <mergeCell ref="Q122:T122"/>
    <mergeCell ref="U122:W122"/>
    <mergeCell ref="X122:AF122"/>
    <mergeCell ref="AG122:AI122"/>
    <mergeCell ref="F121:I122"/>
    <mergeCell ref="J121:L122"/>
    <mergeCell ref="M121:P121"/>
    <mergeCell ref="Q121:T121"/>
    <mergeCell ref="U121:W121"/>
    <mergeCell ref="X121:AF121"/>
    <mergeCell ref="F143:I143"/>
    <mergeCell ref="J143:L143"/>
    <mergeCell ref="X144:AF144"/>
    <mergeCell ref="AG144:AI144"/>
    <mergeCell ref="M145:P145"/>
    <mergeCell ref="Q145:T145"/>
    <mergeCell ref="U145:W145"/>
    <mergeCell ref="X145:AF145"/>
    <mergeCell ref="AG145:AI145"/>
    <mergeCell ref="M143:P143"/>
    <mergeCell ref="Q143:T143"/>
    <mergeCell ref="U143:W143"/>
    <mergeCell ref="X143:AF143"/>
    <mergeCell ref="AG143:AI143"/>
  </mergeCells>
  <phoneticPr fontId="15"/>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 &amp;P -</oddFooter>
  </headerFooter>
  <rowBreaks count="7" manualBreakCount="7">
    <brk id="29" max="34" man="1"/>
    <brk id="60" max="34" man="1"/>
    <brk id="89" max="34" man="1"/>
    <brk id="112" max="34" man="1"/>
    <brk id="135" max="34" man="1"/>
    <brk id="258" max="16383" man="1"/>
    <brk id="262"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10</vt:i4>
      </vt:variant>
    </vt:vector>
  </HeadingPairs>
  <TitlesOfParts>
    <vt:vector size="17" baseType="lpstr">
      <vt:lpstr>表紙</vt:lpstr>
      <vt:lpstr>変更履歴</vt:lpstr>
      <vt:lpstr>目次</vt:lpstr>
      <vt:lpstr>1</vt:lpstr>
      <vt:lpstr>2</vt:lpstr>
      <vt:lpstr>3</vt:lpstr>
      <vt:lpstr>4</vt:lpstr>
      <vt:lpstr>'1'!Print_Area</vt:lpstr>
      <vt:lpstr>'2'!Print_Area</vt:lpstr>
      <vt:lpstr>'3'!Print_Area</vt:lpstr>
      <vt:lpstr>'4'!Print_Area</vt:lpstr>
      <vt:lpstr>目次!Print_Area</vt:lpstr>
      <vt:lpstr>'1'!Print_Titles</vt:lpstr>
      <vt:lpstr>'2'!Print_Titles</vt:lpstr>
      <vt:lpstr>'3'!Print_Titles</vt:lpstr>
      <vt:lpstr>'4'!Print_Titles</vt:lpstr>
      <vt:lpstr>目次!Print_Titles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2019-11-29T05:05:23Z</dcterms:created>
  <dcterms:modified xsi:type="dcterms:W3CDTF">2024-06-21T08:36:48Z</dcterms:modified>
</cp:coreProperties>
</file>